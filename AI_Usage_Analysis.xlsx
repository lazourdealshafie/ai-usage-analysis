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FB06C51-479A-42FC-9B65-839FB69D2EA4}" xr6:coauthVersionLast="47" xr6:coauthVersionMax="47" xr10:uidLastSave="{00000000-0000-0000-0000-000000000000}"/>
  <bookViews>
    <workbookView xWindow="-108" yWindow="-108" windowWidth="23256" windowHeight="13896" tabRatio="500" xr2:uid="{00000000-000D-0000-FFFF-FFFF00000000}"/>
  </bookViews>
  <sheets>
    <sheet name="Dashboard" sheetId="1" r:id="rId1"/>
    <sheet name="Analysis" sheetId="2" r:id="rId2"/>
    <sheet name="Clean_Data" sheetId="3" r:id="rId3"/>
    <sheet name="Cleaning_Log" sheetId="4" r:id="rId4"/>
    <sheet name="Raw_Data" sheetId="5" r:id="rId5"/>
  </sheets>
  <definedNames>
    <definedName name="_xlnm.Print_Area" localSheetId="0">Dashboard!$A$1:$X$67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6" i="4" l="1"/>
  <c r="C56" i="4" s="1"/>
  <c r="B55" i="4"/>
  <c r="C55" i="4" s="1"/>
  <c r="B53" i="4"/>
  <c r="C53" i="4" s="1"/>
  <c r="B52" i="4"/>
  <c r="C52" i="4" s="1"/>
  <c r="B51" i="4"/>
  <c r="C51" i="4" s="1"/>
  <c r="C50" i="4"/>
  <c r="B50" i="4"/>
  <c r="B48" i="4"/>
  <c r="C48" i="4" s="1"/>
  <c r="B46" i="4"/>
  <c r="C46" i="4" s="1"/>
  <c r="B45" i="4"/>
  <c r="C45" i="4" s="1"/>
  <c r="B44" i="4"/>
  <c r="C44" i="4" s="1"/>
  <c r="B43" i="4"/>
  <c r="C43" i="4" s="1"/>
  <c r="C42" i="4"/>
  <c r="B42" i="4"/>
  <c r="B41" i="4"/>
  <c r="C41" i="4" s="1"/>
  <c r="B40" i="4"/>
  <c r="C40" i="4" s="1"/>
  <c r="B39" i="4"/>
  <c r="C39" i="4" s="1"/>
  <c r="B38" i="4"/>
  <c r="C38" i="4" s="1"/>
  <c r="B37" i="4"/>
  <c r="C37" i="4" s="1"/>
  <c r="B36" i="4"/>
  <c r="C36" i="4" s="1"/>
  <c r="B35" i="4"/>
  <c r="C35" i="4" s="1"/>
  <c r="C34" i="4"/>
  <c r="B34" i="4"/>
  <c r="B33" i="4"/>
  <c r="C33" i="4" s="1"/>
  <c r="B5" i="4"/>
  <c r="B4" i="4"/>
  <c r="V289" i="3"/>
  <c r="Q289" i="3"/>
  <c r="O289" i="3"/>
  <c r="C289" i="3"/>
  <c r="V288" i="3"/>
  <c r="Q288" i="3"/>
  <c r="O288" i="3"/>
  <c r="C288" i="3"/>
  <c r="V287" i="3"/>
  <c r="Q287" i="3"/>
  <c r="O287" i="3"/>
  <c r="C287" i="3"/>
  <c r="V286" i="3"/>
  <c r="Q286" i="3"/>
  <c r="O286" i="3"/>
  <c r="C286" i="3"/>
  <c r="V285" i="3"/>
  <c r="Q285" i="3"/>
  <c r="O285" i="3"/>
  <c r="C285" i="3"/>
  <c r="V284" i="3"/>
  <c r="Q284" i="3"/>
  <c r="O284" i="3"/>
  <c r="C284" i="3"/>
  <c r="V283" i="3"/>
  <c r="Q283" i="3"/>
  <c r="O283" i="3"/>
  <c r="C283" i="3"/>
  <c r="V282" i="3"/>
  <c r="Q282" i="3"/>
  <c r="O282" i="3"/>
  <c r="C282" i="3"/>
  <c r="V281" i="3"/>
  <c r="Q281" i="3"/>
  <c r="O281" i="3"/>
  <c r="C281" i="3"/>
  <c r="V280" i="3"/>
  <c r="Q280" i="3"/>
  <c r="O280" i="3"/>
  <c r="C280" i="3"/>
  <c r="V279" i="3"/>
  <c r="Q279" i="3"/>
  <c r="O279" i="3"/>
  <c r="C279" i="3"/>
  <c r="V278" i="3"/>
  <c r="Q278" i="3"/>
  <c r="O278" i="3"/>
  <c r="C278" i="3"/>
  <c r="V277" i="3"/>
  <c r="Q277" i="3"/>
  <c r="O277" i="3"/>
  <c r="C277" i="3"/>
  <c r="V276" i="3"/>
  <c r="Q276" i="3"/>
  <c r="O276" i="3"/>
  <c r="C276" i="3"/>
  <c r="V275" i="3"/>
  <c r="Q275" i="3"/>
  <c r="O275" i="3"/>
  <c r="C275" i="3"/>
  <c r="V274" i="3"/>
  <c r="Q274" i="3"/>
  <c r="O274" i="3"/>
  <c r="C274" i="3"/>
  <c r="V273" i="3"/>
  <c r="Q273" i="3"/>
  <c r="O273" i="3"/>
  <c r="C273" i="3"/>
  <c r="V272" i="3"/>
  <c r="Q272" i="3"/>
  <c r="O272" i="3"/>
  <c r="C272" i="3"/>
  <c r="V271" i="3"/>
  <c r="Q271" i="3"/>
  <c r="O271" i="3"/>
  <c r="C271" i="3"/>
  <c r="V270" i="3"/>
  <c r="Q270" i="3"/>
  <c r="O270" i="3"/>
  <c r="C270" i="3"/>
  <c r="V269" i="3"/>
  <c r="Q269" i="3"/>
  <c r="O269" i="3"/>
  <c r="C269" i="3"/>
  <c r="V268" i="3"/>
  <c r="Q268" i="3"/>
  <c r="O268" i="3"/>
  <c r="C268" i="3"/>
  <c r="V267" i="3"/>
  <c r="Q267" i="3"/>
  <c r="O267" i="3"/>
  <c r="C267" i="3"/>
  <c r="V266" i="3"/>
  <c r="Q266" i="3"/>
  <c r="O266" i="3"/>
  <c r="C266" i="3"/>
  <c r="V265" i="3"/>
  <c r="Q265" i="3"/>
  <c r="O265" i="3"/>
  <c r="C265" i="3"/>
  <c r="V264" i="3"/>
  <c r="Q264" i="3"/>
  <c r="O264" i="3"/>
  <c r="C264" i="3"/>
  <c r="V263" i="3"/>
  <c r="Q263" i="3"/>
  <c r="O263" i="3"/>
  <c r="C263" i="3"/>
  <c r="V262" i="3"/>
  <c r="Q262" i="3"/>
  <c r="O262" i="3"/>
  <c r="C262" i="3"/>
  <c r="V261" i="3"/>
  <c r="Q261" i="3"/>
  <c r="O261" i="3"/>
  <c r="C261" i="3"/>
  <c r="V260" i="3"/>
  <c r="Q260" i="3"/>
  <c r="O260" i="3"/>
  <c r="C260" i="3"/>
  <c r="V259" i="3"/>
  <c r="Q259" i="3"/>
  <c r="O259" i="3"/>
  <c r="C259" i="3"/>
  <c r="V258" i="3"/>
  <c r="Q258" i="3"/>
  <c r="O258" i="3"/>
  <c r="C258" i="3"/>
  <c r="V257" i="3"/>
  <c r="Q257" i="3"/>
  <c r="O257" i="3"/>
  <c r="C257" i="3"/>
  <c r="V256" i="3"/>
  <c r="Q256" i="3"/>
  <c r="O256" i="3"/>
  <c r="C256" i="3"/>
  <c r="V255" i="3"/>
  <c r="Q255" i="3"/>
  <c r="O255" i="3"/>
  <c r="C255" i="3"/>
  <c r="V254" i="3"/>
  <c r="Q254" i="3"/>
  <c r="O254" i="3"/>
  <c r="C254" i="3"/>
  <c r="V253" i="3"/>
  <c r="Q253" i="3"/>
  <c r="O253" i="3"/>
  <c r="C253" i="3"/>
  <c r="V252" i="3"/>
  <c r="Q252" i="3"/>
  <c r="O252" i="3"/>
  <c r="C252" i="3"/>
  <c r="V251" i="3"/>
  <c r="Q251" i="3"/>
  <c r="O251" i="3"/>
  <c r="C251" i="3"/>
  <c r="V250" i="3"/>
  <c r="Q250" i="3"/>
  <c r="O250" i="3"/>
  <c r="C250" i="3"/>
  <c r="V249" i="3"/>
  <c r="Q249" i="3"/>
  <c r="O249" i="3"/>
  <c r="C249" i="3"/>
  <c r="V248" i="3"/>
  <c r="Q248" i="3"/>
  <c r="O248" i="3"/>
  <c r="C248" i="3"/>
  <c r="V247" i="3"/>
  <c r="Q247" i="3"/>
  <c r="O247" i="3"/>
  <c r="C247" i="3"/>
  <c r="V246" i="3"/>
  <c r="Q246" i="3"/>
  <c r="O246" i="3"/>
  <c r="C246" i="3"/>
  <c r="V245" i="3"/>
  <c r="Q245" i="3"/>
  <c r="O245" i="3"/>
  <c r="C245" i="3"/>
  <c r="V244" i="3"/>
  <c r="Q244" i="3"/>
  <c r="O244" i="3"/>
  <c r="C244" i="3"/>
  <c r="V243" i="3"/>
  <c r="Q243" i="3"/>
  <c r="O243" i="3"/>
  <c r="C243" i="3"/>
  <c r="V242" i="3"/>
  <c r="Q242" i="3"/>
  <c r="O242" i="3"/>
  <c r="C242" i="3"/>
  <c r="V241" i="3"/>
  <c r="Q241" i="3"/>
  <c r="O241" i="3"/>
  <c r="C241" i="3"/>
  <c r="V240" i="3"/>
  <c r="Q240" i="3"/>
  <c r="O240" i="3"/>
  <c r="C240" i="3"/>
  <c r="V239" i="3"/>
  <c r="Q239" i="3"/>
  <c r="O239" i="3"/>
  <c r="C239" i="3"/>
  <c r="V238" i="3"/>
  <c r="Q238" i="3"/>
  <c r="O238" i="3"/>
  <c r="C238" i="3"/>
  <c r="V237" i="3"/>
  <c r="Q237" i="3"/>
  <c r="O237" i="3"/>
  <c r="C237" i="3"/>
  <c r="V236" i="3"/>
  <c r="Q236" i="3"/>
  <c r="O236" i="3"/>
  <c r="C236" i="3"/>
  <c r="V235" i="3"/>
  <c r="Q235" i="3"/>
  <c r="O235" i="3"/>
  <c r="C235" i="3"/>
  <c r="V234" i="3"/>
  <c r="Q234" i="3"/>
  <c r="O234" i="3"/>
  <c r="C234" i="3"/>
  <c r="V233" i="3"/>
  <c r="Q233" i="3"/>
  <c r="O233" i="3"/>
  <c r="C233" i="3"/>
  <c r="V232" i="3"/>
  <c r="Q232" i="3"/>
  <c r="O232" i="3"/>
  <c r="C232" i="3"/>
  <c r="V231" i="3"/>
  <c r="Q231" i="3"/>
  <c r="O231" i="3"/>
  <c r="C231" i="3"/>
  <c r="V230" i="3"/>
  <c r="Q230" i="3"/>
  <c r="O230" i="3"/>
  <c r="C230" i="3"/>
  <c r="V229" i="3"/>
  <c r="Q229" i="3"/>
  <c r="O229" i="3"/>
  <c r="C229" i="3"/>
  <c r="V228" i="3"/>
  <c r="Q228" i="3"/>
  <c r="O228" i="3"/>
  <c r="C228" i="3"/>
  <c r="V227" i="3"/>
  <c r="Q227" i="3"/>
  <c r="O227" i="3"/>
  <c r="C227" i="3"/>
  <c r="V226" i="3"/>
  <c r="Q226" i="3"/>
  <c r="O226" i="3"/>
  <c r="C226" i="3"/>
  <c r="V225" i="3"/>
  <c r="Q225" i="3"/>
  <c r="O225" i="3"/>
  <c r="C225" i="3"/>
  <c r="V224" i="3"/>
  <c r="Q224" i="3"/>
  <c r="O224" i="3"/>
  <c r="C224" i="3"/>
  <c r="V223" i="3"/>
  <c r="Q223" i="3"/>
  <c r="O223" i="3"/>
  <c r="C223" i="3"/>
  <c r="V222" i="3"/>
  <c r="Q222" i="3"/>
  <c r="O222" i="3"/>
  <c r="C222" i="3"/>
  <c r="V221" i="3"/>
  <c r="Q221" i="3"/>
  <c r="O221" i="3"/>
  <c r="C221" i="3"/>
  <c r="V220" i="3"/>
  <c r="Q220" i="3"/>
  <c r="O220" i="3"/>
  <c r="C220" i="3"/>
  <c r="V219" i="3"/>
  <c r="Q219" i="3"/>
  <c r="O219" i="3"/>
  <c r="C219" i="3"/>
  <c r="V218" i="3"/>
  <c r="Q218" i="3"/>
  <c r="O218" i="3"/>
  <c r="C218" i="3"/>
  <c r="V217" i="3"/>
  <c r="Q217" i="3"/>
  <c r="O217" i="3"/>
  <c r="C217" i="3"/>
  <c r="V216" i="3"/>
  <c r="Q216" i="3"/>
  <c r="O216" i="3"/>
  <c r="C216" i="3"/>
  <c r="V215" i="3"/>
  <c r="Q215" i="3"/>
  <c r="O215" i="3"/>
  <c r="C215" i="3"/>
  <c r="V214" i="3"/>
  <c r="Q214" i="3"/>
  <c r="O214" i="3"/>
  <c r="C214" i="3"/>
  <c r="V213" i="3"/>
  <c r="Q213" i="3"/>
  <c r="O213" i="3"/>
  <c r="C213" i="3"/>
  <c r="V212" i="3"/>
  <c r="Q212" i="3"/>
  <c r="O212" i="3"/>
  <c r="C212" i="3"/>
  <c r="V211" i="3"/>
  <c r="Q211" i="3"/>
  <c r="O211" i="3"/>
  <c r="C211" i="3"/>
  <c r="V210" i="3"/>
  <c r="Q210" i="3"/>
  <c r="O210" i="3"/>
  <c r="C210" i="3"/>
  <c r="V209" i="3"/>
  <c r="Q209" i="3"/>
  <c r="O209" i="3"/>
  <c r="C209" i="3"/>
  <c r="V208" i="3"/>
  <c r="Q208" i="3"/>
  <c r="O208" i="3"/>
  <c r="C208" i="3"/>
  <c r="V207" i="3"/>
  <c r="Q207" i="3"/>
  <c r="O207" i="3"/>
  <c r="C207" i="3"/>
  <c r="V206" i="3"/>
  <c r="Q206" i="3"/>
  <c r="O206" i="3"/>
  <c r="C206" i="3"/>
  <c r="V205" i="3"/>
  <c r="Q205" i="3"/>
  <c r="O205" i="3"/>
  <c r="C205" i="3"/>
  <c r="V204" i="3"/>
  <c r="Q204" i="3"/>
  <c r="O204" i="3"/>
  <c r="C204" i="3"/>
  <c r="V203" i="3"/>
  <c r="Q203" i="3"/>
  <c r="O203" i="3"/>
  <c r="C203" i="3"/>
  <c r="V202" i="3"/>
  <c r="Q202" i="3"/>
  <c r="O202" i="3"/>
  <c r="C202" i="3"/>
  <c r="V201" i="3"/>
  <c r="Q201" i="3"/>
  <c r="O201" i="3"/>
  <c r="C201" i="3"/>
  <c r="V200" i="3"/>
  <c r="Q200" i="3"/>
  <c r="O200" i="3"/>
  <c r="C200" i="3"/>
  <c r="V199" i="3"/>
  <c r="Q199" i="3"/>
  <c r="O199" i="3"/>
  <c r="C199" i="3"/>
  <c r="V198" i="3"/>
  <c r="Q198" i="3"/>
  <c r="O198" i="3"/>
  <c r="C198" i="3"/>
  <c r="V197" i="3"/>
  <c r="Q197" i="3"/>
  <c r="O197" i="3"/>
  <c r="C197" i="3"/>
  <c r="V196" i="3"/>
  <c r="Q196" i="3"/>
  <c r="O196" i="3"/>
  <c r="C196" i="3"/>
  <c r="V195" i="3"/>
  <c r="Q195" i="3"/>
  <c r="O195" i="3"/>
  <c r="C195" i="3"/>
  <c r="V194" i="3"/>
  <c r="Q194" i="3"/>
  <c r="O194" i="3"/>
  <c r="C194" i="3"/>
  <c r="V193" i="3"/>
  <c r="Q193" i="3"/>
  <c r="O193" i="3"/>
  <c r="C193" i="3"/>
  <c r="V192" i="3"/>
  <c r="Q192" i="3"/>
  <c r="O192" i="3"/>
  <c r="C192" i="3"/>
  <c r="V191" i="3"/>
  <c r="Q191" i="3"/>
  <c r="O191" i="3"/>
  <c r="C191" i="3"/>
  <c r="V190" i="3"/>
  <c r="Q190" i="3"/>
  <c r="O190" i="3"/>
  <c r="C190" i="3"/>
  <c r="V189" i="3"/>
  <c r="Q189" i="3"/>
  <c r="O189" i="3"/>
  <c r="C189" i="3"/>
  <c r="V188" i="3"/>
  <c r="Q188" i="3"/>
  <c r="O188" i="3"/>
  <c r="C188" i="3"/>
  <c r="V187" i="3"/>
  <c r="Q187" i="3"/>
  <c r="O187" i="3"/>
  <c r="C187" i="3"/>
  <c r="V186" i="3"/>
  <c r="Q186" i="3"/>
  <c r="O186" i="3"/>
  <c r="C186" i="3"/>
  <c r="V185" i="3"/>
  <c r="Q185" i="3"/>
  <c r="O185" i="3"/>
  <c r="C185" i="3"/>
  <c r="V184" i="3"/>
  <c r="Q184" i="3"/>
  <c r="O184" i="3"/>
  <c r="C184" i="3"/>
  <c r="V183" i="3"/>
  <c r="Q183" i="3"/>
  <c r="O183" i="3"/>
  <c r="C183" i="3"/>
  <c r="V182" i="3"/>
  <c r="Q182" i="3"/>
  <c r="O182" i="3"/>
  <c r="C182" i="3"/>
  <c r="V181" i="3"/>
  <c r="Q181" i="3"/>
  <c r="O181" i="3"/>
  <c r="C181" i="3"/>
  <c r="V180" i="3"/>
  <c r="Q180" i="3"/>
  <c r="O180" i="3"/>
  <c r="C180" i="3"/>
  <c r="V179" i="3"/>
  <c r="Q179" i="3"/>
  <c r="O179" i="3"/>
  <c r="C179" i="3"/>
  <c r="V178" i="3"/>
  <c r="Q178" i="3"/>
  <c r="O178" i="3"/>
  <c r="C178" i="3"/>
  <c r="V177" i="3"/>
  <c r="Q177" i="3"/>
  <c r="O177" i="3"/>
  <c r="C177" i="3"/>
  <c r="V176" i="3"/>
  <c r="Q176" i="3"/>
  <c r="O176" i="3"/>
  <c r="C176" i="3"/>
  <c r="V175" i="3"/>
  <c r="Q175" i="3"/>
  <c r="O175" i="3"/>
  <c r="C175" i="3"/>
  <c r="V174" i="3"/>
  <c r="Q174" i="3"/>
  <c r="O174" i="3"/>
  <c r="C174" i="3"/>
  <c r="V173" i="3"/>
  <c r="Q173" i="3"/>
  <c r="O173" i="3"/>
  <c r="C173" i="3"/>
  <c r="V172" i="3"/>
  <c r="Q172" i="3"/>
  <c r="O172" i="3"/>
  <c r="C172" i="3"/>
  <c r="V171" i="3"/>
  <c r="Q171" i="3"/>
  <c r="O171" i="3"/>
  <c r="C171" i="3"/>
  <c r="V170" i="3"/>
  <c r="Q170" i="3"/>
  <c r="O170" i="3"/>
  <c r="C170" i="3"/>
  <c r="V169" i="3"/>
  <c r="Q169" i="3"/>
  <c r="O169" i="3"/>
  <c r="C169" i="3"/>
  <c r="V168" i="3"/>
  <c r="Q168" i="3"/>
  <c r="O168" i="3"/>
  <c r="C168" i="3"/>
  <c r="V167" i="3"/>
  <c r="Q167" i="3"/>
  <c r="O167" i="3"/>
  <c r="C167" i="3"/>
  <c r="V166" i="3"/>
  <c r="Q166" i="3"/>
  <c r="O166" i="3"/>
  <c r="C166" i="3"/>
  <c r="V165" i="3"/>
  <c r="Q165" i="3"/>
  <c r="O165" i="3"/>
  <c r="C165" i="3"/>
  <c r="V164" i="3"/>
  <c r="Q164" i="3"/>
  <c r="O164" i="3"/>
  <c r="C164" i="3"/>
  <c r="V163" i="3"/>
  <c r="Q163" i="3"/>
  <c r="O163" i="3"/>
  <c r="C163" i="3"/>
  <c r="V162" i="3"/>
  <c r="Q162" i="3"/>
  <c r="O162" i="3"/>
  <c r="C162" i="3"/>
  <c r="V161" i="3"/>
  <c r="Q161" i="3"/>
  <c r="O161" i="3"/>
  <c r="C161" i="3"/>
  <c r="V160" i="3"/>
  <c r="Q160" i="3"/>
  <c r="O160" i="3"/>
  <c r="C160" i="3"/>
  <c r="V159" i="3"/>
  <c r="Q159" i="3"/>
  <c r="O159" i="3"/>
  <c r="C159" i="3"/>
  <c r="V158" i="3"/>
  <c r="Q158" i="3"/>
  <c r="O158" i="3"/>
  <c r="C158" i="3"/>
  <c r="V157" i="3"/>
  <c r="Q157" i="3"/>
  <c r="O157" i="3"/>
  <c r="C157" i="3"/>
  <c r="V156" i="3"/>
  <c r="Q156" i="3"/>
  <c r="O156" i="3"/>
  <c r="C156" i="3"/>
  <c r="V155" i="3"/>
  <c r="Q155" i="3"/>
  <c r="O155" i="3"/>
  <c r="C155" i="3"/>
  <c r="V154" i="3"/>
  <c r="Q154" i="3"/>
  <c r="O154" i="3"/>
  <c r="C154" i="3"/>
  <c r="V153" i="3"/>
  <c r="Q153" i="3"/>
  <c r="O153" i="3"/>
  <c r="C153" i="3"/>
  <c r="V152" i="3"/>
  <c r="Q152" i="3"/>
  <c r="O152" i="3"/>
  <c r="C152" i="3"/>
  <c r="V151" i="3"/>
  <c r="Q151" i="3"/>
  <c r="O151" i="3"/>
  <c r="C151" i="3"/>
  <c r="V150" i="3"/>
  <c r="Q150" i="3"/>
  <c r="O150" i="3"/>
  <c r="C150" i="3"/>
  <c r="V149" i="3"/>
  <c r="Q149" i="3"/>
  <c r="O149" i="3"/>
  <c r="C149" i="3"/>
  <c r="V148" i="3"/>
  <c r="Q148" i="3"/>
  <c r="O148" i="3"/>
  <c r="C148" i="3"/>
  <c r="V147" i="3"/>
  <c r="Q147" i="3"/>
  <c r="O147" i="3"/>
  <c r="C147" i="3"/>
  <c r="V146" i="3"/>
  <c r="Q146" i="3"/>
  <c r="O146" i="3"/>
  <c r="C146" i="3"/>
  <c r="V145" i="3"/>
  <c r="Q145" i="3"/>
  <c r="O145" i="3"/>
  <c r="C145" i="3"/>
  <c r="V144" i="3"/>
  <c r="Q144" i="3"/>
  <c r="O144" i="3"/>
  <c r="C144" i="3"/>
  <c r="V143" i="3"/>
  <c r="Q143" i="3"/>
  <c r="O143" i="3"/>
  <c r="C143" i="3"/>
  <c r="V142" i="3"/>
  <c r="Q142" i="3"/>
  <c r="O142" i="3"/>
  <c r="C142" i="3"/>
  <c r="V141" i="3"/>
  <c r="Q141" i="3"/>
  <c r="O141" i="3"/>
  <c r="C141" i="3"/>
  <c r="V140" i="3"/>
  <c r="Q140" i="3"/>
  <c r="O140" i="3"/>
  <c r="C140" i="3"/>
  <c r="V139" i="3"/>
  <c r="Q139" i="3"/>
  <c r="O139" i="3"/>
  <c r="C139" i="3"/>
  <c r="V138" i="3"/>
  <c r="Q138" i="3"/>
  <c r="O138" i="3"/>
  <c r="C138" i="3"/>
  <c r="V137" i="3"/>
  <c r="Q137" i="3"/>
  <c r="O137" i="3"/>
  <c r="C137" i="3"/>
  <c r="V136" i="3"/>
  <c r="Q136" i="3"/>
  <c r="O136" i="3"/>
  <c r="C136" i="3"/>
  <c r="V135" i="3"/>
  <c r="Q135" i="3"/>
  <c r="O135" i="3"/>
  <c r="C135" i="3"/>
  <c r="V134" i="3"/>
  <c r="Q134" i="3"/>
  <c r="O134" i="3"/>
  <c r="C134" i="3"/>
  <c r="V133" i="3"/>
  <c r="Q133" i="3"/>
  <c r="O133" i="3"/>
  <c r="C133" i="3"/>
  <c r="V132" i="3"/>
  <c r="Q132" i="3"/>
  <c r="O132" i="3"/>
  <c r="C132" i="3"/>
  <c r="V131" i="3"/>
  <c r="Q131" i="3"/>
  <c r="O131" i="3"/>
  <c r="C131" i="3"/>
  <c r="V130" i="3"/>
  <c r="Q130" i="3"/>
  <c r="O130" i="3"/>
  <c r="C130" i="3"/>
  <c r="V129" i="3"/>
  <c r="Q129" i="3"/>
  <c r="O129" i="3"/>
  <c r="C129" i="3"/>
  <c r="V128" i="3"/>
  <c r="Q128" i="3"/>
  <c r="O128" i="3"/>
  <c r="C128" i="3"/>
  <c r="V127" i="3"/>
  <c r="Q127" i="3"/>
  <c r="O127" i="3"/>
  <c r="C127" i="3"/>
  <c r="V126" i="3"/>
  <c r="Q126" i="3"/>
  <c r="O126" i="3"/>
  <c r="C126" i="3"/>
  <c r="V125" i="3"/>
  <c r="Q125" i="3"/>
  <c r="O125" i="3"/>
  <c r="C125" i="3"/>
  <c r="V124" i="3"/>
  <c r="Q124" i="3"/>
  <c r="O124" i="3"/>
  <c r="C124" i="3"/>
  <c r="V123" i="3"/>
  <c r="Q123" i="3"/>
  <c r="O123" i="3"/>
  <c r="C123" i="3"/>
  <c r="V122" i="3"/>
  <c r="Q122" i="3"/>
  <c r="O122" i="3"/>
  <c r="C122" i="3"/>
  <c r="V121" i="3"/>
  <c r="Q121" i="3"/>
  <c r="O121" i="3"/>
  <c r="C121" i="3"/>
  <c r="V120" i="3"/>
  <c r="Q120" i="3"/>
  <c r="O120" i="3"/>
  <c r="C120" i="3"/>
  <c r="V119" i="3"/>
  <c r="Q119" i="3"/>
  <c r="O119" i="3"/>
  <c r="C119" i="3"/>
  <c r="V118" i="3"/>
  <c r="Q118" i="3"/>
  <c r="O118" i="3"/>
  <c r="C118" i="3"/>
  <c r="V117" i="3"/>
  <c r="Q117" i="3"/>
  <c r="O117" i="3"/>
  <c r="C117" i="3"/>
  <c r="V116" i="3"/>
  <c r="Q116" i="3"/>
  <c r="O116" i="3"/>
  <c r="C116" i="3"/>
  <c r="V115" i="3"/>
  <c r="Q115" i="3"/>
  <c r="O115" i="3"/>
  <c r="C115" i="3"/>
  <c r="V114" i="3"/>
  <c r="Q114" i="3"/>
  <c r="O114" i="3"/>
  <c r="C114" i="3"/>
  <c r="V113" i="3"/>
  <c r="Q113" i="3"/>
  <c r="O113" i="3"/>
  <c r="C113" i="3"/>
  <c r="V112" i="3"/>
  <c r="Q112" i="3"/>
  <c r="O112" i="3"/>
  <c r="C112" i="3"/>
  <c r="V111" i="3"/>
  <c r="Q111" i="3"/>
  <c r="O111" i="3"/>
  <c r="C111" i="3"/>
  <c r="V110" i="3"/>
  <c r="Q110" i="3"/>
  <c r="O110" i="3"/>
  <c r="C110" i="3"/>
  <c r="V109" i="3"/>
  <c r="Q109" i="3"/>
  <c r="O109" i="3"/>
  <c r="C109" i="3"/>
  <c r="V108" i="3"/>
  <c r="Q108" i="3"/>
  <c r="O108" i="3"/>
  <c r="C108" i="3"/>
  <c r="V107" i="3"/>
  <c r="Q107" i="3"/>
  <c r="O107" i="3"/>
  <c r="C107" i="3"/>
  <c r="V106" i="3"/>
  <c r="Q106" i="3"/>
  <c r="O106" i="3"/>
  <c r="C106" i="3"/>
  <c r="V105" i="3"/>
  <c r="Q105" i="3"/>
  <c r="O105" i="3"/>
  <c r="C105" i="3"/>
  <c r="V104" i="3"/>
  <c r="Q104" i="3"/>
  <c r="O104" i="3"/>
  <c r="C104" i="3"/>
  <c r="V103" i="3"/>
  <c r="Q103" i="3"/>
  <c r="O103" i="3"/>
  <c r="C103" i="3"/>
  <c r="V102" i="3"/>
  <c r="Q102" i="3"/>
  <c r="O102" i="3"/>
  <c r="C102" i="3"/>
  <c r="V101" i="3"/>
  <c r="Q101" i="3"/>
  <c r="O101" i="3"/>
  <c r="C101" i="3"/>
  <c r="V100" i="3"/>
  <c r="Q100" i="3"/>
  <c r="O100" i="3"/>
  <c r="C100" i="3"/>
  <c r="V99" i="3"/>
  <c r="Q99" i="3"/>
  <c r="O99" i="3"/>
  <c r="C99" i="3"/>
  <c r="V98" i="3"/>
  <c r="Q98" i="3"/>
  <c r="O98" i="3"/>
  <c r="C98" i="3"/>
  <c r="V97" i="3"/>
  <c r="Q97" i="3"/>
  <c r="O97" i="3"/>
  <c r="C97" i="3"/>
  <c r="V96" i="3"/>
  <c r="Q96" i="3"/>
  <c r="O96" i="3"/>
  <c r="C96" i="3"/>
  <c r="V95" i="3"/>
  <c r="Q95" i="3"/>
  <c r="O95" i="3"/>
  <c r="C95" i="3"/>
  <c r="V94" i="3"/>
  <c r="Q94" i="3"/>
  <c r="O94" i="3"/>
  <c r="C94" i="3"/>
  <c r="V93" i="3"/>
  <c r="Q93" i="3"/>
  <c r="O93" i="3"/>
  <c r="C93" i="3"/>
  <c r="V92" i="3"/>
  <c r="Q92" i="3"/>
  <c r="O92" i="3"/>
  <c r="C92" i="3"/>
  <c r="V91" i="3"/>
  <c r="Q91" i="3"/>
  <c r="O91" i="3"/>
  <c r="C91" i="3"/>
  <c r="V90" i="3"/>
  <c r="Q90" i="3"/>
  <c r="O90" i="3"/>
  <c r="C90" i="3"/>
  <c r="V89" i="3"/>
  <c r="Q89" i="3"/>
  <c r="O89" i="3"/>
  <c r="C89" i="3"/>
  <c r="V88" i="3"/>
  <c r="Q88" i="3"/>
  <c r="O88" i="3"/>
  <c r="C88" i="3"/>
  <c r="V87" i="3"/>
  <c r="Q87" i="3"/>
  <c r="O87" i="3"/>
  <c r="C87" i="3"/>
  <c r="V86" i="3"/>
  <c r="Q86" i="3"/>
  <c r="O86" i="3"/>
  <c r="C86" i="3"/>
  <c r="V85" i="3"/>
  <c r="Q85" i="3"/>
  <c r="O85" i="3"/>
  <c r="C85" i="3"/>
  <c r="V84" i="3"/>
  <c r="Q84" i="3"/>
  <c r="O84" i="3"/>
  <c r="C84" i="3"/>
  <c r="V83" i="3"/>
  <c r="Q83" i="3"/>
  <c r="O83" i="3"/>
  <c r="C83" i="3"/>
  <c r="V82" i="3"/>
  <c r="Q82" i="3"/>
  <c r="O82" i="3"/>
  <c r="C82" i="3"/>
  <c r="V81" i="3"/>
  <c r="Q81" i="3"/>
  <c r="O81" i="3"/>
  <c r="C81" i="3"/>
  <c r="V80" i="3"/>
  <c r="Q80" i="3"/>
  <c r="O80" i="3"/>
  <c r="C80" i="3"/>
  <c r="V79" i="3"/>
  <c r="Q79" i="3"/>
  <c r="O79" i="3"/>
  <c r="C79" i="3"/>
  <c r="V78" i="3"/>
  <c r="Q78" i="3"/>
  <c r="O78" i="3"/>
  <c r="C78" i="3"/>
  <c r="V77" i="3"/>
  <c r="Q77" i="3"/>
  <c r="O77" i="3"/>
  <c r="C77" i="3"/>
  <c r="V76" i="3"/>
  <c r="Q76" i="3"/>
  <c r="O76" i="3"/>
  <c r="C76" i="3"/>
  <c r="V75" i="3"/>
  <c r="Q75" i="3"/>
  <c r="O75" i="3"/>
  <c r="C75" i="3"/>
  <c r="V74" i="3"/>
  <c r="Q74" i="3"/>
  <c r="O74" i="3"/>
  <c r="C74" i="3"/>
  <c r="V73" i="3"/>
  <c r="Q73" i="3"/>
  <c r="O73" i="3"/>
  <c r="C73" i="3"/>
  <c r="V72" i="3"/>
  <c r="Q72" i="3"/>
  <c r="O72" i="3"/>
  <c r="C72" i="3"/>
  <c r="V71" i="3"/>
  <c r="Q71" i="3"/>
  <c r="O71" i="3"/>
  <c r="C71" i="3"/>
  <c r="V70" i="3"/>
  <c r="Q70" i="3"/>
  <c r="O70" i="3"/>
  <c r="C70" i="3"/>
  <c r="V69" i="3"/>
  <c r="Q69" i="3"/>
  <c r="O69" i="3"/>
  <c r="C69" i="3"/>
  <c r="V68" i="3"/>
  <c r="Q68" i="3"/>
  <c r="O68" i="3"/>
  <c r="C68" i="3"/>
  <c r="V67" i="3"/>
  <c r="Q67" i="3"/>
  <c r="O67" i="3"/>
  <c r="C67" i="3"/>
  <c r="V66" i="3"/>
  <c r="Q66" i="3"/>
  <c r="O66" i="3"/>
  <c r="C66" i="3"/>
  <c r="V65" i="3"/>
  <c r="Q65" i="3"/>
  <c r="O65" i="3"/>
  <c r="C65" i="3"/>
  <c r="V64" i="3"/>
  <c r="Q64" i="3"/>
  <c r="O64" i="3"/>
  <c r="C64" i="3"/>
  <c r="V63" i="3"/>
  <c r="Q63" i="3"/>
  <c r="O63" i="3"/>
  <c r="C63" i="3"/>
  <c r="V62" i="3"/>
  <c r="Q62" i="3"/>
  <c r="O62" i="3"/>
  <c r="C62" i="3"/>
  <c r="V61" i="3"/>
  <c r="Q61" i="3"/>
  <c r="O61" i="3"/>
  <c r="C61" i="3"/>
  <c r="V60" i="3"/>
  <c r="Q60" i="3"/>
  <c r="O60" i="3"/>
  <c r="C60" i="3"/>
  <c r="V59" i="3"/>
  <c r="Q59" i="3"/>
  <c r="O59" i="3"/>
  <c r="C59" i="3"/>
  <c r="V58" i="3"/>
  <c r="Q58" i="3"/>
  <c r="O58" i="3"/>
  <c r="C58" i="3"/>
  <c r="V57" i="3"/>
  <c r="Q57" i="3"/>
  <c r="O57" i="3"/>
  <c r="C57" i="3"/>
  <c r="V56" i="3"/>
  <c r="Q56" i="3"/>
  <c r="O56" i="3"/>
  <c r="C56" i="3"/>
  <c r="V55" i="3"/>
  <c r="Q55" i="3"/>
  <c r="O55" i="3"/>
  <c r="C55" i="3"/>
  <c r="V54" i="3"/>
  <c r="Q54" i="3"/>
  <c r="O54" i="3"/>
  <c r="C54" i="3"/>
  <c r="V53" i="3"/>
  <c r="Q53" i="3"/>
  <c r="O53" i="3"/>
  <c r="C53" i="3"/>
  <c r="V52" i="3"/>
  <c r="Q52" i="3"/>
  <c r="O52" i="3"/>
  <c r="C52" i="3"/>
  <c r="V51" i="3"/>
  <c r="Q51" i="3"/>
  <c r="O51" i="3"/>
  <c r="C51" i="3"/>
  <c r="V50" i="3"/>
  <c r="Q50" i="3"/>
  <c r="O50" i="3"/>
  <c r="C50" i="3"/>
  <c r="V49" i="3"/>
  <c r="Q49" i="3"/>
  <c r="O49" i="3"/>
  <c r="C49" i="3"/>
  <c r="V48" i="3"/>
  <c r="Q48" i="3"/>
  <c r="O48" i="3"/>
  <c r="C48" i="3"/>
  <c r="V47" i="3"/>
  <c r="Q47" i="3"/>
  <c r="O47" i="3"/>
  <c r="C47" i="3"/>
  <c r="V46" i="3"/>
  <c r="Q46" i="3"/>
  <c r="O46" i="3"/>
  <c r="C46" i="3"/>
  <c r="V45" i="3"/>
  <c r="Q45" i="3"/>
  <c r="O45" i="3"/>
  <c r="C45" i="3"/>
  <c r="V44" i="3"/>
  <c r="Q44" i="3"/>
  <c r="O44" i="3"/>
  <c r="C44" i="3"/>
  <c r="V43" i="3"/>
  <c r="Q43" i="3"/>
  <c r="O43" i="3"/>
  <c r="C43" i="3"/>
  <c r="V42" i="3"/>
  <c r="Q42" i="3"/>
  <c r="O42" i="3"/>
  <c r="C42" i="3"/>
  <c r="V41" i="3"/>
  <c r="Q41" i="3"/>
  <c r="O41" i="3"/>
  <c r="C41" i="3"/>
  <c r="V40" i="3"/>
  <c r="Q40" i="3"/>
  <c r="O40" i="3"/>
  <c r="C40" i="3"/>
  <c r="V39" i="3"/>
  <c r="Q39" i="3"/>
  <c r="O39" i="3"/>
  <c r="C39" i="3"/>
  <c r="V38" i="3"/>
  <c r="Q38" i="3"/>
  <c r="O38" i="3"/>
  <c r="C38" i="3"/>
  <c r="V37" i="3"/>
  <c r="Q37" i="3"/>
  <c r="O37" i="3"/>
  <c r="C37" i="3"/>
  <c r="V36" i="3"/>
  <c r="Q36" i="3"/>
  <c r="O36" i="3"/>
  <c r="C36" i="3"/>
  <c r="V35" i="3"/>
  <c r="Q35" i="3"/>
  <c r="O35" i="3"/>
  <c r="C35" i="3"/>
  <c r="V34" i="3"/>
  <c r="Q34" i="3"/>
  <c r="O34" i="3"/>
  <c r="C34" i="3"/>
  <c r="V33" i="3"/>
  <c r="Q33" i="3"/>
  <c r="O33" i="3"/>
  <c r="C33" i="3"/>
  <c r="V32" i="3"/>
  <c r="Q32" i="3"/>
  <c r="O32" i="3"/>
  <c r="C32" i="3"/>
  <c r="V31" i="3"/>
  <c r="Q31" i="3"/>
  <c r="O31" i="3"/>
  <c r="C31" i="3"/>
  <c r="V30" i="3"/>
  <c r="Q30" i="3"/>
  <c r="O30" i="3"/>
  <c r="C30" i="3"/>
  <c r="V29" i="3"/>
  <c r="Q29" i="3"/>
  <c r="O29" i="3"/>
  <c r="C29" i="3"/>
  <c r="V28" i="3"/>
  <c r="Q28" i="3"/>
  <c r="O28" i="3"/>
  <c r="C28" i="3"/>
  <c r="V27" i="3"/>
  <c r="Q27" i="3"/>
  <c r="O27" i="3"/>
  <c r="C27" i="3"/>
  <c r="V26" i="3"/>
  <c r="Q26" i="3"/>
  <c r="O26" i="3"/>
  <c r="C26" i="3"/>
  <c r="V25" i="3"/>
  <c r="Q25" i="3"/>
  <c r="O25" i="3"/>
  <c r="C25" i="3"/>
  <c r="V24" i="3"/>
  <c r="Q24" i="3"/>
  <c r="O24" i="3"/>
  <c r="C24" i="3"/>
  <c r="V23" i="3"/>
  <c r="Q23" i="3"/>
  <c r="O23" i="3"/>
  <c r="C23" i="3"/>
  <c r="V22" i="3"/>
  <c r="Q22" i="3"/>
  <c r="O22" i="3"/>
  <c r="C22" i="3"/>
  <c r="V21" i="3"/>
  <c r="Q21" i="3"/>
  <c r="O21" i="3"/>
  <c r="C21" i="3"/>
  <c r="V20" i="3"/>
  <c r="Q20" i="3"/>
  <c r="O20" i="3"/>
  <c r="C20" i="3"/>
  <c r="V19" i="3"/>
  <c r="Q19" i="3"/>
  <c r="O19" i="3"/>
  <c r="C19" i="3"/>
  <c r="V18" i="3"/>
  <c r="Q18" i="3"/>
  <c r="O18" i="3"/>
  <c r="C18" i="3"/>
  <c r="V17" i="3"/>
  <c r="Q17" i="3"/>
  <c r="O17" i="3"/>
  <c r="C17" i="3"/>
  <c r="V16" i="3"/>
  <c r="Q16" i="3"/>
  <c r="O16" i="3"/>
  <c r="C16" i="3"/>
  <c r="V15" i="3"/>
  <c r="Q15" i="3"/>
  <c r="O15" i="3"/>
  <c r="C15" i="3"/>
  <c r="V14" i="3"/>
  <c r="Q14" i="3"/>
  <c r="O14" i="3"/>
  <c r="C14" i="3"/>
  <c r="V13" i="3"/>
  <c r="Q13" i="3"/>
  <c r="O13" i="3"/>
  <c r="C13" i="3"/>
  <c r="V12" i="3"/>
  <c r="Q12" i="3"/>
  <c r="O12" i="3"/>
  <c r="C12" i="3"/>
  <c r="V11" i="3"/>
  <c r="Q11" i="3"/>
  <c r="O11" i="3"/>
  <c r="C11" i="3"/>
  <c r="V10" i="3"/>
  <c r="Q10" i="3"/>
  <c r="O10" i="3"/>
  <c r="C10" i="3"/>
  <c r="V9" i="3"/>
  <c r="Q9" i="3"/>
  <c r="O9" i="3"/>
  <c r="C9" i="3"/>
  <c r="V8" i="3"/>
  <c r="Q8" i="3"/>
  <c r="O8" i="3"/>
  <c r="C8" i="3"/>
  <c r="V7" i="3"/>
  <c r="Q7" i="3"/>
  <c r="O7" i="3"/>
  <c r="C7" i="3"/>
  <c r="V6" i="3"/>
  <c r="Q6" i="3"/>
  <c r="O6" i="3"/>
  <c r="C6" i="3"/>
  <c r="V5" i="3"/>
  <c r="Q5" i="3"/>
  <c r="O5" i="3"/>
  <c r="C5" i="3"/>
  <c r="V4" i="3"/>
  <c r="Q4" i="3"/>
  <c r="O4" i="3"/>
  <c r="C4" i="3"/>
  <c r="D63" i="2" s="1"/>
  <c r="V3" i="3"/>
  <c r="Q3" i="3"/>
  <c r="O3" i="3"/>
  <c r="C3" i="3"/>
  <c r="E63" i="2" s="1"/>
  <c r="V2" i="3"/>
  <c r="B54" i="4" s="1"/>
  <c r="C54" i="4" s="1"/>
  <c r="Q2" i="3"/>
  <c r="D69" i="2" s="1"/>
  <c r="O2" i="3"/>
  <c r="B47" i="4" s="1"/>
  <c r="C47" i="4" s="1"/>
  <c r="C2" i="3"/>
  <c r="B63" i="2" s="1"/>
  <c r="C97" i="2"/>
  <c r="B97" i="2"/>
  <c r="B96" i="2"/>
  <c r="C96" i="2" s="1"/>
  <c r="C95" i="2"/>
  <c r="B95" i="2"/>
  <c r="B94" i="2"/>
  <c r="C94" i="2" s="1"/>
  <c r="B93" i="2"/>
  <c r="C93" i="2" s="1"/>
  <c r="C92" i="2"/>
  <c r="B92" i="2"/>
  <c r="F87" i="2"/>
  <c r="E87" i="2"/>
  <c r="D87" i="2"/>
  <c r="C87" i="2"/>
  <c r="B87" i="2"/>
  <c r="F86" i="2"/>
  <c r="E86" i="2"/>
  <c r="D86" i="2"/>
  <c r="C86" i="2"/>
  <c r="B86" i="2"/>
  <c r="F85" i="2"/>
  <c r="E85" i="2"/>
  <c r="D85" i="2"/>
  <c r="C85" i="2"/>
  <c r="B85" i="2"/>
  <c r="F84" i="2"/>
  <c r="E84" i="2"/>
  <c r="D84" i="2"/>
  <c r="C84" i="2"/>
  <c r="B84" i="2"/>
  <c r="F83" i="2"/>
  <c r="E83" i="2"/>
  <c r="D83" i="2"/>
  <c r="C83" i="2"/>
  <c r="B83" i="2"/>
  <c r="F82" i="2"/>
  <c r="E82" i="2"/>
  <c r="D82" i="2"/>
  <c r="C82" i="2"/>
  <c r="B82" i="2"/>
  <c r="F81" i="2"/>
  <c r="E81" i="2"/>
  <c r="D81" i="2"/>
  <c r="C81" i="2"/>
  <c r="B81" i="2"/>
  <c r="B76" i="2"/>
  <c r="C76" i="2" s="1"/>
  <c r="B75" i="2"/>
  <c r="B74" i="2"/>
  <c r="C75" i="2" s="1"/>
  <c r="C68" i="2"/>
  <c r="B68" i="2"/>
  <c r="E61" i="2"/>
  <c r="D61" i="2"/>
  <c r="C61" i="2"/>
  <c r="B61" i="2"/>
  <c r="D60" i="2"/>
  <c r="C60" i="2"/>
  <c r="B60"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0" i="2"/>
  <c r="C40" i="2"/>
  <c r="B40" i="2"/>
  <c r="D38" i="2"/>
  <c r="C38" i="2"/>
  <c r="A12" i="1" s="1"/>
  <c r="B38" i="2"/>
  <c r="D37" i="2"/>
  <c r="C37" i="2"/>
  <c r="B37" i="2"/>
  <c r="D36" i="2"/>
  <c r="C36" i="2"/>
  <c r="B36" i="2"/>
  <c r="D35" i="2"/>
  <c r="C35" i="2"/>
  <c r="B35" i="2"/>
  <c r="D34" i="2"/>
  <c r="C34" i="2"/>
  <c r="B34" i="2"/>
  <c r="D33" i="2"/>
  <c r="C33" i="2"/>
  <c r="B33" i="2"/>
  <c r="D32" i="2"/>
  <c r="C32" i="2"/>
  <c r="B32" i="2"/>
  <c r="D31" i="2"/>
  <c r="C31" i="2"/>
  <c r="B31" i="2"/>
  <c r="D30" i="2"/>
  <c r="C30" i="2"/>
  <c r="B30" i="2"/>
  <c r="F25" i="2"/>
  <c r="E25" i="2"/>
  <c r="D25" i="2"/>
  <c r="C25" i="2"/>
  <c r="B25" i="2"/>
  <c r="F24" i="2"/>
  <c r="E24" i="2"/>
  <c r="D24" i="2"/>
  <c r="C24" i="2"/>
  <c r="B24" i="2"/>
  <c r="F23" i="2"/>
  <c r="E23" i="2"/>
  <c r="D23" i="2"/>
  <c r="C23" i="2"/>
  <c r="B23" i="2"/>
  <c r="F22" i="2"/>
  <c r="E22" i="2"/>
  <c r="D22" i="2"/>
  <c r="C22" i="2"/>
  <c r="B22" i="2"/>
  <c r="F21" i="2"/>
  <c r="E21" i="2"/>
  <c r="D21" i="2"/>
  <c r="C21" i="2"/>
  <c r="B21" i="2"/>
  <c r="F20" i="2"/>
  <c r="E20" i="2"/>
  <c r="D20" i="2"/>
  <c r="C20" i="2"/>
  <c r="B20" i="2"/>
  <c r="F19" i="2"/>
  <c r="E19" i="2"/>
  <c r="D19" i="2"/>
  <c r="C19" i="2"/>
  <c r="B19" i="2"/>
  <c r="F18" i="2"/>
  <c r="E18" i="2"/>
  <c r="D18" i="2"/>
  <c r="C18" i="2"/>
  <c r="B18" i="2"/>
  <c r="H13" i="2"/>
  <c r="G13" i="2"/>
  <c r="F13" i="2"/>
  <c r="E13" i="2"/>
  <c r="D13" i="2"/>
  <c r="B13" i="2"/>
  <c r="C13" i="2" s="1"/>
  <c r="H12" i="2"/>
  <c r="G12" i="2"/>
  <c r="F12" i="2"/>
  <c r="E12" i="2"/>
  <c r="D12" i="2"/>
  <c r="B12" i="2"/>
  <c r="C12" i="2" s="1"/>
  <c r="H11" i="2"/>
  <c r="G11" i="2"/>
  <c r="F11" i="2"/>
  <c r="E11" i="2"/>
  <c r="D11" i="2"/>
  <c r="B11" i="2"/>
  <c r="C11" i="2" s="1"/>
  <c r="H10" i="2"/>
  <c r="G10" i="2"/>
  <c r="F10" i="2"/>
  <c r="E10" i="2"/>
  <c r="D10" i="2"/>
  <c r="B10" i="2"/>
  <c r="H9" i="2"/>
  <c r="G9" i="2"/>
  <c r="F9" i="2"/>
  <c r="E9" i="2"/>
  <c r="D9" i="2"/>
  <c r="B9" i="2"/>
  <c r="C9" i="2" s="1"/>
  <c r="H8" i="2"/>
  <c r="G8" i="2"/>
  <c r="F8" i="2"/>
  <c r="E8" i="2"/>
  <c r="D8" i="2"/>
  <c r="B8" i="2"/>
  <c r="C8" i="2" s="1"/>
  <c r="H7" i="2"/>
  <c r="G7" i="2"/>
  <c r="F7" i="2"/>
  <c r="E7" i="2"/>
  <c r="D7" i="2"/>
  <c r="B7" i="2"/>
  <c r="C6" i="2" s="1"/>
  <c r="H6" i="2"/>
  <c r="G6" i="2"/>
  <c r="F6" i="2"/>
  <c r="E6" i="2"/>
  <c r="D6" i="2"/>
  <c r="B6" i="2"/>
  <c r="C10" i="2" s="1"/>
  <c r="A11" i="1"/>
  <c r="A8" i="1"/>
  <c r="Q6" i="1"/>
  <c r="M6" i="1"/>
  <c r="I6" i="1"/>
  <c r="E6" i="1"/>
  <c r="A6" i="1"/>
  <c r="A14" i="1" l="1"/>
  <c r="B49" i="4"/>
  <c r="C49" i="4" s="1"/>
  <c r="D68" i="2"/>
  <c r="E60" i="2"/>
  <c r="E68" i="2"/>
  <c r="B69" i="2"/>
  <c r="A13" i="1" s="1"/>
  <c r="C69" i="2"/>
  <c r="U6" i="1"/>
  <c r="B39" i="2"/>
  <c r="B62" i="2"/>
  <c r="E69" i="2"/>
  <c r="C39" i="2"/>
  <c r="C62" i="2"/>
  <c r="F69" i="2"/>
  <c r="D39" i="2"/>
  <c r="D62" i="2"/>
  <c r="C7" i="2"/>
  <c r="E62" i="2"/>
  <c r="C74" i="2"/>
  <c r="B59" i="2"/>
  <c r="C59" i="2"/>
  <c r="C63" i="2"/>
  <c r="F68" i="2"/>
  <c r="D59" i="2"/>
  <c r="E59" i="2"/>
</calcChain>
</file>

<file path=xl/sharedStrings.xml><?xml version="1.0" encoding="utf-8"?>
<sst xmlns="http://schemas.openxmlformats.org/spreadsheetml/2006/main" count="8843" uniqueCount="1383">
  <si>
    <t>How people use AI at school and at work</t>
  </si>
  <si>
    <t>USERS SURVEYED</t>
  </si>
  <si>
    <t>AI HOURS PER DAY</t>
  </si>
  <si>
    <t>HOURS SAVED A WEEK</t>
  </si>
  <si>
    <t>SATISFACTION</t>
  </si>
  <si>
    <t>WOULD RECOMMEND</t>
  </si>
  <si>
    <t>PAY FOR AI</t>
  </si>
  <si>
    <t>average per user</t>
  </si>
  <si>
    <t>average score</t>
  </si>
  <si>
    <t>answered Yes</t>
  </si>
  <si>
    <t>on a paid plan</t>
  </si>
  <si>
    <t>What the data says</t>
  </si>
  <si>
    <t>Source: AI_Usage_and_Impact_on_Students_and_Professionals.csv (300 rows, 288 after removing duplicates). Open the Cleaning_Log tab for every change made.</t>
  </si>
  <si>
    <t>Analysis tables</t>
  </si>
  <si>
    <t>Every number below is a live formula on the Clean_Data sheet. These tables feed the Dashboard charts. Blank answers are ignored in averages.</t>
  </si>
  <si>
    <t>1. AI tools: adoption and results</t>
  </si>
  <si>
    <t>AI Tool</t>
  </si>
  <si>
    <t>Users</t>
  </si>
  <si>
    <t>Share of Tool Answers</t>
  </si>
  <si>
    <t>Avg Satisfaction (1-10)</t>
  </si>
  <si>
    <t>Avg Productivity (1-10)</t>
  </si>
  <si>
    <t>Avg Accuracy (1-5)</t>
  </si>
  <si>
    <t>% Would Recommend (Yes)</t>
  </si>
  <si>
    <t>Avg Hrs Saved / Week</t>
  </si>
  <si>
    <t>ChatGPT</t>
  </si>
  <si>
    <t>Google Gemini</t>
  </si>
  <si>
    <t>Microsoft Copilot</t>
  </si>
  <si>
    <t>Claude</t>
  </si>
  <si>
    <t>Perplexity AI</t>
  </si>
  <si>
    <t>Grammarly</t>
  </si>
  <si>
    <t>Meta AI</t>
  </si>
  <si>
    <t>DeepSeek</t>
  </si>
  <si>
    <t>2. What people use AI for</t>
  </si>
  <si>
    <t>AI Purpose</t>
  </si>
  <si>
    <t>Students</t>
  </si>
  <si>
    <t>Professionals</t>
  </si>
  <si>
    <t>Coding</t>
  </si>
  <si>
    <t>Writing</t>
  </si>
  <si>
    <t>Studying</t>
  </si>
  <si>
    <t>Research</t>
  </si>
  <si>
    <t>Content Creation</t>
  </si>
  <si>
    <t>Data Analysis</t>
  </si>
  <si>
    <t>Customer Support</t>
  </si>
  <si>
    <t>Office Work</t>
  </si>
  <si>
    <t>3. Students vs professionals</t>
  </si>
  <si>
    <t>Metric</t>
  </si>
  <si>
    <t>Student</t>
  </si>
  <si>
    <t>Professional</t>
  </si>
  <si>
    <t>All Users</t>
  </si>
  <si>
    <t>Avg age</t>
  </si>
  <si>
    <t>Avg monthly income</t>
  </si>
  <si>
    <t>Avg AI hours / day</t>
  </si>
  <si>
    <t>Avg work/study hours / day</t>
  </si>
  <si>
    <t>Avg productivity (1-10)</t>
  </si>
  <si>
    <t>Avg accuracy (1-5)</t>
  </si>
  <si>
    <t>Avg satisfaction (1-10)</t>
  </si>
  <si>
    <t>Avg hrs saved / week</t>
  </si>
  <si>
    <t>% on a paid plan</t>
  </si>
  <si>
    <t>% would recommend (Yes)</t>
  </si>
  <si>
    <t>4. Top 10 countries by number of users</t>
  </si>
  <si>
    <t>Country</t>
  </si>
  <si>
    <t>India</t>
  </si>
  <si>
    <t>United States</t>
  </si>
  <si>
    <t>Canada</t>
  </si>
  <si>
    <t>Pakistan</t>
  </si>
  <si>
    <t>United Kingdom</t>
  </si>
  <si>
    <t>Brazil</t>
  </si>
  <si>
    <t>Philippines</t>
  </si>
  <si>
    <t>Australia</t>
  </si>
  <si>
    <t>Nigeria</t>
  </si>
  <si>
    <t>Germany</t>
  </si>
  <si>
    <t>5. Age groups</t>
  </si>
  <si>
    <t>Age Group</t>
  </si>
  <si>
    <t>Avg AI Hours / Day</t>
  </si>
  <si>
    <t>Under 18</t>
  </si>
  <si>
    <t>18-24</t>
  </si>
  <si>
    <t>25-34</t>
  </si>
  <si>
    <t>35-44</t>
  </si>
  <si>
    <t>45+</t>
  </si>
  <si>
    <t>6. Free vs paid AI plans</t>
  </si>
  <si>
    <t>Plan</t>
  </si>
  <si>
    <t>Free</t>
  </si>
  <si>
    <t>Paid</t>
  </si>
  <si>
    <t>7. Would they recommend it?</t>
  </si>
  <si>
    <t>Answer</t>
  </si>
  <si>
    <t>Share</t>
  </si>
  <si>
    <t>Yes</t>
  </si>
  <si>
    <t>Maybe</t>
  </si>
  <si>
    <t>No</t>
  </si>
  <si>
    <t>8. Job and field families</t>
  </si>
  <si>
    <t>Field</t>
  </si>
  <si>
    <t>Content, Media &amp; Writing</t>
  </si>
  <si>
    <t>Software &amp; IT</t>
  </si>
  <si>
    <t>Data &amp; Analytics</t>
  </si>
  <si>
    <t>Science &amp; Research</t>
  </si>
  <si>
    <t>Engineering</t>
  </si>
  <si>
    <t>Business &amp; Admin</t>
  </si>
  <si>
    <t>9. What moves together? (correlations)</t>
  </si>
  <si>
    <t>r near +1 or -1 = strong link. Correlation is not cause.</t>
  </si>
  <si>
    <t>Pair</t>
  </si>
  <si>
    <t>r</t>
  </si>
  <si>
    <t>Reading</t>
  </si>
  <si>
    <t>AI hours per day vs hours saved per week</t>
  </si>
  <si>
    <t>AI hours per day vs productivity</t>
  </si>
  <si>
    <t>Productivity vs satisfaction</t>
  </si>
  <si>
    <t>Accuracy rating vs satisfaction</t>
  </si>
  <si>
    <t>Monthly AI cost vs satisfaction</t>
  </si>
  <si>
    <t>Age vs AI hours per day</t>
  </si>
  <si>
    <t>User_ID</t>
  </si>
  <si>
    <t>Age</t>
  </si>
  <si>
    <t>Age_Group</t>
  </si>
  <si>
    <t>Gender</t>
  </si>
  <si>
    <t>User_Type</t>
  </si>
  <si>
    <t>Education_Level</t>
  </si>
  <si>
    <t>Profession</t>
  </si>
  <si>
    <t>Profession_Group</t>
  </si>
  <si>
    <t>Monthly_Income</t>
  </si>
  <si>
    <t>AI_Tool</t>
  </si>
  <si>
    <t>AI_Purpose</t>
  </si>
  <si>
    <t>AI_Hours_Per_Day</t>
  </si>
  <si>
    <t>Work_Study_Hours_Per_Day</t>
  </si>
  <si>
    <t>AI_Share_of_Day</t>
  </si>
  <si>
    <t>Monthly_AI_Cost</t>
  </si>
  <si>
    <t>Plan_Type</t>
  </si>
  <si>
    <t>Productivity_Score</t>
  </si>
  <si>
    <t>Accuracy_Rating</t>
  </si>
  <si>
    <t>Satisfaction_Score</t>
  </si>
  <si>
    <t>Time_Saved_Hours_Per_Week</t>
  </si>
  <si>
    <t>Hours_Saved_per_AI_Hour</t>
  </si>
  <si>
    <t>Would_Recommend</t>
  </si>
  <si>
    <t>Data_Flags</t>
  </si>
  <si>
    <t>Tasks_Performed</t>
  </si>
  <si>
    <t>U0269</t>
  </si>
  <si>
    <t>Male</t>
  </si>
  <si>
    <t>Master's</t>
  </si>
  <si>
    <t>Business Analyst</t>
  </si>
  <si>
    <t>Data analysis using AI-powered analytics tools, automated report generation, process optimization modelling, AI-assisted business intelligence reporting</t>
  </si>
  <si>
    <t>U0217</t>
  </si>
  <si>
    <t>Bachelor's</t>
  </si>
  <si>
    <t>Customer Support Specialist</t>
  </si>
  <si>
    <t>Resolving customer inquiries using AI chatbot platforms, drafting personalized email responses with AI writing assistants, analyzing customer sentiment with AI tools, managing support tickets with AI-powered ticketing systems</t>
  </si>
  <si>
    <t>U0152</t>
  </si>
  <si>
    <t>Computer Science Student</t>
  </si>
  <si>
    <t>U0264</t>
  </si>
  <si>
    <t>Female</t>
  </si>
  <si>
    <t>Desenvolvedora de Software / Software Developer</t>
  </si>
  <si>
    <t>Usar GitHub Copilot para autocompletar código, debugar aplicações com assistência de IA, otimizar algoritmos com sugestões de IA, revisar e refatorar código existente</t>
  </si>
  <si>
    <t>U0263</t>
  </si>
  <si>
    <t>Undergraduate</t>
  </si>
  <si>
    <t>Biology Student</t>
  </si>
  <si>
    <t>Using AI to generate study summaries for exam preparation, getting help with practice problem solutions, organizing research paper notes</t>
  </si>
  <si>
    <t>U0225</t>
  </si>
  <si>
    <t>Business Analytics Student</t>
  </si>
  <si>
    <t>Statistical analysis on datasets, data visualization with Python libraries, predictive modeling for coursework, business intelligence report generation</t>
  </si>
  <si>
    <t>U0246</t>
  </si>
  <si>
    <t>France</t>
  </si>
  <si>
    <t>Développeur Full Stack</t>
  </si>
  <si>
    <t>Automated code review with AI-powered linters, Generated boilerplate code and API endpoints using GitHub Copilot, Debugged complex algorithms with AI assistance, Optimized database queries using AI suggestions</t>
  </si>
  <si>
    <t>U0177</t>
  </si>
  <si>
    <t>High School</t>
  </si>
  <si>
    <t>Social Media Content Creator</t>
  </si>
  <si>
    <t>Creating Instagram/TikTok captions with AI writing tools, Generating YouTube thumbnails and video descriptions using AI design assistants, Editing photos and videos with AI-powered software</t>
  </si>
  <si>
    <t>U0207</t>
  </si>
  <si>
    <t>Digital Media Production Student</t>
  </si>
  <si>
    <t>Creating YouTube video scripts, Designing social media graphics with AI image generators, Writing blog content for tech topics</t>
  </si>
  <si>
    <t>U0167</t>
  </si>
  <si>
    <t>Email copywriting, Social media post creation, Blog article drafting, Product description writing</t>
  </si>
  <si>
    <t>U0135</t>
  </si>
  <si>
    <t>Research Analyst</t>
  </si>
  <si>
    <t>Literature review and synthesis using AI-powered databases, Data analysis and pattern recognition, Research paper writing and academic content generation</t>
  </si>
  <si>
    <t>U0211</t>
  </si>
  <si>
    <t>Mechanical Engineering Student</t>
  </si>
  <si>
    <t>Literature review and paper summarization, Data analysis for lab experiments, Generating research hypotheses, Technical documentation and report writing</t>
  </si>
  <si>
    <t>U0114</t>
  </si>
  <si>
    <t>Software Developer</t>
  </si>
  <si>
    <t>Using AI code completion tools for writing Python functions, debugging code with AI-assisted analysis, generating unit test cases with AI tools</t>
  </si>
  <si>
    <t>U0191</t>
  </si>
  <si>
    <t>Software Engineering Student</t>
  </si>
  <si>
    <t>AI hrs exceed work/study hrs (kept)</t>
  </si>
  <si>
    <t>Debugging code with AI assistance, generating code snippets for assignments, learning programming concepts through AI explanations</t>
  </si>
  <si>
    <t>U0035</t>
  </si>
  <si>
    <t>Data Analyst</t>
  </si>
  <si>
    <t>Automated data cleaning and processing with Python scripts, building predictive models using machine learning algorithms, generating interactive dashboards and visualizations in Power BI</t>
  </si>
  <si>
    <t>U0138</t>
  </si>
  <si>
    <t>U0059</t>
  </si>
  <si>
    <t>Customer Service Representative</t>
  </si>
  <si>
    <t>Responding to customer inquiries via AI chatbots, drafting personalized support emails using AI writing assistants, resolving common technical issues with AI-guided troubleshooting scripts</t>
  </si>
  <si>
    <t>U0215</t>
  </si>
  <si>
    <t>English Literature Student</t>
  </si>
  <si>
    <t>Drafting research papers on literary analysis, brainstorming essay outlines, proofreading and refining academic writing, generating content summaries for thesis work</t>
  </si>
  <si>
    <t>U0228</t>
  </si>
  <si>
    <t>Kenya</t>
  </si>
  <si>
    <t>Literature review for lab reports, summarizing research papers on molecular genetics, generating study notes from scientific articles</t>
  </si>
  <si>
    <t>U0046</t>
  </si>
  <si>
    <t>Diploma</t>
  </si>
  <si>
    <t>Research Technician</t>
  </si>
  <si>
    <t>AI hrs/day over 16, blanked</t>
  </si>
  <si>
    <t>Literature review synthesis using AI search tools, Data analysis and statistical reporting with AI-assisted tools, Survey data organization and preliminary findings documentation</t>
  </si>
  <si>
    <t>U0176</t>
  </si>
  <si>
    <t>AI-Powered Customer Support Executive</t>
  </si>
  <si>
    <t>AI chatbot management and customer query routing, multilingual customer response handling using AI tools, customer complaint analysis and resolution tracking</t>
  </si>
  <si>
    <t>U0227</t>
  </si>
  <si>
    <t>Essay structuring and outline generation, thesis statement refinement, academic paper proofreading and grammar checking, creative writing brainstorming</t>
  </si>
  <si>
    <t>U0198</t>
  </si>
  <si>
    <t>Kundenservice-Spezialistin / Customer Service Specialist</t>
  </si>
  <si>
    <t>U0141</t>
  </si>
  <si>
    <t>Debugging Python code with AI assistants, generating boilerplate code for web projects, learning algorithms through AI-generated explanations</t>
  </si>
  <si>
    <t>U0205</t>
  </si>
  <si>
    <t>Analyzing complex physics problems, generating study notes from lecture content, debugging code for coursework projects, creating visual explanations of thermodynamic concepts</t>
  </si>
  <si>
    <t>U0209</t>
  </si>
  <si>
    <t>Digital Content Creator</t>
  </si>
  <si>
    <t>Generating social media captions with AI, Creating blog post drafts using language models, Editing photos and videos with AI tools, Scheduling posts across multiple platforms</t>
  </si>
  <si>
    <t>U0149</t>
  </si>
  <si>
    <t>Writing and debugging Python code, generating documentation for projects, optimizing algorithms</t>
  </si>
  <si>
    <t>U0179</t>
  </si>
  <si>
    <t>Pesquisador de Mercado</t>
  </si>
  <si>
    <t>Análise de tendências usando ferramentas de IA, extração de dados de fontes públicas, geração de relatórios automatizados, síntese de artigos acadêmicos</t>
  </si>
  <si>
    <t>U0016</t>
  </si>
  <si>
    <t>Using AI to generate practice exam questions, summarizing research papers, explaining complex concepts like cellular respiration</t>
  </si>
  <si>
    <t>U0132</t>
  </si>
  <si>
    <t>Business Administration Student</t>
  </si>
  <si>
    <t>Literature review and source compilation, Data analysis and statistical interpretation, Essay research and citation management</t>
  </si>
  <si>
    <t>U0008</t>
  </si>
  <si>
    <t>Essay composition and structure planning, grammar checking and proofreading, research paper summarization, creative writing feedback and editing</t>
  </si>
  <si>
    <t>U0162</t>
  </si>
  <si>
    <t>Literature review automation using AI databases, conducting qualitative data analysis with AI tools, generating research reports and summaries, market research data collection and synthesis</t>
  </si>
  <si>
    <t>U0081</t>
  </si>
  <si>
    <t>Research Assistant</t>
  </si>
  <si>
    <t>Literature review using AI search tools, data analysis with AI-powered statistical software, market research report generation, academic paper summarization</t>
  </si>
  <si>
    <t>U0014</t>
  </si>
  <si>
    <t>Engineering Student</t>
  </si>
  <si>
    <t>Solving physics problems with AI explanation, generating practice questions for exams, translating complex concepts into simplified notes</t>
  </si>
  <si>
    <t>U0278</t>
  </si>
  <si>
    <t>Generating practice problems and solutions for thermodynamics assignments, debugging Python code for finite element analysis projects, summarizing lecture notes on fluid mechanics concepts</t>
  </si>
  <si>
    <t>U0102</t>
  </si>
  <si>
    <t>Information Technology Student</t>
  </si>
  <si>
    <t>U0258</t>
  </si>
  <si>
    <t>Literature review and paper summarization, Data analysis and interpretation, Research proposal drafting, Scientific article finding and organization</t>
  </si>
  <si>
    <t>U0239</t>
  </si>
  <si>
    <t>Senior Software Engineer</t>
  </si>
  <si>
    <t>Code review and optimization using AI assistants, automated bug detection and debugging with AI tools, AI-assisted documentation generation, infrastructure code maintenance</t>
  </si>
  <si>
    <t>U0071</t>
  </si>
  <si>
    <t>Data Analytics Manager</t>
  </si>
  <si>
    <t>Building predictive models with Python and scikit-learn, Creating business intelligence dashboards in Tableau, Performing statistical analysis on customer datasets</t>
  </si>
  <si>
    <t>U0259</t>
  </si>
  <si>
    <t>PhD</t>
  </si>
  <si>
    <t>Engenheiro de Software Sênior / Tech Lead</t>
  </si>
  <si>
    <t>Desenvolvimento de algoritmos com assistência de IA, code review automatizado com ferramentas de IA, arquitetura de sistemas de software, mentoria de equipes em práticas de desenvolvimento com IA</t>
  </si>
  <si>
    <t>U0075</t>
  </si>
  <si>
    <t>Content Writer</t>
  </si>
  <si>
    <t>Drafting blog posts and articles with AI writing assistants, using AI tools to brainstorm content ideas and outline structures, editing and refining generated content for tone and accuracy</t>
  </si>
  <si>
    <t>U0288</t>
  </si>
  <si>
    <t>Senior Software Engineer / Technical Lead</t>
  </si>
  <si>
    <t>Code generation and debugging using AI, automated code review and optimization, rapid prototyping using AI-assisted development frameworks, API design and documentation using AI tools</t>
  </si>
  <si>
    <t>U0271</t>
  </si>
  <si>
    <t>Code debugging and optimization using AI assistants, automated test case generation, API integration and documentation, algorithm optimization suggestions</t>
  </si>
  <si>
    <t>U0070</t>
  </si>
  <si>
    <t>Using AI to solve physics problems, generating study summaries for calculus, translating technical documents from English to Portuguese</t>
  </si>
  <si>
    <t>U0054</t>
  </si>
  <si>
    <t>Debugging code with AI assistants, Learning Python and JavaScript syntax, Solving LeetCode problems with AI explanations</t>
  </si>
  <si>
    <t>U0164</t>
  </si>
  <si>
    <t>Research Scientist/Senior Research Officer</t>
  </si>
  <si>
    <t>Literature review automation with AI tools, data analysis and pattern recognition, research paper synthesis and summarization, hypothesis validation using machine learning models</t>
  </si>
  <si>
    <t>U0219</t>
  </si>
  <si>
    <t>Artificial Intelligence and Machine Learning Student</t>
  </si>
  <si>
    <t>Debugging Python code with AI-powered IDE plugins, Generating optimization algorithms for data structures, Writing and testing unit tests for complex modules</t>
  </si>
  <si>
    <t>U0036</t>
  </si>
  <si>
    <t>Content Strategy Manager</t>
  </si>
  <si>
    <t>Uses AI tools to generate initial content drafts, optimize SEO metadata and headlines, streamline editing and proofreading processes, manage multi-channel content calendars</t>
  </si>
  <si>
    <t>U0057</t>
  </si>
  <si>
    <t>Essay composition and structure planning, grammar and spelling correction, brainstorming ideas for creative writing assignments</t>
  </si>
  <si>
    <t>U0060</t>
  </si>
  <si>
    <t>Literature review and paper summarization, Data analysis for research datasets, Academic paper organization and citation management</t>
  </si>
  <si>
    <t>U0226</t>
  </si>
  <si>
    <t>Social Media Content Creator / Digital Marketer</t>
  </si>
  <si>
    <t>Creating engaging social media posts with AI writing tools, Generating captions and hashtags using AI, Editing and optimizing images with AI-powered design tools, Producing video content summaries and descriptions</t>
  </si>
  <si>
    <t>U0118</t>
  </si>
  <si>
    <t>Other / Non-binary</t>
  </si>
  <si>
    <t>Responsable de Contenu Digital</t>
  </si>
  <si>
    <t>Création d'articles de blog avec assistance IA, Génération de contenu pour réseaux sociaux, Optimisation SEO avec outils IA, Édition et révision de textes</t>
  </si>
  <si>
    <t>U0028</t>
  </si>
  <si>
    <t>Essay drafting and outline generation, academic paper research summarization, creative writing feedback and editing</t>
  </si>
  <si>
    <t>U0125</t>
  </si>
  <si>
    <t>Debugging Python code with AI code analysis, Writing SQL queries for database projects, Generating HTML/CSS templates for web assignments</t>
  </si>
  <si>
    <t>U0223</t>
  </si>
  <si>
    <t>Marketing Communications Officer</t>
  </si>
  <si>
    <t>AI-assisted content writing for social media and marketing campaigns, proofreading and editing copy with AI grammar tools, generating email newsletters and promotional materials</t>
  </si>
  <si>
    <t>U0243</t>
  </si>
  <si>
    <t>Drafting customer responses using AI writing assistants, analyzing customer feedback with sentiment analysis tools, resolving FAQs using AI knowledge base systems, escalating complex issues to senior staff</t>
  </si>
  <si>
    <t>U0165</t>
  </si>
  <si>
    <t>Using AI to solve physics and calculus problems, generating practice exam questions, translating technical documentation from English to Portuguese</t>
  </si>
  <si>
    <t>U0238</t>
  </si>
  <si>
    <t>Digital Media Student</t>
  </si>
  <si>
    <t>Creating social media graphics with AI design tools, Writing blog posts and articles with AI writing assistants, Generating video scripts and editing content with AI video tools</t>
  </si>
  <si>
    <t>U0069</t>
  </si>
  <si>
    <t>Content Marketing Manager</t>
  </si>
  <si>
    <t>Creating blog posts and web copy with AI writing assistants, editing and refining client proposals, generating social media content calendars and posts</t>
  </si>
  <si>
    <t>U0092</t>
  </si>
  <si>
    <t>Statistical analysis of datasets, data visualization using Python libraries, predictive modeling with machine learning algorithms, database query optimization</t>
  </si>
  <si>
    <t>U0043</t>
  </si>
  <si>
    <t>U0084</t>
  </si>
  <si>
    <t>Business Intelligence Analyst</t>
  </si>
  <si>
    <t>Cleaning and processing customer transaction data, generating sales trend reports using Python, creating data visualizations in Power BI dashboards</t>
  </si>
  <si>
    <t>U0061</t>
  </si>
  <si>
    <t>Desenvolvedor de Software Sênior</t>
  </si>
  <si>
    <t>Usar GitHub Copilot para completar código, gerar testes unitários com IA, otimizar algoritmos com sugestões de IA, revisar e debugar código com assistentes de IA</t>
  </si>
  <si>
    <t>U0116</t>
  </si>
  <si>
    <t>Digital Media and Communications Student</t>
  </si>
  <si>
    <t>AI-assisted blog writing and SEO optimization, video scriptwriting and thumbnail design generation, social media content creation and caption generation</t>
  </si>
  <si>
    <t>U0039</t>
  </si>
  <si>
    <t>Bioinformatics Student</t>
  </si>
  <si>
    <t>Literature review automation with AI summarization, designing research methodology frameworks, analyzing genomic datasets using machine learning models, peer review preparation assistance</t>
  </si>
  <si>
    <t>U0022</t>
  </si>
  <si>
    <t>Writing and debugging Python code using AI assistants, automating repetitive coding tasks with AI tools, code review and optimization with AI-powered suggestions</t>
  </si>
  <si>
    <t>U0137</t>
  </si>
  <si>
    <t>Code debugging and optimization, API development and integration, machine learning model training and implementation</t>
  </si>
  <si>
    <t>U0027</t>
  </si>
  <si>
    <t>Debugging code with AI assistance, generating boilerplate code for projects, learning new programming concepts through AI explanations</t>
  </si>
  <si>
    <t>U0268</t>
  </si>
  <si>
    <t>Using AI to generate study summaries, practice exam questions, and lab report writing assistance</t>
  </si>
  <si>
    <t>U0131</t>
  </si>
  <si>
    <t>Administrative Assistant</t>
  </si>
  <si>
    <t>Data entry and document formatting with AI tools, scheduling meetings and managing calendar using AI assistants, generating business reports with AI summarization software, proofreading emails and correspondence using grammar AI</t>
  </si>
  <si>
    <t>U0255</t>
  </si>
  <si>
    <t>Code generation and debugging with AI assistants, automated testing and deployment pipeline optimization, machine learning model implementation and optimization</t>
  </si>
  <si>
    <t>U0231</t>
  </si>
  <si>
    <t>Building predictive models with machine learning algorithms, Creating automated dashboards for business intelligence, Cleaning and transforming large datasets for analysis</t>
  </si>
  <si>
    <t>U0067</t>
  </si>
  <si>
    <t>Biotechnology Student</t>
  </si>
  <si>
    <t>Literature review automation, research paper summarization, data analysis and visualization, hypothesis generation</t>
  </si>
  <si>
    <t>U0234</t>
  </si>
  <si>
    <t>Essay composition and structure planning, grammar and style checking, research paper organization, content brainstorming for creative writing assignments</t>
  </si>
  <si>
    <t>U0184</t>
  </si>
  <si>
    <t>Senior Software Engineer / AI Solutions Architect</t>
  </si>
  <si>
    <t>U0096</t>
  </si>
  <si>
    <t>Environmental Science Student</t>
  </si>
  <si>
    <t>U0274</t>
  </si>
  <si>
    <t>Running SQL queries and Python scripts to extract and clean datasets, Creating interactive dashboards and visualizations in Tableau, Performing statistical analysis and generating insights reports</t>
  </si>
  <si>
    <t>U0192</t>
  </si>
  <si>
    <t>U0113</t>
  </si>
  <si>
    <t>Senior Software Developer / Softwareentwicklerin</t>
  </si>
  <si>
    <t>Code generation and optimization using AI assistants, automated testing and bug detection with AI tools, documentation generation from code comments, refactoring legacy code with AI suggestions</t>
  </si>
  <si>
    <t>U0254</t>
  </si>
  <si>
    <t>Customer Support Manager</t>
  </si>
  <si>
    <t>Using AI chatbots to handle routine customer inquiries, training support staff on AI tools, monitoring AI-assisted ticket resolution quality</t>
  </si>
  <si>
    <t>U0171</t>
  </si>
  <si>
    <t>Data Entry Specialist</t>
  </si>
  <si>
    <t>Organizing customer datasets with Excel and Python scripts, creating automated reports using AI-powered analytics tools, cleaning and validating data quality for business intelligence dashboards</t>
  </si>
  <si>
    <t>U0088</t>
  </si>
  <si>
    <t>Data Entry Operator</t>
  </si>
  <si>
    <t>Data cleaning and validation using Python scripts, Excel spreadsheet automation with AI tools, generating automated reports from raw datasets</t>
  </si>
  <si>
    <t>U0127</t>
  </si>
  <si>
    <t>Artificial Intelligence Research Student</t>
  </si>
  <si>
    <t>Literature review and paper summarization, debugging and optimizing machine learning code, generating research hypotheses and experiment design, analyzing complex datasets and statistical modeling</t>
  </si>
  <si>
    <t>U0108</t>
  </si>
  <si>
    <t>Digital Content Strategist</t>
  </si>
  <si>
    <t>AI-assisted blog writing and SEO optimization, social media caption generation, video script creation with AI tools, content calendar planning using AI analytics</t>
  </si>
  <si>
    <t>U0055</t>
  </si>
  <si>
    <t>Code review and optimization using AI assistants, automated testing and debugging with AI tools, API development and integration, documentation generation</t>
  </si>
  <si>
    <t>U0251</t>
  </si>
  <si>
    <t>Molecular Biology Student</t>
  </si>
  <si>
    <t>Literature review and scientific paper analysis, data analysis and statistical interpretation, hypothesis generation and research methodology planning</t>
  </si>
  <si>
    <t>U0248</t>
  </si>
  <si>
    <t>Senior Content Strategist</t>
  </si>
  <si>
    <t>Age implausible, blanked</t>
  </si>
  <si>
    <t>Generating blog content using AI writing assistants, creating social media copy with AI tools, editing and refining multimedia content with AI enhancement software, developing content calendars and briefs</t>
  </si>
  <si>
    <t>U0107</t>
  </si>
  <si>
    <t>Senior Machine Learning Engineer</t>
  </si>
  <si>
    <t>Code generation and debugging with AI assistants, algorithm optimization using neural networks, automated testing and code review with AI tools</t>
  </si>
  <si>
    <t>U0194</t>
  </si>
  <si>
    <t>Senior Data Scientist</t>
  </si>
  <si>
    <t>Building predictive models using machine learning, Processing large datasets with Python/SQL, Creating automated dashboards and reports, Performing statistical analysis on business metrics</t>
  </si>
  <si>
    <t>U0026</t>
  </si>
  <si>
    <t>Email management and scheduling with AI tools, Document formatting and data entry using automation software, Report generation and analysis with spreadsheet AI features</t>
  </si>
  <si>
    <t>U0095</t>
  </si>
  <si>
    <t>Content Strategist &amp; Technical Writer</t>
  </si>
  <si>
    <t>AI-assisted article writing and research, document translation and localization, automated report generation, editing and proofreading with AI tools</t>
  </si>
  <si>
    <t>U0120</t>
  </si>
  <si>
    <t>Electronics Engineering Student</t>
  </si>
  <si>
    <t>Using AI to solve complex circuit problems, generating practice exam questions with solutions, summarizing technical textbooks and research papers</t>
  </si>
  <si>
    <t>U0049</t>
  </si>
  <si>
    <t>Junior Software Developer</t>
  </si>
  <si>
    <t>Writing Python scripts with AI code completion, debugging code errors using ChatGPT, generating SQL queries for database management, refactoring JavaScript functions with AI assistance</t>
  </si>
  <si>
    <t>U0032</t>
  </si>
  <si>
    <t>German Literature Student</t>
  </si>
  <si>
    <t>Essay structure planning, grammar and spelling correction, essay topic research, writing feedback and revision suggestions</t>
  </si>
  <si>
    <t>U0073</t>
  </si>
  <si>
    <t>Literature review and paper summarization, Data analysis for research projects, Hypothesis generation for experiments, Academic writing and citation organization</t>
  </si>
  <si>
    <t>U0007</t>
  </si>
  <si>
    <t>Machine Learning Research Student</t>
  </si>
  <si>
    <t>Literature review and paper summarization, Training neural networks for experimental validation, Data analysis and statistical modeling</t>
  </si>
  <si>
    <t>U0285</t>
  </si>
  <si>
    <t>U0221</t>
  </si>
  <si>
    <t>Software Development Student</t>
  </si>
  <si>
    <t>Debugging Python code with AI assistance, generating boilerplate code templates, learning JavaScript syntax through AI explanations</t>
  </si>
  <si>
    <t>U0279</t>
  </si>
  <si>
    <t>Senior Software Developer</t>
  </si>
  <si>
    <t>Code review and debugging using AI assistants, automated testing script generation, documentation and comment generation, API integration optimization</t>
  </si>
  <si>
    <t>U0222</t>
  </si>
  <si>
    <t>Using AI to explain complex concepts like cellular respiration and photosynthesis, generating practice questions for AP Biology exams, summarizing dense textbook chapters into study notes</t>
  </si>
  <si>
    <t>U0157</t>
  </si>
  <si>
    <t>Literature review and paper summarization, Research paper analysis and concept extraction, Experimental data interpretation and analysis</t>
  </si>
  <si>
    <t>U0111</t>
  </si>
  <si>
    <t>Drafting marketing copy with AI assistance, generating blog outlines and article summaries, editing and refining written content using AI tools, creating email campaign content</t>
  </si>
  <si>
    <t>U0029</t>
  </si>
  <si>
    <t>Mathematics Student</t>
  </si>
  <si>
    <t>Solving differential equations and linear algebra problems, generating practice exam questions and solutions, explaining complex mathematical concepts through AI-assisted tutorials</t>
  </si>
  <si>
    <t>U0199</t>
  </si>
  <si>
    <t>AI Customer Support Specialist</t>
  </si>
  <si>
    <t>U0083</t>
  </si>
  <si>
    <t>Building predictive machine learning models, statistical analysis of large datasets, automating data pipeline workflows, generating insights dashboards for stakeholders</t>
  </si>
  <si>
    <t>U0286</t>
  </si>
  <si>
    <t>Especialista em Atendimento ao Cliente com IA</t>
  </si>
  <si>
    <t>Automatizar respostas de chatbot para FAQ, analisar sentimento de clientes em redes sociais, gerenciar tickets de suporte com priorização inteligente, personalizar recomendações de produtos</t>
  </si>
  <si>
    <t>U0188</t>
  </si>
  <si>
    <t>History Student</t>
  </si>
  <si>
    <t>Literature review and document summarization, Historical timeline creation and fact verification, Research paper outline generation</t>
  </si>
  <si>
    <t>U0237</t>
  </si>
  <si>
    <t>Customer Experience Manager</t>
  </si>
  <si>
    <t>Implementing AI chatbots for customer inquiries, analyzing customer feedback using NLP tools, managing support ticket automation with AI systems</t>
  </si>
  <si>
    <t>U0195</t>
  </si>
  <si>
    <t>Administrative Executive</t>
  </si>
  <si>
    <t>Email automation and drafting with AI writing tools, Data entry and spreadsheet management using AI-powered tools, Document formatting and report generation, Meeting notes transcription and summarization</t>
  </si>
  <si>
    <t>U0242</t>
  </si>
  <si>
    <t>Email management and scheduling using AI, document formatting and report generation, data entry and spreadsheet organization, customer inquiry responses</t>
  </si>
  <si>
    <t>U0250</t>
  </si>
  <si>
    <t>Data Science Student</t>
  </si>
  <si>
    <t>Generating study summaries from lecture notes, debugging Python code for machine learning assignments, explaining complex statistical concepts and algorithms</t>
  </si>
  <si>
    <t>U0216</t>
  </si>
  <si>
    <t>Debugging code with AI assistance, Learning new programming frameworks, Writing and testing algorithms, Code optimization and refactoring</t>
  </si>
  <si>
    <t>U0193</t>
  </si>
  <si>
    <t>Customer Support Specialist / AI Support Operations Manager</t>
  </si>
  <si>
    <t>Manages AI-powered chatbot responses for customer inquiries, Analyzes customer sentiment using NLP tools, Optimizes support ticket routing with machine learning algorithms, Trains and monitors AI systems for quality assurance</t>
  </si>
  <si>
    <t>U0037</t>
  </si>
  <si>
    <t>Drafting advertising copy with AI assistance, Proofreading and editing marketing materials, Generating content ideas for campaigns using AI tools</t>
  </si>
  <si>
    <t>U0257</t>
  </si>
  <si>
    <t>Desenvolvedora de Sistemas Júnior</t>
  </si>
  <si>
    <t>Utilizar GitHub Copilot para autocompletar código, usar ChatGPT para debugar erros em Python, aplicar IA para gerar testes automatizados</t>
  </si>
  <si>
    <t>U0143</t>
  </si>
  <si>
    <t>Digital Marketing Student</t>
  </si>
  <si>
    <t>AI-assisted blog writing and SEO optimization, social media caption generation, video script composition, graphic design concept ideation</t>
  </si>
  <si>
    <t>U0086</t>
  </si>
  <si>
    <t>Blog post creation using AI writing assistants, social media caption generation, email newsletter drafting, proofreading and editing with grammar tools</t>
  </si>
  <si>
    <t>U0161</t>
  </si>
  <si>
    <t>Respond to customer inquiries using AI chatbots, analyze sentiment in support tickets with NLP tools, draft personalized customer responses, resolve issues through AI-assisted knowledge bases</t>
  </si>
  <si>
    <t>U0214</t>
  </si>
  <si>
    <t>Essay composition and refinement, Research paper writing and citation organization, Creative story development and editing</t>
  </si>
  <si>
    <t>U0089</t>
  </si>
  <si>
    <t>Machine Learning Student</t>
  </si>
  <si>
    <t>Debugging Python code with AI pair programming, generating neural network architectures, optimizing algorithm efficiency</t>
  </si>
  <si>
    <t>U0181</t>
  </si>
  <si>
    <t>Content Manager</t>
  </si>
  <si>
    <t>Creating website copy and blog articles with AI writing assistants, generating social media posts and captions, editing and optimizing content for SEO</t>
  </si>
  <si>
    <t>U0154</t>
  </si>
  <si>
    <t>U0099</t>
  </si>
  <si>
    <t>Explaining complex physics concepts, Generating practice problems with solutions, Debugging MATLAB code for simulations</t>
  </si>
  <si>
    <t>U0030</t>
  </si>
  <si>
    <t>AI Customer Success Manager</t>
  </si>
  <si>
    <t>AI-powered chatbot configuration and training, customer sentiment analysis using NLP models, automated ticket classification and routing, customer feedback analysis and reporting</t>
  </si>
  <si>
    <t>U0233</t>
  </si>
  <si>
    <t>Gerente de Atendimento ao Cliente</t>
  </si>
  <si>
    <t>Implementar chatbots para respostas automáticas, supervisionar equipe de suporte via AI analytics, analisar satisfação de clientes com ferramentas de IA</t>
  </si>
  <si>
    <t>U0076</t>
  </si>
  <si>
    <t>Creative Writing Student</t>
  </si>
  <si>
    <t>Essay structuring and outlining, narrative development and storytelling, grammar checking and style refinement, research paper organization</t>
  </si>
  <si>
    <t>U0011</t>
  </si>
  <si>
    <t>AI chatbot response review and optimization, automated ticket categorization and routing, customer sentiment analysis using AI tools, knowledge base article generation</t>
  </si>
  <si>
    <t>U0093</t>
  </si>
  <si>
    <t>Debugging code with AI assistance, generating boilerplate code for projects, learning new programming concepts through AI explanations, optimizing algorithms</t>
  </si>
  <si>
    <t>U0244</t>
  </si>
  <si>
    <t>Generating practice problem sets, debugging Python code, summarizing research papers, creating study guides for exams</t>
  </si>
  <si>
    <t>U0017</t>
  </si>
  <si>
    <t>Debugging code with AI assistance, generating code snippets for assignments, learning programming concepts through AI-powered tutorials</t>
  </si>
  <si>
    <t>U0100</t>
  </si>
  <si>
    <t>Literature review automation, research paper summarization, data analysis and visualization, academic source discovery and organization</t>
  </si>
  <si>
    <t>U0189</t>
  </si>
  <si>
    <t>Using ChatGPT to explain statistical concepts, generating practice problems with Python code examples, summarizing research papers for assignments</t>
  </si>
  <si>
    <t>U0063</t>
  </si>
  <si>
    <t>Essay drafting and brainstorming, grammar checking and proofreading, creative writing prompt generation</t>
  </si>
  <si>
    <t>U0047</t>
  </si>
  <si>
    <t>Computer Science PhD Student</t>
  </si>
  <si>
    <t>Debugging code with AI assistance, Generating boilerplate code and snippets, Optimizing algorithms and performance</t>
  </si>
  <si>
    <t>U0144</t>
  </si>
  <si>
    <t>Writing and debugging Python code using GitHub Copilot, generating SQL queries with AI assistants, code optimization and refactoring suggestions</t>
  </si>
  <si>
    <t>U0001</t>
  </si>
  <si>
    <t>Analyzing customer sales trends with Python, generating automated reports using Power BI, cleaning and organizing spreadsheet data</t>
  </si>
  <si>
    <t>U0236</t>
  </si>
  <si>
    <t>Senior Research Scientist</t>
  </si>
  <si>
    <t>Literature review using AI-powered academic databases, predictive data analysis with machine learning algorithms, research paper summarization and content extraction, hypothesis validation through automated statistical modeling</t>
  </si>
  <si>
    <t>U0052</t>
  </si>
  <si>
    <t>Literature review organization, Academic paper summarization, Statistical data analysis, Research source evaluation</t>
  </si>
  <si>
    <t>U0024</t>
  </si>
  <si>
    <t>Writing social media captions and posts, Generating video scripts and outlines, Creating blog post ideas and content drafts</t>
  </si>
  <si>
    <t>U0006</t>
  </si>
  <si>
    <t>Content Creator/Gestor de Conteúdo Digital</t>
  </si>
  <si>
    <t>Generating social media posts with AI writing tools, creating blog content and SEO optimization, producing video scripts and editing with AI assistance, designing graphics and visual content using AI image generators</t>
  </si>
  <si>
    <t>U0187</t>
  </si>
  <si>
    <t>Debugging Python code, generating SQL queries, writing HTML/CSS for web projects, optimizing algorithm efficiency</t>
  </si>
  <si>
    <t>U0056</t>
  </si>
  <si>
    <t>Junior Web Developer</t>
  </si>
  <si>
    <t>Using AI code generation tools to write HTML/CSS templates, debugging PHP code with AI assistance, automating SQL query optimization for database functions</t>
  </si>
  <si>
    <t>U0182</t>
  </si>
  <si>
    <t>Essay drafting and editing, creative story development, grammar checking and proofreading</t>
  </si>
  <si>
    <t>U0078</t>
  </si>
  <si>
    <t>Data cleaning and preprocessing, Statistical analysis and visualization, Building predictive models with machine learning algorithms</t>
  </si>
  <si>
    <t>U0041</t>
  </si>
  <si>
    <t>AI-powered social media content generation, blog post writing and SEO optimization, graphic design ideation with AI tools, video script creation and editing</t>
  </si>
  <si>
    <t>U0230</t>
  </si>
  <si>
    <t>Kundenbetreuerin mit KI-Unterstützung</t>
  </si>
  <si>
    <t>Automatisierte E-Mail-Beantwortung mit KI-Chatbots, Ticketklassifizierung und Priorisierung, Live-Chat-Support mit KI-Textvorschlägen, Kundenprobleme analysieren und Lösungen dokumentieren</t>
  </si>
  <si>
    <t>U0178</t>
  </si>
  <si>
    <t>U0272</t>
  </si>
  <si>
    <t>Literature review and survey compilation, Statistical data analysis and visualization, Research paper summarization and citation tracking</t>
  </si>
  <si>
    <t>U0253</t>
  </si>
  <si>
    <t>Responding to customer inquiries using AI-powered chatbots, analyzing customer feedback with sentiment analysis tools, drafting personalized support responses, resolving billing issues</t>
  </si>
  <si>
    <t>U0045</t>
  </si>
  <si>
    <t>Code review and optimization using AI assistants, debugging complex algorithms with AI-powered tools, automated testing and code generation, documentation writing with AI support</t>
  </si>
  <si>
    <t>U0042</t>
  </si>
  <si>
    <t>Using AI to summarize lecture notes, generating practice exam questions, researching case studies for assignments</t>
  </si>
  <si>
    <t>U0150</t>
  </si>
  <si>
    <t>Drafting blog posts and articles using AI writing assistants, Editing and proofreading client documents with AI tools, Creating marketing copy and social media content</t>
  </si>
  <si>
    <t>U0023</t>
  </si>
  <si>
    <t>Essay structuring and outlining, grammar checking and proofreading, research paper organization, creative writing brainstorming</t>
  </si>
  <si>
    <t>U0126</t>
  </si>
  <si>
    <t>Pesquisador Sênior em Inteligência Artificial e Ciência de Dados</t>
  </si>
  <si>
    <t>Análise de grandes volumes de dados com modelos de machine learning, Desenvolvimento de algoritmos para processamento de linguagem natural, Otimização de modelos preditivos para pesquisa acadêmica</t>
  </si>
  <si>
    <t>U0119</t>
  </si>
  <si>
    <t>Analyzing customer behavior patterns using Python and Pandas, Creating automated dashboards with Power BI, Mining sales data to identify trends and anomalies</t>
  </si>
  <si>
    <t>U0082</t>
  </si>
  <si>
    <t>Technical Writer</t>
  </si>
  <si>
    <t>Drafting technical documentation with AI assistance, editing and refining content for clarity, generating user guides and manuals, collaborating with teams on writing projects</t>
  </si>
  <si>
    <t>U0104</t>
  </si>
  <si>
    <t>Literature review automation, research paper summarization, data analysis for experiments, thesis writing assistance</t>
  </si>
  <si>
    <t>U0101</t>
  </si>
  <si>
    <t>Literature review automation, data analysis for lab experiments, peer-reviewed article summarization, research paper writing assistance</t>
  </si>
  <si>
    <t>U0085</t>
  </si>
  <si>
    <t>Theoretical Physics Student</t>
  </si>
  <si>
    <t>Generating practice problems for quantum mechanics, Getting explanations for complex mathematical proofs, Creating study summaries from research papers, Preparing for physics competitions</t>
  </si>
  <si>
    <t>U0074</t>
  </si>
  <si>
    <t>Literature review compilation, data collection and organization, competitor analysis, market trend research</t>
  </si>
  <si>
    <t>U0148</t>
  </si>
  <si>
    <t>Using AI to generate study notes from textbooks, getting help with math problem solutions, practicing English language comprehension with AI writing feedback</t>
  </si>
  <si>
    <t>U0004</t>
  </si>
  <si>
    <t>Using AI for coding homework assistance, practice problem solutions, debugging Python scripts, studying for Data Structures exams</t>
  </si>
  <si>
    <t>U0166</t>
  </si>
  <si>
    <t>Biomedical Science Student</t>
  </si>
  <si>
    <t>Using AI to generate study summaries of complex biochemical pathways, asking ChatGPT to explain lab report findings, generating practice exam questions for molecular biology assessments</t>
  </si>
  <si>
    <t>U0224</t>
  </si>
  <si>
    <t>Physics Student</t>
  </si>
  <si>
    <t>Using AI for solving complex physics problems, generating practice questions for JEE preparation, translating physics concepts into simpler explanations</t>
  </si>
  <si>
    <t>U0277</t>
  </si>
  <si>
    <t>Essay structuring and outlining, grammar and clarity checking, creative writing feedback and refinement, research paper organization</t>
  </si>
  <si>
    <t>U0129</t>
  </si>
  <si>
    <t>Essay structuring and brainstorming, Grammar and style checking, Research paper organization, Creative writing feedback and revision</t>
  </si>
  <si>
    <t>U0156</t>
  </si>
  <si>
    <t>Artificial Intelligence &amp; Digital Media Student</t>
  </si>
  <si>
    <t>U0033</t>
  </si>
  <si>
    <t>Using AI to explain complex biological concepts, generating practice questions for exams, summarizing textbook chapters</t>
  </si>
  <si>
    <t>U0213</t>
  </si>
  <si>
    <t>German Literature and Comparative Studies Student</t>
  </si>
  <si>
    <t>Essay drafting and structuring, Literature analysis and research assistance, Creative writing feedback and editing</t>
  </si>
  <si>
    <t>U0208</t>
  </si>
  <si>
    <t>Creating social media captions and posts, Generating blog content outlines, Editing and enhancing product photos for e-commerce posts</t>
  </si>
  <si>
    <t>U0168</t>
  </si>
  <si>
    <t>Analista de Dados Sênior</t>
  </si>
  <si>
    <t>Análise preditiva de tendências de mercado com Machine Learning, processamento e limpeza de grandes volumes de dados com Python/SQL, criação de dashboards interativos em Power BI, relatórios automáticos de KPIs</t>
  </si>
  <si>
    <t>U0087</t>
  </si>
  <si>
    <t>Digital Media &amp; Film Production Student</t>
  </si>
  <si>
    <t>Video editing with AI-assisted color grading, Generating background music and sound design, Creating AI-enhanced visual effects, Writing and scripting video content</t>
  </si>
  <si>
    <t>U0175</t>
  </si>
  <si>
    <t>AI Content Strategist</t>
  </si>
  <si>
    <t>Generating blog articles and marketing copy with AI writing tools, creating social media content calendars, producing video scripts and editing with AI-assisted tools</t>
  </si>
  <si>
    <t>U0180</t>
  </si>
  <si>
    <t>Statistical modeling and hypothesis testing with Python/R, Machine learning model development for predictive analytics, Automated data visualization and reporting with Power BI</t>
  </si>
  <si>
    <t>U0284</t>
  </si>
  <si>
    <t>Softwareentwicklerin (Software Developer)</t>
  </si>
  <si>
    <t>Code generation and debugging with AI assistants, automated testing and code quality analysis, documentation generation from code, rapid prototyping of features</t>
  </si>
  <si>
    <t>U0020</t>
  </si>
  <si>
    <t>Brainstorming story concepts and plot outlines, refining essay drafts and academic papers, generating dialogue for fiction projects, editing and proofreading written content</t>
  </si>
  <si>
    <t>U0169</t>
  </si>
  <si>
    <t>Digital Content Creator / Social Media Manager</t>
  </si>
  <si>
    <t>U0153</t>
  </si>
  <si>
    <t>Debugging code with AI assistance, generating code snippets for assignments, learning new programming languages and frameworks</t>
  </si>
  <si>
    <t>U0079</t>
  </si>
  <si>
    <t>Generating practice problems and solutions for thermodynamics assignments, Using AI to explain complex calculus concepts, Debugging Python code for computational mechanics projects</t>
  </si>
  <si>
    <t>U0106</t>
  </si>
  <si>
    <t>Processing customer inquiries with AI chatbot automation, analysing customer feedback sentiment using AI tools, training support team on AI-assisted ticketing systems</t>
  </si>
  <si>
    <t>U0241</t>
  </si>
  <si>
    <t>Using AI to generate practice exam questions, getting help understanding complex concepts like cellular respiration, summarizing textbook chapters for study notes</t>
  </si>
  <si>
    <t>U0151</t>
  </si>
  <si>
    <t>Code review and debugging using AI assistants, automated test case generation, documentation and code commenting automation, performance optimization recommendations</t>
  </si>
  <si>
    <t>U0072</t>
  </si>
  <si>
    <t>U0245</t>
  </si>
  <si>
    <t>Email management and scheduling, document preparation using word processors, data entry and spreadsheet management, basic report generation</t>
  </si>
  <si>
    <t>U0172</t>
  </si>
  <si>
    <t>Essay structuring and outlining, grammar checking and proofreading, research paper organization, creative writing feedback</t>
  </si>
  <si>
    <t>U0133</t>
  </si>
  <si>
    <t>Biomedical Engineering Student</t>
  </si>
  <si>
    <t>Literature review analysis using AI research tools, thesis data interpretation and statistical analysis, scientific paper summarization and citation management, research proposal optimization</t>
  </si>
  <si>
    <t>U0282</t>
  </si>
  <si>
    <t>Literature review automation, data analysis and visualization, competitor intelligence gathering, research report generation</t>
  </si>
  <si>
    <t>U0025</t>
  </si>
  <si>
    <t>Literature review and source analysis, Data interpretation and visualization for research projects, Academic paper summarization and synthesis</t>
  </si>
  <si>
    <t>U0122</t>
  </si>
  <si>
    <t>Psychology Student</t>
  </si>
  <si>
    <t>Literature review summarization, research paper analysis, data interpretation assistance, study methodology research</t>
  </si>
  <si>
    <t>U0031</t>
  </si>
  <si>
    <t>Literature review and paper summarization, Lab data analysis and statistical interpretation, Research methodology planning and protocol development</t>
  </si>
  <si>
    <t>U0062</t>
  </si>
  <si>
    <t>Analyzing research papers with AI summaries, Debugging Python code for machine learning projects, Preparing for statistical analysis exams using AI tutoring</t>
  </si>
  <si>
    <t>U0058</t>
  </si>
  <si>
    <t>Datenanalyst</t>
  </si>
  <si>
    <t>Cleaning and organizing Excel datasets, Creating data visualizations with Power BI, Generating reports from business metrics using SQL queries</t>
  </si>
  <si>
    <t>U0173</t>
  </si>
  <si>
    <t>Debugging code using AI-assisted tools, Generating boilerplate code with GitHub Copilot, Code review and optimization with AI suggestions, Writing unit tests using AI pair programming</t>
  </si>
  <si>
    <t>U0003</t>
  </si>
  <si>
    <t>Statistical analysis of research datasets, Data visualization and interpretation, Machine learning model training and evaluation, Predictive analytics for academic projects</t>
  </si>
  <si>
    <t>U0260</t>
  </si>
  <si>
    <t>Biotechnology PhD Student</t>
  </si>
  <si>
    <t>Research paper summarization and literature review, experimental data analysis and visualization, thesis writing and citation management, concept clarification through AI tutoring</t>
  </si>
  <si>
    <t>U0117</t>
  </si>
  <si>
    <t>Generating study summaries from lecture notes, solving complex problem sets with AI guidance, creating visual diagrams for anatomy concepts</t>
  </si>
  <si>
    <t>U0280</t>
  </si>
  <si>
    <t>Debugging Python code with AI assistance, generating code snippets for machine learning projects, optimizing algorithm performance, documenting technical solutions</t>
  </si>
  <si>
    <t>U0163</t>
  </si>
  <si>
    <t>Literature review synthesis using AI-powered databases, data analysis and pattern identification with machine learning models, research hypothesis testing and statistical validation</t>
  </si>
  <si>
    <t>U0019</t>
  </si>
  <si>
    <t>Développeur Logiciel (Software Developer)</t>
  </si>
  <si>
    <t>Debugging code with AI-assisted analysis, auto-completing code functions, generating unit test cases with AI tools</t>
  </si>
  <si>
    <t>U0115</t>
  </si>
  <si>
    <t>Automating data analysis with AI tools, generating reports using AI writing assistants, analyzing market trends with AI analytics platforms</t>
  </si>
  <si>
    <t>U0160</t>
  </si>
  <si>
    <t>Electronics and Communication Engineering Student</t>
  </si>
  <si>
    <t>Income extreme outlier, blanked</t>
  </si>
  <si>
    <t>Literature review on emerging technologies, Data analysis for lab experiments, Creating research presentations with AI summarization, Organizing and citing research papers</t>
  </si>
  <si>
    <t>U0048</t>
  </si>
  <si>
    <t>Draft blog posts and marketing copy with AI writing assistants, Generate email campaign content, Edit and refine AI-generated social media posts</t>
  </si>
  <si>
    <t>U0112</t>
  </si>
  <si>
    <t>Essay outlining and structure planning, grammar and style checking, brainstorming essay arguments, citation formatting assistance</t>
  </si>
  <si>
    <t>U0012</t>
  </si>
  <si>
    <t>Développeur Full Stack Junior</t>
  </si>
  <si>
    <t>Generating code snippets with GitHub Copilot, debugging Python scripts using AI pair programming, optimizing SQL queries with AI assistance</t>
  </si>
  <si>
    <t>U0204</t>
  </si>
  <si>
    <t>Senior Software Engineer / AI Systems Developer</t>
  </si>
  <si>
    <t>Developing machine learning models for code optimization, Automating code generation and refactoring using AI, Debugging complex algorithms with AI-assisted analysis</t>
  </si>
  <si>
    <t>U0091</t>
  </si>
  <si>
    <t>Essay drafting and brainstorming, grammar checking and proofreading, research paper outline generation, creative writing feedback</t>
  </si>
  <si>
    <t>U0266</t>
  </si>
  <si>
    <t>Research Scientist / Data Analyst</t>
  </si>
  <si>
    <t>Automated report generation using AI, Data analysis and visualization with machine learning, Document processing and knowledge management, Research paper summarization and literature review automation</t>
  </si>
  <si>
    <t>U0018</t>
  </si>
  <si>
    <t>Content Strategist</t>
  </si>
  <si>
    <t>Using AI for blog drafting, editing article copy with grammar tools, generating content outlines</t>
  </si>
  <si>
    <t>U0128</t>
  </si>
  <si>
    <t>Software Developer (Diploma Qualified)</t>
  </si>
  <si>
    <t>Code debugging with AI assistants, generating boilerplate code snippets, optimizing legacy application code, testing and validating code functionality</t>
  </si>
  <si>
    <t>U0005</t>
  </si>
  <si>
    <t>AI-powered blog post generation and optimization, creating marketing copy using AI writing assistants, designing social media content calendars with AI recommendations</t>
  </si>
  <si>
    <t>U0210</t>
  </si>
  <si>
    <t>Summarizing research papers for assignments, generating study guides from lecture notes, creating practice questions for exams</t>
  </si>
  <si>
    <t>U0218</t>
  </si>
  <si>
    <t>Desenvolvedor de Sistemas Junior</t>
  </si>
  <si>
    <t>Escrever código Python e JavaScript com assistência de IA, debugar aplicações usando ferramentas de análise de código, otimizar queries de banco de dados com sugestões de IA</t>
  </si>
  <si>
    <t>U0038</t>
  </si>
  <si>
    <t>Essay writing and structure planning, Grammar checking and proofreading, Creative writing brainstorming, Citation and referencing assistance</t>
  </si>
  <si>
    <t>U0064</t>
  </si>
  <si>
    <t>Using AI for programming problem solving, generating practice exam questions, explaining complex machine learning concepts, summarizing research papers</t>
  </si>
  <si>
    <t>U0185</t>
  </si>
  <si>
    <t>Video editing and effects using AI tools, AI-assisted scriptwriting for YouTube content, AI image generation for social media graphics, audio enhancement and voiceover synthesis</t>
  </si>
  <si>
    <t>U0273</t>
  </si>
  <si>
    <t>Creating social media graphics and promotional videos, writing blog posts and articles with AI assistance, designing visual content for class projects</t>
  </si>
  <si>
    <t>U0247</t>
  </si>
  <si>
    <t>Data Analyst / Business Intelligence Specialist</t>
  </si>
  <si>
    <t>Cleaning and preprocessing datasets using Python and SQL, Building predictive models with machine learning libraries, Creating automated dashboards and reports with Power BI or Tableau, Performing statistical analysis and A/B testing</t>
  </si>
  <si>
    <t>U0220</t>
  </si>
  <si>
    <t>Assistente Administrativo</t>
  </si>
  <si>
    <t>Email management and scheduling with AI assistance, Document organization and data entry using AI tools, Budget tracking and spreadsheet analysis, Report generation and formatting</t>
  </si>
  <si>
    <t>U0050</t>
  </si>
  <si>
    <t>Drafting blog posts and articles using AI writing assistants, proofreading and editing content with grammar tools, generating social media copy and captions</t>
  </si>
  <si>
    <t>U0190</t>
  </si>
  <si>
    <t>AI-assisted article writing and SEO optimization, social media content generation, automated copywriting for marketing campaigns, AI-powered image and graphic content creation</t>
  </si>
  <si>
    <t>U0249</t>
  </si>
  <si>
    <t>Debugging code with AI-assisted error detection, writing automated unit tests using AI code generation, refactoring legacy code with AI suggestions</t>
  </si>
  <si>
    <t>U0124</t>
  </si>
  <si>
    <t>Digital Marketing Manager</t>
  </si>
  <si>
    <t>Writing blog posts and articles using AI writing tools, designing social media content with AI image generators, creating video scripts and editing content using AI-assisted tools</t>
  </si>
  <si>
    <t>U0196</t>
  </si>
  <si>
    <t>Essay drafting and structuring, grammar and syntax correction, research paper organization, creative writing brainstorming</t>
  </si>
  <si>
    <t>U0053</t>
  </si>
  <si>
    <t>Psychology Research Student</t>
  </si>
  <si>
    <t>Literature review analysis, Research paper summarization, Data interpretation assistance, Survey analysis</t>
  </si>
  <si>
    <t>U0240</t>
  </si>
  <si>
    <t>Debugging Python code with AI assistance, Generating boilerplate code for data preprocessing, Optimizing neural network architectures</t>
  </si>
  <si>
    <t>U0212</t>
  </si>
  <si>
    <t>Time saved exceeds weekly AI hours (kept)</t>
  </si>
  <si>
    <t>Creating social media content using AI writing tools, Generating blog post outlines and scripts for YouTube videos, Designing graphics and promotional materials with AI image generators</t>
  </si>
  <si>
    <t>U0155</t>
  </si>
  <si>
    <t>Drafting blog articles and web copy with AI assistance, proofreading and editing content generated by language models, optimizing written materials for SEO using AI tools</t>
  </si>
  <si>
    <t>U0013</t>
  </si>
  <si>
    <t>Writing JavaScript code with AI code completion, debugging Python scripts using AI-powered error analysis, generating HTML/CSS templates with AI assistance</t>
  </si>
  <si>
    <t>U0139</t>
  </si>
  <si>
    <t>Digital Content Writer</t>
  </si>
  <si>
    <t>Writing blog posts and articles using AI writing assistants, Creating social media content with AI tools, Generating product descriptions for e-commerce platforms</t>
  </si>
  <si>
    <t>U0275</t>
  </si>
  <si>
    <t>Statistics Student</t>
  </si>
  <si>
    <t>Analyzing survey datasets using Python, Creating data visualizations with matplotlib and seaborn, Performing statistical hypothesis testing on project data</t>
  </si>
  <si>
    <t>U0105</t>
  </si>
  <si>
    <t>U0065</t>
  </si>
  <si>
    <t>Explaining complex physics concepts, solving differential equations, generating study guides for thermodynamics and dynamics modules, debugging Python code for engineering simulations</t>
  </si>
  <si>
    <t>U0080</t>
  </si>
  <si>
    <t>Debugging code with AI assistance, Learning Python syntax, Building small projects with AI pair programming</t>
  </si>
  <si>
    <t>U0261</t>
  </si>
  <si>
    <t>Debugging code with AI assistance, generating boilerplate code for projects, learning new programming languages and frameworks</t>
  </si>
  <si>
    <t>U0015</t>
  </si>
  <si>
    <t>Using AI chatbots to explain complex business concepts, generating study notes from textbooks, practicing for economics exams with AI-generated practice questions</t>
  </si>
  <si>
    <t>U0090</t>
  </si>
  <si>
    <t>Literature review summarization, data analysis for lab reports, generating research outlines, fact-checking sources for school projects</t>
  </si>
  <si>
    <t>U0123</t>
  </si>
  <si>
    <t>Literature review on medical devices, analyzing research papers using AI summaries, conducting computational analysis of biological data, organizing and citing academic sources</t>
  </si>
  <si>
    <t>U0103</t>
  </si>
  <si>
    <t>Handling customer inquiries via AI chatbots, resolving complaints using AI-powered ticketing systems, processing refunds and returns with AI assistance</t>
  </si>
  <si>
    <t>U0265</t>
  </si>
  <si>
    <t>AI-assisted blog post creation, email copywriting with AI tools, social media content generation, SEO-optimized article drafting</t>
  </si>
  <si>
    <t>U0051</t>
  </si>
  <si>
    <t>Summarizing course lecture notes, generating practice questions for exams, translating academic articles into simpler terms, proofreading and organizing assignment drafts</t>
  </si>
  <si>
    <t>U0281</t>
  </si>
  <si>
    <t>Essay structuring and outlining, Research paper writing assistance, Academic content proofreading and editing, Creative writing feedback generation</t>
  </si>
  <si>
    <t>U0206</t>
  </si>
  <si>
    <t>Literature Student</t>
  </si>
  <si>
    <t>Essay drafting and structuring, Grammar and style checking for academic papers, Creative writing brainstorming and editing</t>
  </si>
  <si>
    <t>U0262</t>
  </si>
  <si>
    <t>Essay drafting and structure planning, Grammar checking and proofreading, Research paper summarization, Creative writing feedback and refinement</t>
  </si>
  <si>
    <t>U0235</t>
  </si>
  <si>
    <t>AI-assisted article writing, generating blog post outlines, proofreading and editing content using AI tools, creating marketing copy</t>
  </si>
  <si>
    <t>U0142</t>
  </si>
  <si>
    <t>Generating study summaries from lecture notes, debugging Python code for coursework assignments, explaining complex statistical concepts, creating practice problems for exam preparation</t>
  </si>
  <si>
    <t>U0097</t>
  </si>
  <si>
    <t>AI-assisted essay structuring, thesis literature review synthesis, manuscript editing and proofreading, dialogue generation for fiction writing</t>
  </si>
  <si>
    <t>U0034</t>
  </si>
  <si>
    <t>Using AI for essay writing assistance, generating practice problems for programming exercises, creating study notes and summaries from lecture materials</t>
  </si>
  <si>
    <t>U0256</t>
  </si>
  <si>
    <t>Customer Service Executive</t>
  </si>
  <si>
    <t>AI chatbot management for customer inquiries, complaint resolution using AI ticketing systems, customer feedback analysis with AI sentiment analysis tools</t>
  </si>
  <si>
    <t>U0110</t>
  </si>
  <si>
    <t>Customer Support Executive</t>
  </si>
  <si>
    <t>AI chatbot ticket routing, customer complaint analysis and resolution, live chat support with AI assistance, response template generation</t>
  </si>
  <si>
    <t>U0270</t>
  </si>
  <si>
    <t>Softwareentwickler (Software Developer)</t>
  </si>
  <si>
    <t>Code generation and bug fixing with AI assistants, refactoring legacy code, AI-powered code review and optimization</t>
  </si>
  <si>
    <t>U0159</t>
  </si>
  <si>
    <t>Projektmanagerin (Project Manager)</t>
  </si>
  <si>
    <t>Email management and scheduling with AI assistance, automated report generation and data analysis, AI-powered document creation and editing, meeting notes summarization</t>
  </si>
  <si>
    <t>U0283</t>
  </si>
  <si>
    <t>Building predictive models with Python and scikit-learn, Automating data pipeline creation with AI assistants, Generating business intelligence dashboards and reports, Interpreting complex datasets for stakeholder insights</t>
  </si>
  <si>
    <t>U0202</t>
  </si>
  <si>
    <t>U0200</t>
  </si>
  <si>
    <t>Software Support Technician</t>
  </si>
  <si>
    <t>Debugging code with AI assistance, Generating boilerplate code using AI, Code review with automated analysis tools</t>
  </si>
  <si>
    <t>U0040</t>
  </si>
  <si>
    <t>Writing blog posts and articles using AI writing assistants, generating social media content calendars with AI tools, editing and repurposing video content with AI-powered software</t>
  </si>
  <si>
    <t>U0183</t>
  </si>
  <si>
    <t>Essay outlining and structure planning, grammar checking and proofreading, creative writing brainstorming, research paper citation formatting</t>
  </si>
  <si>
    <t>U0098</t>
  </si>
  <si>
    <t>Debugging code with AI assistance, generating boilerplate code, learning new programming frameworks, optimizing algorithm solutions</t>
  </si>
  <si>
    <t>U0109</t>
  </si>
  <si>
    <t>Debugging Python code with AI assistance, generating HTML/CSS templates for web projects, explaining algorithmic concepts and data structures</t>
  </si>
  <si>
    <t>U0170</t>
  </si>
  <si>
    <t>Resolving customer inquiries using AI chatbots, analyzing customer feedback with sentiment analysis tools, ticket prioritization using AI systems</t>
  </si>
  <si>
    <t>U0068</t>
  </si>
  <si>
    <t>Using AI to generate practice questions for exams, translating English scientific articles to Portuguese, summarizing complex biological concepts, creating study guides</t>
  </si>
  <si>
    <t>U0077</t>
  </si>
  <si>
    <t>Data visualization with charts and graphs, Statistical analysis of survey datasets, Data cleaning and preprocessing, Predictive modeling for business intelligence</t>
  </si>
  <si>
    <t>U0203</t>
  </si>
  <si>
    <t>Desenvolvedora de Software</t>
  </si>
  <si>
    <t>Uso de GitHub Copilot para autocompletar código, refatoração de aplicações com assistência de IA, debugging de erros com ferramentas de análise inteligente</t>
  </si>
  <si>
    <t>U0009</t>
  </si>
  <si>
    <t>Debugging code with AI assistance, generating boilerplate code templates, learning new programming frameworks, optimizing algorithms</t>
  </si>
  <si>
    <t>U0140</t>
  </si>
  <si>
    <t>Literature review and paper summarization, experiment data analysis and visualization, hypothesis generation for lab research, scientific journal article organization and annotation</t>
  </si>
  <si>
    <t>U0121</t>
  </si>
  <si>
    <t>Summarizing academic research papers, generating study guides for exams, brainstorming project ideas, debugging Python code assignments</t>
  </si>
  <si>
    <t>U0201</t>
  </si>
  <si>
    <t>Essay outlining and structure planning, Grammar and style checking on assignments, Research paper summarization and citation formatting</t>
  </si>
  <si>
    <t>U0021</t>
  </si>
  <si>
    <t>Code debugging with AI assistance, automated test case generation, SQL query optimization, documentation writing with AI tools</t>
  </si>
  <si>
    <t>U0267</t>
  </si>
  <si>
    <t>Statistical modeling of biological datasets, machine learning prediction model development, exploratory data analysis of genomic sequences, data visualization and interpretation</t>
  </si>
  <si>
    <t>U0044</t>
  </si>
  <si>
    <t>Literature review and paper summarization, statistical analysis and data interpretation, research methodology design, thesis data analysis and visualization</t>
  </si>
  <si>
    <t>U0276</t>
  </si>
  <si>
    <t>Essay drafting and structure planning, grammar checking and proofreading, creative writing prompts for assignments, research paper organization and citation formatting</t>
  </si>
  <si>
    <t>U0232</t>
  </si>
  <si>
    <t>Analyste de Données / Data Analyst</t>
  </si>
  <si>
    <t>Nettoyage et préparation de données avec Python, création de dashboards interactifs sur Power BI, analyse statistique de tendances marché, génération de rapports automatisés avec SQL</t>
  </si>
  <si>
    <t>U0252</t>
  </si>
  <si>
    <t>Research Scientist</t>
  </si>
  <si>
    <t>Literature review analysis using AI tools, Research data synthesis and pattern identification, Experimental hypothesis generation using machine learning models, Scientific paper writing and citation management with AI assistance</t>
  </si>
  <si>
    <t>U0145</t>
  </si>
  <si>
    <t>Using AI to generate article outlines and research summaries, editing and refining AI-generated copy for brand consistency, creating SEO-optimized content briefs with AI assistance</t>
  </si>
  <si>
    <t>U0229</t>
  </si>
  <si>
    <t>Essay drafting and editing, creative writing brainstorming, research paper organization, grammar and tone refinement</t>
  </si>
  <si>
    <t>U0010</t>
  </si>
  <si>
    <t>Blog post creation, email copywriting, social media content drafting, document editing and proofreading</t>
  </si>
  <si>
    <t>U0146</t>
  </si>
  <si>
    <t>Writing lab reports, studying for exams using AI tutors, organizing research notes</t>
  </si>
  <si>
    <t>U0197</t>
  </si>
  <si>
    <t>Essay outlining and structure planning, grammar and style checking for assignments, creative writing brainstorming and plot development</t>
  </si>
  <si>
    <t>U0186</t>
  </si>
  <si>
    <t>Academic Research Professor and Technical Writer</t>
  </si>
  <si>
    <t>Drafting research papers and abstracts using AI writing assistants, Editing and refining academic manuscripts for journal submissions, Generating technical documentation and course materials</t>
  </si>
  <si>
    <t>U0287</t>
  </si>
  <si>
    <t>Generating solved examples for thermodynamics problems, Creating study summaries from lecture notes, Debugging code for programming assignments</t>
  </si>
  <si>
    <t>U0147</t>
  </si>
  <si>
    <t>Analista de Dados</t>
  </si>
  <si>
    <t>U0134</t>
  </si>
  <si>
    <t>Generating video scripts and storyboards, Creating AI-enhanced graphics and visual assets, Writing and editing blog posts and social media content</t>
  </si>
  <si>
    <t>U0158</t>
  </si>
  <si>
    <t>Essay drafting and structuring, grammar and clarity checking, research paper outline generation, creative writing brainstorming</t>
  </si>
  <si>
    <t>U0174</t>
  </si>
  <si>
    <t>Debugging code errors, generating code snippets in Python and JavaScript, learning programming concepts through AI explanations</t>
  </si>
  <si>
    <t>U0066</t>
  </si>
  <si>
    <t>Code debugging with AI pair programming tools, automated test generation, code documentation and comments generation</t>
  </si>
  <si>
    <t>U0094</t>
  </si>
  <si>
    <t>Multimedia Content Producer</t>
  </si>
  <si>
    <t>Writing blog articles with AI writing assistants, generating social media graphics and captions using AI design tools, editing video content and creating thumbnails, managing and curating digital content for websites and social platforms</t>
  </si>
  <si>
    <t>U0136</t>
  </si>
  <si>
    <t>Desenvolvedor de Sistemas (Systems Developer)</t>
  </si>
  <si>
    <t>Code debugging and optimization with AI tools, automated test case generation, API development and integration, documentation generation</t>
  </si>
  <si>
    <t>U0002</t>
  </si>
  <si>
    <t>Automated code generation using AI assistants, debugging and fixing code with AI-powered tools, writing and optimizing SQL queries with AI support</t>
  </si>
  <si>
    <t>U0130</t>
  </si>
  <si>
    <t>Debugging code with AI-assisted analysis, generating boilerplate code using AI tools, code review and optimization with AI suggestions</t>
  </si>
  <si>
    <t>Cleaning log</t>
  </si>
  <si>
    <t>What was wrong with the file, what was done about it, and how much of the data it touched.</t>
  </si>
  <si>
    <t>Rows in original file</t>
  </si>
  <si>
    <t>Rows after removing duplicates</t>
  </si>
  <si>
    <t>Columns in original file</t>
  </si>
  <si>
    <t>Columns in clean file (added 6)</t>
  </si>
  <si>
    <t>Step</t>
  </si>
  <si>
    <t>What was done</t>
  </si>
  <si>
    <t>Rows / cells affected</t>
  </si>
  <si>
    <t>Removed exact duplicate rows</t>
  </si>
  <si>
    <t>12 rows were identical copies of another row (same User_ID and all fields)</t>
  </si>
  <si>
    <t>Converted Age to a number</t>
  </si>
  <si>
    <t>Stripped units/symbols such as "$", "hrs", "yrs" and thousands commas</t>
  </si>
  <si>
    <t>Converted Monthly_Income to a number</t>
  </si>
  <si>
    <t>Converted AI_Usage_Hours_Per_Day to a number</t>
  </si>
  <si>
    <t>Converted Work_or_Study_Hours_Per_Day to a number</t>
  </si>
  <si>
    <t>Converted Time_Saved_Hours_Per_Week to a number</t>
  </si>
  <si>
    <t>Converted Monthly_AI_Cost to a number</t>
  </si>
  <si>
    <t>Standardized Gender</t>
  </si>
  <si>
    <t>11 spellings (male, MALE, M, F, FEMALE, Non-binary...) collapsed to Male, Female, Other / Non-binary</t>
  </si>
  <si>
    <t>Standardized Country</t>
  </si>
  <si>
    <t>Fixed casing (brazil -&gt; Brazil) and merged U.K. and United States of America into the standard names</t>
  </si>
  <si>
    <t>Standardized Education_Level</t>
  </si>
  <si>
    <t>16 variants reduced to 6 levels: High School, Diploma, Undergraduate, Bachelor's, Master's, PhD (Undergraduate = currently enrolled, kept separate from Bachelor's = completed)</t>
  </si>
  <si>
    <t>Standardized AI_Tool</t>
  </si>
  <si>
    <t>Merged ChatGPT / chatgpt / Chat GPT, Copilot / Microsoft Copilot, Gemini / Google Gemini, claude / Claude</t>
  </si>
  <si>
    <t>Blanked impossible Age</t>
  </si>
  <si>
    <t>Age above 90 is not credible for a working professional or a student (found 97 for a student)</t>
  </si>
  <si>
    <t>Blanked impossible AI usage</t>
  </si>
  <si>
    <t>More than 16 hours per day of AI use (found 23) cannot be right</t>
  </si>
  <si>
    <t>Blanked extreme income outlier</t>
  </si>
  <si>
    <t>A monthly income of 100,000 or more for a student is far outside every other record, almost certainly a typo</t>
  </si>
  <si>
    <t>Flagged, not changed: AI hours exceed work/study hours</t>
  </si>
  <si>
    <t>Possible if AI is used outside work or study, so the values are kept and tagged in the Data_Flags column</t>
  </si>
  <si>
    <t>Flagged, not changed: time saved exceeds weekly AI hours</t>
  </si>
  <si>
    <t>Saved time is larger than total weekly AI use, which is odd but possible; kept and tagged</t>
  </si>
  <si>
    <t>Added Profession_Group</t>
  </si>
  <si>
    <t>126 free-text job and major titles (some in Portuguese, French, German) grouped into 7 families so they can be charted</t>
  </si>
  <si>
    <t>Missing values</t>
  </si>
  <si>
    <t>Left blank, never guessed or averaged in. Every summary formula ignores blanks, so averages use only real answers. See the completeness table</t>
  </si>
  <si>
    <t>Counts above were measured in Python during cleaning and typed in here. They are a record of what happened, not live formulas.</t>
  </si>
  <si>
    <t>Completeness by column (clean file)</t>
  </si>
  <si>
    <t>Column</t>
  </si>
  <si>
    <t>Blank cells</t>
  </si>
  <si>
    <t>% filled</t>
  </si>
  <si>
    <t>Notes and assumptions</t>
  </si>
  <si>
    <t>Scales are not defined in the source. Productivity and Satisfaction look like 1 to 10, Accuracy looks like 1 to 5. They are treated that way here.</t>
  </si>
  <si>
    <t>Monthly_Income has no currency in the source. Values are shown as plain numbers and are not converted.</t>
  </si>
  <si>
    <t>Missing answers were left blank, not filled with averages. A blank never counts as zero.</t>
  </si>
  <si>
    <t>Data_Flags lists records that look odd but were kept. Only impossible values (age 97, 23 AI hours a day, 250,000 student income) were blanked.</t>
  </si>
  <si>
    <t>New columns Age_Group, AI_Share_of_Day, Plan_Type and Hours_Saved_per_AI_Hour are formulas, so they update if a source value is edited.</t>
  </si>
  <si>
    <t>Raw_Data is the untouched original, kept for audit.</t>
  </si>
  <si>
    <t>AI_Usage_Hours_Per_Day</t>
  </si>
  <si>
    <t>Work_or_Study_Hours_Per_Day</t>
  </si>
  <si>
    <t>30</t>
  </si>
  <si>
    <t>5421</t>
  </si>
  <si>
    <t>2 hrs</t>
  </si>
  <si>
    <t>5.3</t>
  </si>
  <si>
    <t>4</t>
  </si>
  <si>
    <t>7</t>
  </si>
  <si>
    <t>3.9</t>
  </si>
  <si>
    <t>7.3</t>
  </si>
  <si>
    <t>8903</t>
  </si>
  <si>
    <t>5.7</t>
  </si>
  <si>
    <t>0</t>
  </si>
  <si>
    <t>9.9</t>
  </si>
  <si>
    <t>3</t>
  </si>
  <si>
    <t>9</t>
  </si>
  <si>
    <t>11.4</t>
  </si>
  <si>
    <t>8.4 hrs</t>
  </si>
  <si>
    <t>17</t>
  </si>
  <si>
    <t>402</t>
  </si>
  <si>
    <t>Chat GPT</t>
  </si>
  <si>
    <t>1 hrs</t>
  </si>
  <si>
    <t>20</t>
  </si>
  <si>
    <t>3.2</t>
  </si>
  <si>
    <t>2</t>
  </si>
  <si>
    <t>5.2</t>
  </si>
  <si>
    <t>6.7</t>
  </si>
  <si>
    <t>35</t>
  </si>
  <si>
    <t>FEMALE</t>
  </si>
  <si>
    <t>1367</t>
  </si>
  <si>
    <t>1.7</t>
  </si>
  <si>
    <t>5.6</t>
  </si>
  <si>
    <t>5</t>
  </si>
  <si>
    <t>6.4</t>
  </si>
  <si>
    <t>9.6</t>
  </si>
  <si>
    <t>19</t>
  </si>
  <si>
    <t>438</t>
  </si>
  <si>
    <t>4.1</t>
  </si>
  <si>
    <t>4.7</t>
  </si>
  <si>
    <t>9.2</t>
  </si>
  <si>
    <t>6.2</t>
  </si>
  <si>
    <t>774</t>
  </si>
  <si>
    <t>1.5</t>
  </si>
  <si>
    <t>6</t>
  </si>
  <si>
    <t>2.9</t>
  </si>
  <si>
    <t>7.4</t>
  </si>
  <si>
    <t>32</t>
  </si>
  <si>
    <t>france</t>
  </si>
  <si>
    <t>4466</t>
  </si>
  <si>
    <t>1.2</t>
  </si>
  <si>
    <t>6.6</t>
  </si>
  <si>
    <t>486</t>
  </si>
  <si>
    <t>6.5</t>
  </si>
  <si>
    <t>3.2 hrs</t>
  </si>
  <si>
    <t>16</t>
  </si>
  <si>
    <t>132</t>
  </si>
  <si>
    <t>1.6 hrs</t>
  </si>
  <si>
    <t>3.8</t>
  </si>
  <si>
    <t>40</t>
  </si>
  <si>
    <t>male</t>
  </si>
  <si>
    <t>india</t>
  </si>
  <si>
    <t>1595</t>
  </si>
  <si>
    <t>10</t>
  </si>
  <si>
    <t>7.5</t>
  </si>
  <si>
    <t>9.4</t>
  </si>
  <si>
    <t>36</t>
  </si>
  <si>
    <t>856</t>
  </si>
  <si>
    <t>chatgpt</t>
  </si>
  <si>
    <t>2.7</t>
  </si>
  <si>
    <t>8.7</t>
  </si>
  <si>
    <t>22</t>
  </si>
  <si>
    <t>547</t>
  </si>
  <si>
    <t>9.8</t>
  </si>
  <si>
    <t>3307</t>
  </si>
  <si>
    <t>0.8</t>
  </si>
  <si>
    <t>2.3</t>
  </si>
  <si>
    <t>0.5</t>
  </si>
  <si>
    <t>8</t>
  </si>
  <si>
    <t>21</t>
  </si>
  <si>
    <t>canada</t>
  </si>
  <si>
    <t>387</t>
  </si>
  <si>
    <t>5.8</t>
  </si>
  <si>
    <t>6.9</t>
  </si>
  <si>
    <t>10.2</t>
  </si>
  <si>
    <t>4.8</t>
  </si>
  <si>
    <t>28</t>
  </si>
  <si>
    <t>3117</t>
  </si>
  <si>
    <t>8.6</t>
  </si>
  <si>
    <t>11.8</t>
  </si>
  <si>
    <t>7.6 hrs</t>
  </si>
  <si>
    <t>16 yrs</t>
  </si>
  <si>
    <t>324</t>
  </si>
  <si>
    <t>7.1</t>
  </si>
  <si>
    <t>11.6</t>
  </si>
  <si>
    <t>3546</t>
  </si>
  <si>
    <t>3.4</t>
  </si>
  <si>
    <t>23</t>
  </si>
  <si>
    <t>109</t>
  </si>
  <si>
    <t>3.7</t>
  </si>
  <si>
    <t>19.4</t>
  </si>
  <si>
    <t>61</t>
  </si>
  <si>
    <t>585</t>
  </si>
  <si>
    <t>5.4</t>
  </si>
  <si>
    <t>9.5</t>
  </si>
  <si>
    <t>24</t>
  </si>
  <si>
    <t>1977</t>
  </si>
  <si>
    <t>0.9</t>
  </si>
  <si>
    <t>M</t>
  </si>
  <si>
    <t>1.7 hrs</t>
  </si>
  <si>
    <t>2.8</t>
  </si>
  <si>
    <t>29</t>
  </si>
  <si>
    <t>1</t>
  </si>
  <si>
    <t>2.6</t>
  </si>
  <si>
    <t>444</t>
  </si>
  <si>
    <t>7.2</t>
  </si>
  <si>
    <t>392</t>
  </si>
  <si>
    <t>1.6</t>
  </si>
  <si>
    <t>4.5</t>
  </si>
  <si>
    <t>7.8</t>
  </si>
  <si>
    <t>215</t>
  </si>
  <si>
    <t>0.6</t>
  </si>
  <si>
    <t>1567</t>
  </si>
  <si>
    <t>0.7</t>
  </si>
  <si>
    <t xml:space="preserve">$0 </t>
  </si>
  <si>
    <t>4.4</t>
  </si>
  <si>
    <t>8.1</t>
  </si>
  <si>
    <t>23 yrs</t>
  </si>
  <si>
    <t>12.3</t>
  </si>
  <si>
    <t>6.8</t>
  </si>
  <si>
    <t>10.7</t>
  </si>
  <si>
    <t>531</t>
  </si>
  <si>
    <t>12.1</t>
  </si>
  <si>
    <t>44</t>
  </si>
  <si>
    <t>258</t>
  </si>
  <si>
    <t>4.6</t>
  </si>
  <si>
    <t>334</t>
  </si>
  <si>
    <t>2.5</t>
  </si>
  <si>
    <t>7.7</t>
  </si>
  <si>
    <t>high school</t>
  </si>
  <si>
    <t>169</t>
  </si>
  <si>
    <t>507</t>
  </si>
  <si>
    <t>1.9</t>
  </si>
  <si>
    <t>18</t>
  </si>
  <si>
    <t>3.3</t>
  </si>
  <si>
    <t>4.3</t>
  </si>
  <si>
    <t>F</t>
  </si>
  <si>
    <t>63</t>
  </si>
  <si>
    <t>3.5</t>
  </si>
  <si>
    <t>45</t>
  </si>
  <si>
    <t>887</t>
  </si>
  <si>
    <t>1699</t>
  </si>
  <si>
    <t>5.5</t>
  </si>
  <si>
    <t>43</t>
  </si>
  <si>
    <t>10.1</t>
  </si>
  <si>
    <t>5260</t>
  </si>
  <si>
    <t>513</t>
  </si>
  <si>
    <t>BA/BSc</t>
  </si>
  <si>
    <t>2307</t>
  </si>
  <si>
    <t>12</t>
  </si>
  <si>
    <t>234</t>
  </si>
  <si>
    <t>5.1</t>
  </si>
  <si>
    <t>8.3</t>
  </si>
  <si>
    <t>206</t>
  </si>
  <si>
    <t>2.4</t>
  </si>
  <si>
    <t>384</t>
  </si>
  <si>
    <t>3.1</t>
  </si>
  <si>
    <t>7.9</t>
  </si>
  <si>
    <t>Gemini</t>
  </si>
  <si>
    <t>9.1</t>
  </si>
  <si>
    <t>14.9</t>
  </si>
  <si>
    <t>34</t>
  </si>
  <si>
    <t>5669</t>
  </si>
  <si>
    <t>16.3</t>
  </si>
  <si>
    <t>198</t>
  </si>
  <si>
    <t>190</t>
  </si>
  <si>
    <t>8.4</t>
  </si>
  <si>
    <t>13.6</t>
  </si>
  <si>
    <t>376</t>
  </si>
  <si>
    <t>1.3</t>
  </si>
  <si>
    <t>other</t>
  </si>
  <si>
    <t>3477</t>
  </si>
  <si>
    <t>2.2 hrs</t>
  </si>
  <si>
    <t>Other</t>
  </si>
  <si>
    <t>100</t>
  </si>
  <si>
    <t>50</t>
  </si>
  <si>
    <t>26</t>
  </si>
  <si>
    <t>8.8</t>
  </si>
  <si>
    <t>33</t>
  </si>
  <si>
    <t>6197</t>
  </si>
  <si>
    <t>11</t>
  </si>
  <si>
    <t>31</t>
  </si>
  <si>
    <t>5355</t>
  </si>
  <si>
    <t>11.5</t>
  </si>
  <si>
    <t>brazil</t>
  </si>
  <si>
    <t>86</t>
  </si>
  <si>
    <t>1.4</t>
  </si>
  <si>
    <t>62</t>
  </si>
  <si>
    <t>13.2</t>
  </si>
  <si>
    <t>6.1</t>
  </si>
  <si>
    <t>3337</t>
  </si>
  <si>
    <t>7.6</t>
  </si>
  <si>
    <t>113</t>
  </si>
  <si>
    <t>4.2</t>
  </si>
  <si>
    <t>21 yrs</t>
  </si>
  <si>
    <t>118</t>
  </si>
  <si>
    <t>12.4</t>
  </si>
  <si>
    <t>6.3</t>
  </si>
  <si>
    <t>47 yrs</t>
  </si>
  <si>
    <t>1104</t>
  </si>
  <si>
    <t>4.9</t>
  </si>
  <si>
    <t>552</t>
  </si>
  <si>
    <t>0.1</t>
  </si>
  <si>
    <t>79</t>
  </si>
  <si>
    <t>614</t>
  </si>
  <si>
    <t>37</t>
  </si>
  <si>
    <t>1404</t>
  </si>
  <si>
    <t>302</t>
  </si>
  <si>
    <t>0.7 hrs</t>
  </si>
  <si>
    <t>4.5 hrs</t>
  </si>
  <si>
    <t>5966</t>
  </si>
  <si>
    <t>9.3</t>
  </si>
  <si>
    <t>MA/MSc</t>
  </si>
  <si>
    <t>3610</t>
  </si>
  <si>
    <t>1091</t>
  </si>
  <si>
    <t>2.6 hrs</t>
  </si>
  <si>
    <t>68</t>
  </si>
  <si>
    <t>2.1</t>
  </si>
  <si>
    <t>5.9</t>
  </si>
  <si>
    <t>Ph.D.</t>
  </si>
  <si>
    <t>1378</t>
  </si>
  <si>
    <t>884</t>
  </si>
  <si>
    <t>9.7</t>
  </si>
  <si>
    <t>12.8</t>
  </si>
  <si>
    <t>39</t>
  </si>
  <si>
    <t>3204</t>
  </si>
  <si>
    <t>3.6</t>
  </si>
  <si>
    <t>557</t>
  </si>
  <si>
    <t>9.9 hrs</t>
  </si>
  <si>
    <t>16.2</t>
  </si>
  <si>
    <t>8.5</t>
  </si>
  <si>
    <t>25</t>
  </si>
  <si>
    <t>female</t>
  </si>
  <si>
    <t>6851</t>
  </si>
  <si>
    <t>46</t>
  </si>
  <si>
    <t>3159</t>
  </si>
  <si>
    <t>4.1 hrs</t>
  </si>
  <si>
    <t>3878</t>
  </si>
  <si>
    <t>4.8 hrs</t>
  </si>
  <si>
    <t xml:space="preserve">$30 </t>
  </si>
  <si>
    <t>8.7 hrs</t>
  </si>
  <si>
    <t>1761</t>
  </si>
  <si>
    <t>10.5</t>
  </si>
  <si>
    <t>25 yrs</t>
  </si>
  <si>
    <t>MALE</t>
  </si>
  <si>
    <t>2.9 hrs</t>
  </si>
  <si>
    <t>2090</t>
  </si>
  <si>
    <t>Chatgpt</t>
  </si>
  <si>
    <t>Masters</t>
  </si>
  <si>
    <t>579</t>
  </si>
  <si>
    <t>9.4 hrs</t>
  </si>
  <si>
    <t>U.K.</t>
  </si>
  <si>
    <t>97</t>
  </si>
  <si>
    <t>6779</t>
  </si>
  <si>
    <t>11.2</t>
  </si>
  <si>
    <t>8205</t>
  </si>
  <si>
    <t>1.8</t>
  </si>
  <si>
    <t>1575</t>
  </si>
  <si>
    <t>54</t>
  </si>
  <si>
    <t>2464</t>
  </si>
  <si>
    <t>6.8 hrs</t>
  </si>
  <si>
    <t>730</t>
  </si>
  <si>
    <t>157</t>
  </si>
  <si>
    <t>2945</t>
  </si>
  <si>
    <t>15.1</t>
  </si>
  <si>
    <t>11.3</t>
  </si>
  <si>
    <t>366</t>
  </si>
  <si>
    <t xml:space="preserve">$25 </t>
  </si>
  <si>
    <t>397</t>
  </si>
  <si>
    <t>13.1</t>
  </si>
  <si>
    <t>134</t>
  </si>
  <si>
    <t>1354</t>
  </si>
  <si>
    <t>191</t>
  </si>
  <si>
    <t>6399</t>
  </si>
  <si>
    <t>126</t>
  </si>
  <si>
    <t>47</t>
  </si>
  <si>
    <t>2688</t>
  </si>
  <si>
    <t>30 yrs</t>
  </si>
  <si>
    <t>1262</t>
  </si>
  <si>
    <t>15.6 hrs</t>
  </si>
  <si>
    <t>4815</t>
  </si>
  <si>
    <t>28 yrs</t>
  </si>
  <si>
    <t>666</t>
  </si>
  <si>
    <t>2.2</t>
  </si>
  <si>
    <t>27</t>
  </si>
  <si>
    <t>482</t>
  </si>
  <si>
    <t>942</t>
  </si>
  <si>
    <t>1.3 hrs</t>
  </si>
  <si>
    <t>4.9 hrs</t>
  </si>
  <si>
    <t>1188</t>
  </si>
  <si>
    <t>56</t>
  </si>
  <si>
    <t>5 hrs</t>
  </si>
  <si>
    <t>137</t>
  </si>
  <si>
    <t>1.4 hrs</t>
  </si>
  <si>
    <t>1141</t>
  </si>
  <si>
    <t>418</t>
  </si>
  <si>
    <t>41</t>
  </si>
  <si>
    <t>1002</t>
  </si>
  <si>
    <t>965</t>
  </si>
  <si>
    <t>master's degree</t>
  </si>
  <si>
    <t>6171</t>
  </si>
  <si>
    <t>192</t>
  </si>
  <si>
    <t>United States of America</t>
  </si>
  <si>
    <t>4964</t>
  </si>
  <si>
    <t>gemini</t>
  </si>
  <si>
    <t>83</t>
  </si>
  <si>
    <t>578</t>
  </si>
  <si>
    <t>9938</t>
  </si>
  <si>
    <t>58</t>
  </si>
  <si>
    <t>1469</t>
  </si>
  <si>
    <t>130</t>
  </si>
  <si>
    <t>5268</t>
  </si>
  <si>
    <t>0.4</t>
  </si>
  <si>
    <t>221</t>
  </si>
  <si>
    <t>520</t>
  </si>
  <si>
    <t>67</t>
  </si>
  <si>
    <t>698</t>
  </si>
  <si>
    <t>600</t>
  </si>
  <si>
    <t>7739</t>
  </si>
  <si>
    <t>898</t>
  </si>
  <si>
    <t>49</t>
  </si>
  <si>
    <t>1057</t>
  </si>
  <si>
    <t>14.2</t>
  </si>
  <si>
    <t>237</t>
  </si>
  <si>
    <t>1194</t>
  </si>
  <si>
    <t xml:space="preserve">$874 </t>
  </si>
  <si>
    <t>15.2</t>
  </si>
  <si>
    <t>106</t>
  </si>
  <si>
    <t>8.2</t>
  </si>
  <si>
    <t>74</t>
  </si>
  <si>
    <t>3054</t>
  </si>
  <si>
    <t>442</t>
  </si>
  <si>
    <t>77</t>
  </si>
  <si>
    <t>6705</t>
  </si>
  <si>
    <t>987</t>
  </si>
  <si>
    <t>889</t>
  </si>
  <si>
    <t>8.9</t>
  </si>
  <si>
    <t>59</t>
  </si>
  <si>
    <t>55</t>
  </si>
  <si>
    <t>2116</t>
  </si>
  <si>
    <t>philippines</t>
  </si>
  <si>
    <t>765</t>
  </si>
  <si>
    <t>7178</t>
  </si>
  <si>
    <t xml:space="preserve">$98 </t>
  </si>
  <si>
    <t>Copilot</t>
  </si>
  <si>
    <t>518</t>
  </si>
  <si>
    <t>39 yrs</t>
  </si>
  <si>
    <t>488</t>
  </si>
  <si>
    <t>75</t>
  </si>
  <si>
    <t>66</t>
  </si>
  <si>
    <t>1.1</t>
  </si>
  <si>
    <t>133</t>
  </si>
  <si>
    <t>96</t>
  </si>
  <si>
    <t>bachelor's degree</t>
  </si>
  <si>
    <t>504</t>
  </si>
  <si>
    <t>0.6 hrs</t>
  </si>
  <si>
    <t>95</t>
  </si>
  <si>
    <t>238</t>
  </si>
  <si>
    <t>claude</t>
  </si>
  <si>
    <t xml:space="preserve">$1,884 </t>
  </si>
  <si>
    <t>undergrad</t>
  </si>
  <si>
    <t>1632</t>
  </si>
  <si>
    <t>1193</t>
  </si>
  <si>
    <t>13.5</t>
  </si>
  <si>
    <t>3622</t>
  </si>
  <si>
    <t>661</t>
  </si>
  <si>
    <t>1192</t>
  </si>
  <si>
    <t>10.9</t>
  </si>
  <si>
    <t>613</t>
  </si>
  <si>
    <t>48</t>
  </si>
  <si>
    <t>5563</t>
  </si>
  <si>
    <t>670</t>
  </si>
  <si>
    <t>1106</t>
  </si>
  <si>
    <t>15.8</t>
  </si>
  <si>
    <t>1320</t>
  </si>
  <si>
    <t>3.5 hrs</t>
  </si>
  <si>
    <t>135</t>
  </si>
  <si>
    <t>3218</t>
  </si>
  <si>
    <t>6.4 hrs</t>
  </si>
  <si>
    <t>Non-binary</t>
  </si>
  <si>
    <t>624</t>
  </si>
  <si>
    <t>0.9 hrs</t>
  </si>
  <si>
    <t>7.4 hrs</t>
  </si>
  <si>
    <t>415</t>
  </si>
  <si>
    <t>4499</t>
  </si>
  <si>
    <t>6437</t>
  </si>
  <si>
    <t>17 yrs</t>
  </si>
  <si>
    <t>440</t>
  </si>
  <si>
    <t>60</t>
  </si>
  <si>
    <t>7.2 hrs</t>
  </si>
  <si>
    <t>219</t>
  </si>
  <si>
    <t>82</t>
  </si>
  <si>
    <t>0.8 hrs</t>
  </si>
  <si>
    <t>5903</t>
  </si>
  <si>
    <t>53</t>
  </si>
  <si>
    <t>Bachelors</t>
  </si>
  <si>
    <t>3944</t>
  </si>
  <si>
    <t>4070</t>
  </si>
  <si>
    <t>250000</t>
  </si>
  <si>
    <t>553</t>
  </si>
  <si>
    <t>3693</t>
  </si>
  <si>
    <t>7690</t>
  </si>
  <si>
    <t>10.4</t>
  </si>
  <si>
    <t>1208</t>
  </si>
  <si>
    <t>10311</t>
  </si>
  <si>
    <t>1407</t>
  </si>
  <si>
    <t>64</t>
  </si>
  <si>
    <t>2050</t>
  </si>
  <si>
    <t xml:space="preserve">$50 </t>
  </si>
  <si>
    <t>243</t>
  </si>
  <si>
    <t>1405</t>
  </si>
  <si>
    <t>98</t>
  </si>
  <si>
    <t>104</t>
  </si>
  <si>
    <t>14.1</t>
  </si>
  <si>
    <t xml:space="preserve">$20 </t>
  </si>
  <si>
    <t>australia</t>
  </si>
  <si>
    <t xml:space="preserve">$3,462 </t>
  </si>
  <si>
    <t>1613</t>
  </si>
  <si>
    <t>969</t>
  </si>
  <si>
    <t>3579</t>
  </si>
  <si>
    <t>210</t>
  </si>
  <si>
    <t>88</t>
  </si>
  <si>
    <t>335</t>
  </si>
  <si>
    <t>5.4 hrs</t>
  </si>
  <si>
    <t>2303</t>
  </si>
  <si>
    <t>HS</t>
  </si>
  <si>
    <t>3779</t>
  </si>
  <si>
    <t>13</t>
  </si>
  <si>
    <t>672</t>
  </si>
  <si>
    <t>16.5</t>
  </si>
  <si>
    <t>3.9 hrs</t>
  </si>
  <si>
    <t>158</t>
  </si>
  <si>
    <t>80</t>
  </si>
  <si>
    <t>627</t>
  </si>
  <si>
    <t>863</t>
  </si>
  <si>
    <t>10.3</t>
  </si>
  <si>
    <t>167</t>
  </si>
  <si>
    <t>17.7</t>
  </si>
  <si>
    <t>73</t>
  </si>
  <si>
    <t>5.8 hrs</t>
  </si>
  <si>
    <t>17.2</t>
  </si>
  <si>
    <t>38</t>
  </si>
  <si>
    <t>1114</t>
  </si>
  <si>
    <t>7.9 hrs</t>
  </si>
  <si>
    <t xml:space="preserve">$528 </t>
  </si>
  <si>
    <t>524</t>
  </si>
  <si>
    <t>11.7</t>
  </si>
  <si>
    <t>6.5 hrs</t>
  </si>
  <si>
    <t>915</t>
  </si>
  <si>
    <t>483</t>
  </si>
  <si>
    <t>3795</t>
  </si>
  <si>
    <t>5976</t>
  </si>
  <si>
    <t>3513</t>
  </si>
  <si>
    <t>8 hrs</t>
  </si>
  <si>
    <t>110</t>
  </si>
  <si>
    <t>2690</t>
  </si>
  <si>
    <t>4102</t>
  </si>
  <si>
    <t>390</t>
  </si>
  <si>
    <t>14.2 hrs</t>
  </si>
  <si>
    <t>312</t>
  </si>
  <si>
    <t>595</t>
  </si>
  <si>
    <t>983</t>
  </si>
  <si>
    <t>76</t>
  </si>
  <si>
    <t>1991</t>
  </si>
  <si>
    <t>copilot</t>
  </si>
  <si>
    <t>435</t>
  </si>
  <si>
    <t>678</t>
  </si>
  <si>
    <t>4006</t>
  </si>
  <si>
    <t>707</t>
  </si>
  <si>
    <t>523</t>
  </si>
  <si>
    <t>93</t>
  </si>
  <si>
    <t>5785</t>
  </si>
  <si>
    <t>3114</t>
  </si>
  <si>
    <t>13.4</t>
  </si>
  <si>
    <t>4186</t>
  </si>
  <si>
    <t>10 hrs</t>
  </si>
  <si>
    <t>540</t>
  </si>
  <si>
    <t>152</t>
  </si>
  <si>
    <t>5.9 hrs</t>
  </si>
  <si>
    <t>1148</t>
  </si>
  <si>
    <t>894</t>
  </si>
  <si>
    <t>675</t>
  </si>
  <si>
    <t>204</t>
  </si>
  <si>
    <t>8255</t>
  </si>
  <si>
    <t>12.2</t>
  </si>
  <si>
    <t>544</t>
  </si>
  <si>
    <t>448</t>
  </si>
  <si>
    <t>36 yrs</t>
  </si>
  <si>
    <t>6766</t>
  </si>
  <si>
    <t>Survey of students and professionals across 12 countries  |  cleaned and analyzed in this workbook  |  all figures are live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</si>
</sst>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 / 10&quot;"/>
    <numFmt numFmtId="166" formatCode="\$#,##0"/>
  </numFmts>
  <fonts count="17" x14ac:knownFonts="1">
    <font>
      <sz val="11"/>
      <color theme="1"/>
      <name val="Calibri"/>
      <family val="2"/>
      <charset val="1"/>
    </font>
    <font>
      <b/>
      <sz val="22"/>
      <color rgb="FFFFFFFF"/>
      <name val="Arial"/>
      <charset val="1"/>
    </font>
    <font>
      <sz val="9"/>
      <color rgb="FFCBD5E1"/>
      <name val="Arial"/>
      <charset val="1"/>
    </font>
    <font>
      <b/>
      <sz val="8"/>
      <color rgb="FF64748B"/>
      <name val="Arial"/>
      <charset val="1"/>
    </font>
    <font>
      <b/>
      <sz val="26"/>
      <color rgb="FF1F2A44"/>
      <name val="Arial"/>
      <charset val="1"/>
    </font>
    <font>
      <sz val="8"/>
      <color rgb="FF64748B"/>
      <name val="Arial"/>
      <charset val="1"/>
    </font>
    <font>
      <b/>
      <sz val="13"/>
      <color rgb="FF1F2A44"/>
      <name val="Arial"/>
      <charset val="1"/>
    </font>
    <font>
      <sz val="10"/>
      <color rgb="FF334155"/>
      <name val="Arial"/>
      <charset val="1"/>
    </font>
    <font>
      <i/>
      <sz val="8"/>
      <color rgb="FF64748B"/>
      <name val="Arial"/>
      <charset val="1"/>
    </font>
    <font>
      <b/>
      <sz val="18"/>
      <color rgb="FF1F2A44"/>
      <name val="Arial"/>
      <charset val="1"/>
    </font>
    <font>
      <i/>
      <sz val="9"/>
      <color rgb="FF64748B"/>
      <name val="Arial"/>
      <charset val="1"/>
    </font>
    <font>
      <b/>
      <sz val="12"/>
      <color rgb="FF1F2A44"/>
      <name val="Arial"/>
      <charset val="1"/>
    </font>
    <font>
      <b/>
      <sz val="9"/>
      <color rgb="FFFFFFFF"/>
      <name val="Arial"/>
      <charset val="1"/>
    </font>
    <font>
      <b/>
      <sz val="10"/>
      <color rgb="FF1F2937"/>
      <name val="Arial"/>
      <charset val="1"/>
    </font>
    <font>
      <sz val="10"/>
      <color rgb="FF1F2937"/>
      <name val="Arial"/>
      <charset val="1"/>
    </font>
    <font>
      <b/>
      <sz val="10"/>
      <color rgb="FFFFFFFF"/>
      <name val="Arial"/>
      <charset val="1"/>
    </font>
    <font>
      <sz val="9"/>
      <color rgb="FF1F2937"/>
      <name val="Arial"/>
      <charset val="1"/>
    </font>
  </fonts>
  <fills count="6">
    <fill>
      <patternFill patternType="none"/>
    </fill>
    <fill>
      <patternFill patternType="gray125"/>
    </fill>
    <fill>
      <patternFill patternType="solid">
        <fgColor rgb="FF1F2A44"/>
        <bgColor rgb="FF1F2937"/>
      </patternFill>
    </fill>
    <fill>
      <patternFill patternType="solid">
        <fgColor rgb="FFF4F6FA"/>
        <bgColor rgb="FFFFFFFF"/>
      </patternFill>
    </fill>
    <fill>
      <patternFill patternType="solid">
        <fgColor rgb="FFFFFFFF"/>
        <bgColor rgb="FFF4F6FA"/>
      </patternFill>
    </fill>
    <fill>
      <patternFill patternType="solid">
        <fgColor rgb="FF64748B"/>
        <bgColor rgb="FF4F81BD"/>
      </patternFill>
    </fill>
  </fills>
  <borders count="11">
    <border>
      <left/>
      <right/>
      <top/>
      <bottom/>
      <diagonal/>
    </border>
    <border>
      <left/>
      <right/>
      <top style="thick">
        <color rgb="FF14B8A6"/>
      </top>
      <bottom/>
      <diagonal/>
    </border>
    <border>
      <left/>
      <right/>
      <top style="thick">
        <color rgb="FF38BDF8"/>
      </top>
      <bottom/>
      <diagonal/>
    </border>
    <border>
      <left/>
      <right/>
      <top style="thick">
        <color rgb="FF7C3AED"/>
      </top>
      <bottom/>
      <diagonal/>
    </border>
    <border>
      <left/>
      <right/>
      <top style="thick">
        <color rgb="FFF97316"/>
      </top>
      <bottom/>
      <diagonal/>
    </border>
    <border>
      <left/>
      <right/>
      <top style="thick">
        <color rgb="FF1F2A44"/>
      </top>
      <bottom/>
      <diagonal/>
    </border>
    <border>
      <left style="thick">
        <color rgb="FF14B8A6"/>
      </left>
      <right/>
      <top/>
      <bottom/>
      <diagonal/>
    </border>
    <border>
      <left style="thick">
        <color rgb="FF38BDF8"/>
      </left>
      <right/>
      <top/>
      <bottom/>
      <diagonal/>
    </border>
    <border>
      <left style="thick">
        <color rgb="FF7C3AED"/>
      </left>
      <right/>
      <top/>
      <bottom/>
      <diagonal/>
    </border>
    <border>
      <left style="thick">
        <color rgb="FFF97316"/>
      </left>
      <right/>
      <top/>
      <bottom/>
      <diagonal/>
    </border>
    <border>
      <left/>
      <right/>
      <top/>
      <bottom style="thin">
        <color rgb="FFE2E8F0"/>
      </bottom>
      <diagonal/>
    </border>
  </borders>
  <cellStyleXfs count="1">
    <xf numFmtId="0" fontId="0" fillId="0" borderId="0"/>
  </cellStyleXfs>
  <cellXfs count="53">
    <xf numFmtId="0" fontId="0" fillId="0" borderId="0" xfId="0"/>
    <xf numFmtId="0" fontId="7" fillId="4" borderId="8" xfId="0" applyFont="1" applyFill="1" applyBorder="1" applyAlignment="1">
      <alignment vertical="center" wrapText="1" indent="1"/>
    </xf>
    <xf numFmtId="0" fontId="7" fillId="4" borderId="7" xfId="0" applyFont="1" applyFill="1" applyBorder="1" applyAlignment="1">
      <alignment vertical="center" wrapText="1" indent="1"/>
    </xf>
    <xf numFmtId="0" fontId="7" fillId="4" borderId="6" xfId="0" applyFont="1" applyFill="1" applyBorder="1" applyAlignment="1">
      <alignment vertical="center" wrapText="1" indent="1"/>
    </xf>
    <xf numFmtId="0" fontId="5" fillId="4" borderId="0" xfId="0" applyFont="1" applyFill="1" applyAlignment="1">
      <alignment horizontal="center"/>
    </xf>
    <xf numFmtId="9" fontId="4" fillId="4" borderId="0" xfId="0" applyNumberFormat="1" applyFont="1" applyFill="1" applyAlignment="1">
      <alignment horizontal="center" vertical="center"/>
    </xf>
    <xf numFmtId="165" fontId="4" fillId="4" borderId="0" xfId="0" applyNumberFormat="1" applyFont="1" applyFill="1" applyAlignment="1">
      <alignment horizontal="center" vertical="center"/>
    </xf>
    <xf numFmtId="164" fontId="4" fillId="4" borderId="0" xfId="0" applyNumberFormat="1" applyFont="1" applyFill="1" applyAlignment="1">
      <alignment horizontal="center" vertical="center"/>
    </xf>
    <xf numFmtId="3" fontId="4" fillId="4" borderId="0" xfId="0" applyNumberFormat="1" applyFont="1" applyFill="1" applyAlignment="1">
      <alignment horizontal="center" vertical="center"/>
    </xf>
    <xf numFmtId="0" fontId="3" fillId="4" borderId="5"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1" fillId="2" borderId="0" xfId="0" applyFont="1" applyFill="1" applyAlignment="1">
      <alignment vertical="center"/>
    </xf>
    <xf numFmtId="0" fontId="2" fillId="2" borderId="0" xfId="0" applyFont="1" applyFill="1"/>
    <xf numFmtId="0" fontId="0" fillId="2" borderId="0" xfId="0" applyFill="1"/>
    <xf numFmtId="0" fontId="0" fillId="3" borderId="0" xfId="0" applyFill="1"/>
    <xf numFmtId="0" fontId="6" fillId="3" borderId="0" xfId="0" applyFont="1" applyFill="1"/>
    <xf numFmtId="0" fontId="8" fillId="3" borderId="0" xfId="0" applyFont="1" applyFill="1"/>
    <xf numFmtId="0" fontId="9" fillId="0" borderId="0" xfId="0" applyFont="1"/>
    <xf numFmtId="0" fontId="10" fillId="0" borderId="0" xfId="0" applyFont="1"/>
    <xf numFmtId="0" fontId="11" fillId="0" borderId="0" xfId="0" applyFont="1"/>
    <xf numFmtId="0" fontId="12" fillId="2" borderId="0" xfId="0" applyFont="1" applyFill="1" applyAlignment="1">
      <alignment horizontal="left" vertical="center" wrapText="1"/>
    </xf>
    <xf numFmtId="0" fontId="12" fillId="2" borderId="0" xfId="0" applyFont="1" applyFill="1" applyAlignment="1">
      <alignment horizontal="center" vertical="center" wrapText="1"/>
    </xf>
    <xf numFmtId="0" fontId="13" fillId="0" borderId="10" xfId="0" applyFont="1" applyBorder="1"/>
    <xf numFmtId="1" fontId="14" fillId="0" borderId="10" xfId="0" applyNumberFormat="1" applyFont="1" applyBorder="1" applyAlignment="1">
      <alignment horizontal="center"/>
    </xf>
    <xf numFmtId="9" fontId="14" fillId="0" borderId="10" xfId="0" applyNumberFormat="1" applyFont="1" applyBorder="1" applyAlignment="1">
      <alignment horizontal="center"/>
    </xf>
    <xf numFmtId="164" fontId="14" fillId="0" borderId="10" xfId="0" applyNumberFormat="1" applyFont="1" applyBorder="1" applyAlignment="1">
      <alignment horizontal="center"/>
    </xf>
    <xf numFmtId="0" fontId="12" fillId="2" borderId="0" xfId="0" applyFont="1" applyFill="1" applyAlignment="1">
      <alignment horizontal="left"/>
    </xf>
    <xf numFmtId="0" fontId="12" fillId="2" borderId="0" xfId="0" applyFont="1" applyFill="1" applyAlignment="1">
      <alignment horizontal="center"/>
    </xf>
    <xf numFmtId="3" fontId="14" fillId="0" borderId="10" xfId="0" applyNumberFormat="1" applyFont="1" applyBorder="1" applyAlignment="1">
      <alignment horizontal="center"/>
    </xf>
    <xf numFmtId="0" fontId="8" fillId="0" borderId="0" xfId="0" applyFont="1"/>
    <xf numFmtId="2" fontId="14" fillId="0" borderId="10" xfId="0" applyNumberFormat="1" applyFont="1" applyBorder="1" applyAlignment="1">
      <alignment horizontal="center"/>
    </xf>
    <xf numFmtId="0" fontId="14" fillId="0" borderId="10" xfId="0" applyFont="1" applyBorder="1" applyAlignment="1">
      <alignment horizontal="center"/>
    </xf>
    <xf numFmtId="0" fontId="15" fillId="2" borderId="0" xfId="0" applyFont="1" applyFill="1" applyAlignment="1">
      <alignment horizontal="center" vertical="center" wrapText="1"/>
    </xf>
    <xf numFmtId="0" fontId="16" fillId="0" borderId="0" xfId="0" applyFont="1"/>
    <xf numFmtId="3" fontId="16" fillId="0" borderId="0" xfId="0" applyNumberFormat="1" applyFont="1"/>
    <xf numFmtId="164" fontId="16" fillId="0" borderId="0" xfId="0" applyNumberFormat="1" applyFont="1"/>
    <xf numFmtId="9" fontId="16" fillId="0" borderId="0" xfId="0" applyNumberFormat="1" applyFont="1"/>
    <xf numFmtId="166" fontId="16" fillId="0" borderId="0" xfId="0" applyNumberFormat="1" applyFont="1"/>
    <xf numFmtId="2" fontId="16" fillId="0" borderId="0" xfId="0" applyNumberFormat="1" applyFont="1"/>
    <xf numFmtId="0" fontId="13" fillId="0" borderId="0" xfId="0" applyFont="1"/>
    <xf numFmtId="0" fontId="14" fillId="0" borderId="0" xfId="0" applyFont="1" applyAlignment="1">
      <alignment horizontal="center"/>
    </xf>
    <xf numFmtId="0" fontId="15" fillId="2" borderId="0" xfId="0" applyFont="1" applyFill="1"/>
    <xf numFmtId="0" fontId="13" fillId="0" borderId="10" xfId="0" applyFont="1" applyBorder="1" applyAlignment="1">
      <alignment vertical="top" wrapText="1"/>
    </xf>
    <xf numFmtId="0" fontId="14" fillId="0" borderId="10" xfId="0" applyFont="1" applyBorder="1" applyAlignment="1">
      <alignment vertical="top" wrapText="1"/>
    </xf>
    <xf numFmtId="0" fontId="14" fillId="0" borderId="10" xfId="0" applyFont="1" applyBorder="1" applyAlignment="1">
      <alignment horizontal="center" vertical="top"/>
    </xf>
    <xf numFmtId="0" fontId="14" fillId="0" borderId="0" xfId="0" applyFont="1"/>
    <xf numFmtId="9" fontId="14" fillId="0" borderId="0" xfId="0" applyNumberFormat="1" applyFont="1" applyAlignment="1">
      <alignment horizontal="center"/>
    </xf>
    <xf numFmtId="0" fontId="15" fillId="5" borderId="0" xfId="0" applyFont="1" applyFill="1"/>
    <xf numFmtId="0" fontId="7" fillId="4" borderId="9" xfId="0" applyFont="1" applyFill="1" applyBorder="1" applyAlignment="1">
      <alignment vertical="center" wrapText="1" indent="1"/>
    </xf>
    <xf numFmtId="0" fontId="1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7C3AED"/>
      <rgbColor rgb="FFF4F6FA"/>
      <rgbColor rgb="FFE2E8F0"/>
      <rgbColor rgb="FF660066"/>
      <rgbColor rgb="FFFF8080"/>
      <rgbColor rgb="FF0066CC"/>
      <rgbColor rgb="FFCBD5E1"/>
      <rgbColor rgb="FF000080"/>
      <rgbColor rgb="FFFF00FF"/>
      <rgbColor rgb="FFFFFF00"/>
      <rgbColor rgb="FF00FFFF"/>
      <rgbColor rgb="FF800080"/>
      <rgbColor rgb="FF800000"/>
      <rgbColor rgb="FF008080"/>
      <rgbColor rgb="FF0000FF"/>
      <rgbColor rgb="FF14B8A6"/>
      <rgbColor rgb="FFCCFFFF"/>
      <rgbColor rgb="FFCCFFCC"/>
      <rgbColor rgb="FFFFFF99"/>
      <rgbColor rgb="FF99CCFF"/>
      <rgbColor rgb="FFFF99CC"/>
      <rgbColor rgb="FFCC99FF"/>
      <rgbColor rgb="FFFFCC99"/>
      <rgbColor rgb="FF4F81BD"/>
      <rgbColor rgb="FF38BDF8"/>
      <rgbColor rgb="FF99CC00"/>
      <rgbColor rgb="FFFBBF24"/>
      <rgbColor rgb="FFFF9900"/>
      <rgbColor rgb="FFF97316"/>
      <rgbColor rgb="FF64748B"/>
      <rgbColor rgb="FF969696"/>
      <rgbColor rgb="FF1F2A44"/>
      <rgbColor rgb="FF339966"/>
      <rgbColor rgb="FF003300"/>
      <rgbColor rgb="FF333300"/>
      <rgbColor rgb="FF993300"/>
      <rgbColor rgb="FF993366"/>
      <rgbColor rgb="FF334155"/>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Which AI tools do people use? (users)</a:t>
            </a:r>
          </a:p>
        </c:rich>
      </c:tx>
      <c:overlay val="0"/>
      <c:spPr>
        <a:noFill/>
        <a:ln w="0">
          <a:noFill/>
        </a:ln>
      </c:spPr>
    </c:title>
    <c:autoTitleDeleted val="0"/>
    <c:plotArea>
      <c:layout/>
      <c:barChart>
        <c:barDir val="bar"/>
        <c:grouping val="clustered"/>
        <c:varyColors val="0"/>
        <c:ser>
          <c:idx val="0"/>
          <c:order val="0"/>
          <c:tx>
            <c:strRef>
              <c:f>Analysis!$B$5</c:f>
              <c:strCache>
                <c:ptCount val="1"/>
                <c:pt idx="0">
                  <c:v>Users</c:v>
                </c:pt>
              </c:strCache>
            </c:strRef>
          </c:tx>
          <c:spPr>
            <a:solidFill>
              <a:srgbClr val="14B8A6"/>
            </a:solidFill>
            <a:ln w="0">
              <a:solidFill>
                <a:srgbClr val="14B8A6"/>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Analysis!$A$6:$A$13</c:f>
              <c:strCache>
                <c:ptCount val="8"/>
                <c:pt idx="0">
                  <c:v>ChatGPT</c:v>
                </c:pt>
                <c:pt idx="1">
                  <c:v>Google Gemini</c:v>
                </c:pt>
                <c:pt idx="2">
                  <c:v>Microsoft Copilot</c:v>
                </c:pt>
                <c:pt idx="3">
                  <c:v>Claude</c:v>
                </c:pt>
                <c:pt idx="4">
                  <c:v>Perplexity AI</c:v>
                </c:pt>
                <c:pt idx="5">
                  <c:v>Grammarly</c:v>
                </c:pt>
                <c:pt idx="6">
                  <c:v>Meta AI</c:v>
                </c:pt>
                <c:pt idx="7">
                  <c:v>DeepSeek</c:v>
                </c:pt>
              </c:strCache>
            </c:strRef>
          </c:cat>
          <c:val>
            <c:numRef>
              <c:f>Analysis!$B$6:$B$13</c:f>
              <c:numCache>
                <c:formatCode>0</c:formatCode>
                <c:ptCount val="8"/>
                <c:pt idx="0">
                  <c:v>119</c:v>
                </c:pt>
                <c:pt idx="1">
                  <c:v>39</c:v>
                </c:pt>
                <c:pt idx="2">
                  <c:v>33</c:v>
                </c:pt>
                <c:pt idx="3">
                  <c:v>31</c:v>
                </c:pt>
                <c:pt idx="4">
                  <c:v>23</c:v>
                </c:pt>
                <c:pt idx="5">
                  <c:v>14</c:v>
                </c:pt>
                <c:pt idx="6">
                  <c:v>10</c:v>
                </c:pt>
                <c:pt idx="7">
                  <c:v>9</c:v>
                </c:pt>
              </c:numCache>
            </c:numRef>
          </c:val>
          <c:extLst>
            <c:ext xmlns:c16="http://schemas.microsoft.com/office/drawing/2014/chart" uri="{C3380CC4-5D6E-409C-BE32-E72D297353CC}">
              <c16:uniqueId val="{00000000-54C1-4B53-918F-166CADEF7A6F}"/>
            </c:ext>
          </c:extLst>
        </c:ser>
        <c:dLbls>
          <c:showLegendKey val="0"/>
          <c:showVal val="0"/>
          <c:showCatName val="0"/>
          <c:showSerName val="0"/>
          <c:showPercent val="0"/>
          <c:showBubbleSize val="0"/>
        </c:dLbls>
        <c:gapWidth val="45"/>
        <c:axId val="45608625"/>
        <c:axId val="55386644"/>
      </c:barChart>
      <c:catAx>
        <c:axId val="45608625"/>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386644"/>
        <c:crosses val="autoZero"/>
        <c:auto val="1"/>
        <c:lblAlgn val="ctr"/>
        <c:lblOffset val="100"/>
        <c:noMultiLvlLbl val="0"/>
      </c:catAx>
      <c:valAx>
        <c:axId val="55386644"/>
        <c:scaling>
          <c:orientation val="minMax"/>
          <c:min val="0"/>
        </c:scaling>
        <c:delete val="0"/>
        <c:axPos val="t"/>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6086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What AI is used for: students vs professionals</a:t>
            </a:r>
          </a:p>
        </c:rich>
      </c:tx>
      <c:overlay val="0"/>
      <c:spPr>
        <a:noFill/>
        <a:ln w="0">
          <a:noFill/>
        </a:ln>
      </c:spPr>
    </c:title>
    <c:autoTitleDeleted val="0"/>
    <c:plotArea>
      <c:layout/>
      <c:barChart>
        <c:barDir val="col"/>
        <c:grouping val="clustered"/>
        <c:varyColors val="0"/>
        <c:ser>
          <c:idx val="0"/>
          <c:order val="0"/>
          <c:tx>
            <c:strRef>
              <c:f>Analysis!$C$17</c:f>
              <c:strCache>
                <c:ptCount val="1"/>
                <c:pt idx="0">
                  <c:v>Students</c:v>
                </c:pt>
              </c:strCache>
            </c:strRef>
          </c:tx>
          <c:spPr>
            <a:solidFill>
              <a:srgbClr val="38BDF8"/>
            </a:solidFill>
            <a:ln w="0">
              <a:solidFill>
                <a:srgbClr val="38BDF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Analysis!$A$18:$A$25</c:f>
              <c:strCache>
                <c:ptCount val="8"/>
                <c:pt idx="0">
                  <c:v>Coding</c:v>
                </c:pt>
                <c:pt idx="1">
                  <c:v>Writing</c:v>
                </c:pt>
                <c:pt idx="2">
                  <c:v>Studying</c:v>
                </c:pt>
                <c:pt idx="3">
                  <c:v>Research</c:v>
                </c:pt>
                <c:pt idx="4">
                  <c:v>Content Creation</c:v>
                </c:pt>
                <c:pt idx="5">
                  <c:v>Data Analysis</c:v>
                </c:pt>
                <c:pt idx="6">
                  <c:v>Customer Support</c:v>
                </c:pt>
                <c:pt idx="7">
                  <c:v>Office Work</c:v>
                </c:pt>
              </c:strCache>
            </c:strRef>
          </c:cat>
          <c:val>
            <c:numRef>
              <c:f>Analysis!$C$18:$C$25</c:f>
              <c:numCache>
                <c:formatCode>0</c:formatCode>
                <c:ptCount val="8"/>
                <c:pt idx="0">
                  <c:v>28</c:v>
                </c:pt>
                <c:pt idx="1">
                  <c:v>29</c:v>
                </c:pt>
                <c:pt idx="2">
                  <c:v>39</c:v>
                </c:pt>
                <c:pt idx="3">
                  <c:v>27</c:v>
                </c:pt>
                <c:pt idx="4">
                  <c:v>13</c:v>
                </c:pt>
                <c:pt idx="5">
                  <c:v>7</c:v>
                </c:pt>
                <c:pt idx="6">
                  <c:v>0</c:v>
                </c:pt>
                <c:pt idx="7">
                  <c:v>0</c:v>
                </c:pt>
              </c:numCache>
            </c:numRef>
          </c:val>
          <c:extLst>
            <c:ext xmlns:c16="http://schemas.microsoft.com/office/drawing/2014/chart" uri="{C3380CC4-5D6E-409C-BE32-E72D297353CC}">
              <c16:uniqueId val="{00000000-F2D4-40E1-90E9-E9B59D8101C7}"/>
            </c:ext>
          </c:extLst>
        </c:ser>
        <c:ser>
          <c:idx val="1"/>
          <c:order val="1"/>
          <c:tx>
            <c:strRef>
              <c:f>Analysis!$D$17</c:f>
              <c:strCache>
                <c:ptCount val="1"/>
                <c:pt idx="0">
                  <c:v>Professionals</c:v>
                </c:pt>
              </c:strCache>
            </c:strRef>
          </c:tx>
          <c:spPr>
            <a:solidFill>
              <a:srgbClr val="7C3AED"/>
            </a:solidFill>
            <a:ln w="0">
              <a:solidFill>
                <a:srgbClr val="7C3AED"/>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Analysis!$A$18:$A$25</c:f>
              <c:strCache>
                <c:ptCount val="8"/>
                <c:pt idx="0">
                  <c:v>Coding</c:v>
                </c:pt>
                <c:pt idx="1">
                  <c:v>Writing</c:v>
                </c:pt>
                <c:pt idx="2">
                  <c:v>Studying</c:v>
                </c:pt>
                <c:pt idx="3">
                  <c:v>Research</c:v>
                </c:pt>
                <c:pt idx="4">
                  <c:v>Content Creation</c:v>
                </c:pt>
                <c:pt idx="5">
                  <c:v>Data Analysis</c:v>
                </c:pt>
                <c:pt idx="6">
                  <c:v>Customer Support</c:v>
                </c:pt>
                <c:pt idx="7">
                  <c:v>Office Work</c:v>
                </c:pt>
              </c:strCache>
            </c:strRef>
          </c:cat>
          <c:val>
            <c:numRef>
              <c:f>Analysis!$D$18:$D$25</c:f>
              <c:numCache>
                <c:formatCode>0</c:formatCode>
                <c:ptCount val="8"/>
                <c:pt idx="0">
                  <c:v>37</c:v>
                </c:pt>
                <c:pt idx="1">
                  <c:v>20</c:v>
                </c:pt>
                <c:pt idx="2">
                  <c:v>0</c:v>
                </c:pt>
                <c:pt idx="3">
                  <c:v>11</c:v>
                </c:pt>
                <c:pt idx="4">
                  <c:v>15</c:v>
                </c:pt>
                <c:pt idx="5">
                  <c:v>18</c:v>
                </c:pt>
                <c:pt idx="6">
                  <c:v>20</c:v>
                </c:pt>
                <c:pt idx="7">
                  <c:v>11</c:v>
                </c:pt>
              </c:numCache>
            </c:numRef>
          </c:val>
          <c:extLst>
            <c:ext xmlns:c16="http://schemas.microsoft.com/office/drawing/2014/chart" uri="{C3380CC4-5D6E-409C-BE32-E72D297353CC}">
              <c16:uniqueId val="{00000001-F2D4-40E1-90E9-E9B59D8101C7}"/>
            </c:ext>
          </c:extLst>
        </c:ser>
        <c:dLbls>
          <c:showLegendKey val="0"/>
          <c:showVal val="0"/>
          <c:showCatName val="0"/>
          <c:showSerName val="0"/>
          <c:showPercent val="0"/>
          <c:showBubbleSize val="0"/>
        </c:dLbls>
        <c:gapWidth val="60"/>
        <c:axId val="55033867"/>
        <c:axId val="85760523"/>
      </c:barChart>
      <c:catAx>
        <c:axId val="550338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760523"/>
        <c:crosses val="autoZero"/>
        <c:auto val="1"/>
        <c:lblAlgn val="ctr"/>
        <c:lblOffset val="100"/>
        <c:noMultiLvlLbl val="0"/>
      </c:catAx>
      <c:valAx>
        <c:axId val="85760523"/>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0338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satisfaction by tool (1-10)</a:t>
            </a:r>
          </a:p>
        </c:rich>
      </c:tx>
      <c:overlay val="0"/>
      <c:spPr>
        <a:noFill/>
        <a:ln w="0">
          <a:noFill/>
        </a:ln>
      </c:spPr>
    </c:title>
    <c:autoTitleDeleted val="0"/>
    <c:plotArea>
      <c:layout/>
      <c:barChart>
        <c:barDir val="bar"/>
        <c:grouping val="clustered"/>
        <c:varyColors val="0"/>
        <c:ser>
          <c:idx val="0"/>
          <c:order val="0"/>
          <c:tx>
            <c:strRef>
              <c:f>Analysis!$D$5</c:f>
              <c:strCache>
                <c:ptCount val="1"/>
                <c:pt idx="0">
                  <c:v>Avg Satisfaction (1-10)</c:v>
                </c:pt>
              </c:strCache>
            </c:strRef>
          </c:tx>
          <c:spPr>
            <a:solidFill>
              <a:srgbClr val="F97316"/>
            </a:solidFill>
            <a:ln w="0">
              <a:solidFill>
                <a:srgbClr val="F97316"/>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Analysis!$A$6:$A$13</c:f>
              <c:strCache>
                <c:ptCount val="8"/>
                <c:pt idx="0">
                  <c:v>ChatGPT</c:v>
                </c:pt>
                <c:pt idx="1">
                  <c:v>Google Gemini</c:v>
                </c:pt>
                <c:pt idx="2">
                  <c:v>Microsoft Copilot</c:v>
                </c:pt>
                <c:pt idx="3">
                  <c:v>Claude</c:v>
                </c:pt>
                <c:pt idx="4">
                  <c:v>Perplexity AI</c:v>
                </c:pt>
                <c:pt idx="5">
                  <c:v>Grammarly</c:v>
                </c:pt>
                <c:pt idx="6">
                  <c:v>Meta AI</c:v>
                </c:pt>
                <c:pt idx="7">
                  <c:v>DeepSeek</c:v>
                </c:pt>
              </c:strCache>
            </c:strRef>
          </c:cat>
          <c:val>
            <c:numRef>
              <c:f>Analysis!$D$6:$D$13</c:f>
              <c:numCache>
                <c:formatCode>0.0</c:formatCode>
                <c:ptCount val="8"/>
                <c:pt idx="0">
                  <c:v>6.2608695652173916</c:v>
                </c:pt>
                <c:pt idx="1">
                  <c:v>5.6842105263157894</c:v>
                </c:pt>
                <c:pt idx="2">
                  <c:v>6.3030303030303028</c:v>
                </c:pt>
                <c:pt idx="3">
                  <c:v>6.096774193548387</c:v>
                </c:pt>
                <c:pt idx="4">
                  <c:v>5.8181818181818183</c:v>
                </c:pt>
                <c:pt idx="5">
                  <c:v>6.2857142857142856</c:v>
                </c:pt>
                <c:pt idx="6">
                  <c:v>6.1</c:v>
                </c:pt>
                <c:pt idx="7">
                  <c:v>6.125</c:v>
                </c:pt>
              </c:numCache>
            </c:numRef>
          </c:val>
          <c:extLst>
            <c:ext xmlns:c16="http://schemas.microsoft.com/office/drawing/2014/chart" uri="{C3380CC4-5D6E-409C-BE32-E72D297353CC}">
              <c16:uniqueId val="{00000000-B9BF-483A-9739-9D68374D40DD}"/>
            </c:ext>
          </c:extLst>
        </c:ser>
        <c:dLbls>
          <c:showLegendKey val="0"/>
          <c:showVal val="0"/>
          <c:showCatName val="0"/>
          <c:showSerName val="0"/>
          <c:showPercent val="0"/>
          <c:showBubbleSize val="0"/>
        </c:dLbls>
        <c:gapWidth val="45"/>
        <c:axId val="88951662"/>
        <c:axId val="65792232"/>
      </c:barChart>
      <c:catAx>
        <c:axId val="88951662"/>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792232"/>
        <c:crosses val="autoZero"/>
        <c:auto val="1"/>
        <c:lblAlgn val="ctr"/>
        <c:lblOffset val="100"/>
        <c:noMultiLvlLbl val="0"/>
      </c:catAx>
      <c:valAx>
        <c:axId val="65792232"/>
        <c:scaling>
          <c:orientation val="minMax"/>
          <c:max val="10"/>
          <c:min val="0"/>
        </c:scaling>
        <c:delete val="0"/>
        <c:axPos val="t"/>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9516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More AI time per day, more time saved per week?</a:t>
            </a:r>
          </a:p>
        </c:rich>
      </c:tx>
      <c:overlay val="0"/>
      <c:spPr>
        <a:noFill/>
        <a:ln w="0">
          <a:noFill/>
        </a:ln>
      </c:spPr>
    </c:title>
    <c:autoTitleDeleted val="0"/>
    <c:plotArea>
      <c:layout/>
      <c:scatterChart>
        <c:scatterStyle val="lineMarker"/>
        <c:varyColors val="0"/>
        <c:ser>
          <c:idx val="0"/>
          <c:order val="0"/>
          <c:tx>
            <c:v>Users</c:v>
          </c:tx>
          <c:spPr>
            <a:ln w="47520">
              <a:noFill/>
            </a:ln>
          </c:spPr>
          <c:marker>
            <c:symbol val="circle"/>
            <c:size val="6"/>
            <c:spPr>
              <a:solidFill>
                <a:srgbClr val="14B8A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0"/>
            <c:dispEq val="0"/>
          </c:trendline>
          <c:xVal>
            <c:numRef>
              <c:f>Clean_Data!$M$2:$M$289</c:f>
              <c:numCache>
                <c:formatCode>0.0</c:formatCode>
                <c:ptCount val="288"/>
                <c:pt idx="0">
                  <c:v>2</c:v>
                </c:pt>
                <c:pt idx="1">
                  <c:v>5.7</c:v>
                </c:pt>
                <c:pt idx="2">
                  <c:v>1</c:v>
                </c:pt>
                <c:pt idx="3">
                  <c:v>1.7</c:v>
                </c:pt>
                <c:pt idx="4">
                  <c:v>4.0999999999999996</c:v>
                </c:pt>
                <c:pt idx="5">
                  <c:v>1.5</c:v>
                </c:pt>
                <c:pt idx="6">
                  <c:v>1.2</c:v>
                </c:pt>
                <c:pt idx="7">
                  <c:v>2</c:v>
                </c:pt>
                <c:pt idx="8">
                  <c:v>1.6</c:v>
                </c:pt>
                <c:pt idx="9">
                  <c:v>1.7</c:v>
                </c:pt>
                <c:pt idx="10">
                  <c:v>2.7</c:v>
                </c:pt>
                <c:pt idx="11">
                  <c:v>5</c:v>
                </c:pt>
                <c:pt idx="12">
                  <c:v>0.8</c:v>
                </c:pt>
                <c:pt idx="13">
                  <c:v>5.8</c:v>
                </c:pt>
                <c:pt idx="14">
                  <c:v>3.9</c:v>
                </c:pt>
                <c:pt idx="15">
                  <c:v>7.1</c:v>
                </c:pt>
                <c:pt idx="16">
                  <c:v>1.7</c:v>
                </c:pt>
                <c:pt idx="17">
                  <c:v>1.5</c:v>
                </c:pt>
                <c:pt idx="18">
                  <c:v>9.6</c:v>
                </c:pt>
                <c:pt idx="20">
                  <c:v>0.9</c:v>
                </c:pt>
                <c:pt idx="21">
                  <c:v>1.7</c:v>
                </c:pt>
                <c:pt idx="22">
                  <c:v>1</c:v>
                </c:pt>
                <c:pt idx="23">
                  <c:v>2.6</c:v>
                </c:pt>
                <c:pt idx="24">
                  <c:v>1.2</c:v>
                </c:pt>
                <c:pt idx="25">
                  <c:v>1.6</c:v>
                </c:pt>
                <c:pt idx="26">
                  <c:v>0.6</c:v>
                </c:pt>
                <c:pt idx="27">
                  <c:v>0.7</c:v>
                </c:pt>
                <c:pt idx="28">
                  <c:v>7.4</c:v>
                </c:pt>
                <c:pt idx="29">
                  <c:v>5.4</c:v>
                </c:pt>
                <c:pt idx="30">
                  <c:v>5.2</c:v>
                </c:pt>
                <c:pt idx="31">
                  <c:v>3.7</c:v>
                </c:pt>
                <c:pt idx="32">
                  <c:v>2.2999999999999998</c:v>
                </c:pt>
                <c:pt idx="33">
                  <c:v>5.4</c:v>
                </c:pt>
                <c:pt idx="34">
                  <c:v>1.9</c:v>
                </c:pt>
                <c:pt idx="35">
                  <c:v>1.6</c:v>
                </c:pt>
                <c:pt idx="36">
                  <c:v>1.9</c:v>
                </c:pt>
                <c:pt idx="37">
                  <c:v>1.5</c:v>
                </c:pt>
                <c:pt idx="38">
                  <c:v>5.5</c:v>
                </c:pt>
                <c:pt idx="39">
                  <c:v>0.6</c:v>
                </c:pt>
                <c:pt idx="40">
                  <c:v>1.6</c:v>
                </c:pt>
                <c:pt idx="41">
                  <c:v>3.7</c:v>
                </c:pt>
                <c:pt idx="42">
                  <c:v>0.6</c:v>
                </c:pt>
                <c:pt idx="43">
                  <c:v>5.0999999999999996</c:v>
                </c:pt>
                <c:pt idx="44">
                  <c:v>2.4</c:v>
                </c:pt>
                <c:pt idx="45">
                  <c:v>0.9</c:v>
                </c:pt>
                <c:pt idx="46">
                  <c:v>9.1</c:v>
                </c:pt>
                <c:pt idx="47">
                  <c:v>8</c:v>
                </c:pt>
                <c:pt idx="49">
                  <c:v>7.7</c:v>
                </c:pt>
                <c:pt idx="50">
                  <c:v>1.3</c:v>
                </c:pt>
                <c:pt idx="51">
                  <c:v>2.2000000000000002</c:v>
                </c:pt>
                <c:pt idx="52">
                  <c:v>1.2</c:v>
                </c:pt>
                <c:pt idx="53">
                  <c:v>0.6</c:v>
                </c:pt>
                <c:pt idx="54">
                  <c:v>1.9</c:v>
                </c:pt>
                <c:pt idx="55">
                  <c:v>4.5999999999999996</c:v>
                </c:pt>
                <c:pt idx="56">
                  <c:v>1.4</c:v>
                </c:pt>
                <c:pt idx="57">
                  <c:v>7.2</c:v>
                </c:pt>
                <c:pt idx="58">
                  <c:v>1.3</c:v>
                </c:pt>
                <c:pt idx="59">
                  <c:v>1</c:v>
                </c:pt>
                <c:pt idx="61">
                  <c:v>3.4</c:v>
                </c:pt>
                <c:pt idx="62">
                  <c:v>0.5</c:v>
                </c:pt>
                <c:pt idx="63">
                  <c:v>3.5</c:v>
                </c:pt>
                <c:pt idx="64">
                  <c:v>1</c:v>
                </c:pt>
                <c:pt idx="65">
                  <c:v>1.7</c:v>
                </c:pt>
                <c:pt idx="66">
                  <c:v>1</c:v>
                </c:pt>
                <c:pt idx="67">
                  <c:v>1.3</c:v>
                </c:pt>
                <c:pt idx="68">
                  <c:v>0.7</c:v>
                </c:pt>
                <c:pt idx="69">
                  <c:v>4.9000000000000004</c:v>
                </c:pt>
                <c:pt idx="70">
                  <c:v>4.3</c:v>
                </c:pt>
                <c:pt idx="71">
                  <c:v>2.4</c:v>
                </c:pt>
                <c:pt idx="72">
                  <c:v>0.7</c:v>
                </c:pt>
                <c:pt idx="73">
                  <c:v>2.1</c:v>
                </c:pt>
                <c:pt idx="74">
                  <c:v>2.1</c:v>
                </c:pt>
                <c:pt idx="75">
                  <c:v>7</c:v>
                </c:pt>
                <c:pt idx="76">
                  <c:v>2.6</c:v>
                </c:pt>
                <c:pt idx="77">
                  <c:v>9.9</c:v>
                </c:pt>
                <c:pt idx="78">
                  <c:v>4.0999999999999996</c:v>
                </c:pt>
                <c:pt idx="79">
                  <c:v>1.9</c:v>
                </c:pt>
                <c:pt idx="80">
                  <c:v>4.8</c:v>
                </c:pt>
                <c:pt idx="81">
                  <c:v>0.6</c:v>
                </c:pt>
                <c:pt idx="82">
                  <c:v>1.9</c:v>
                </c:pt>
                <c:pt idx="83">
                  <c:v>1.3</c:v>
                </c:pt>
                <c:pt idx="84">
                  <c:v>3.8</c:v>
                </c:pt>
                <c:pt idx="85">
                  <c:v>1.3</c:v>
                </c:pt>
                <c:pt idx="86">
                  <c:v>2.2999999999999998</c:v>
                </c:pt>
                <c:pt idx="87">
                  <c:v>1.5</c:v>
                </c:pt>
                <c:pt idx="88">
                  <c:v>0.7</c:v>
                </c:pt>
                <c:pt idx="89">
                  <c:v>3.9</c:v>
                </c:pt>
                <c:pt idx="90">
                  <c:v>1.6</c:v>
                </c:pt>
                <c:pt idx="91">
                  <c:v>0.9</c:v>
                </c:pt>
                <c:pt idx="93">
                  <c:v>0.6</c:v>
                </c:pt>
                <c:pt idx="94">
                  <c:v>5.4</c:v>
                </c:pt>
                <c:pt idx="95">
                  <c:v>3.6</c:v>
                </c:pt>
                <c:pt idx="96">
                  <c:v>5</c:v>
                </c:pt>
                <c:pt idx="97">
                  <c:v>1.9</c:v>
                </c:pt>
                <c:pt idx="98">
                  <c:v>1.3</c:v>
                </c:pt>
                <c:pt idx="99">
                  <c:v>1.6</c:v>
                </c:pt>
                <c:pt idx="100">
                  <c:v>0.9</c:v>
                </c:pt>
                <c:pt idx="101">
                  <c:v>0.9</c:v>
                </c:pt>
                <c:pt idx="102">
                  <c:v>2</c:v>
                </c:pt>
                <c:pt idx="103">
                  <c:v>8.5</c:v>
                </c:pt>
                <c:pt idx="104">
                  <c:v>4.9000000000000004</c:v>
                </c:pt>
                <c:pt idx="105">
                  <c:v>2.2000000000000002</c:v>
                </c:pt>
                <c:pt idx="106">
                  <c:v>6</c:v>
                </c:pt>
                <c:pt idx="107">
                  <c:v>1.3</c:v>
                </c:pt>
                <c:pt idx="108">
                  <c:v>0.7</c:v>
                </c:pt>
                <c:pt idx="109">
                  <c:v>5</c:v>
                </c:pt>
                <c:pt idx="110">
                  <c:v>1.4</c:v>
                </c:pt>
                <c:pt idx="111">
                  <c:v>1.8</c:v>
                </c:pt>
                <c:pt idx="112">
                  <c:v>0.5</c:v>
                </c:pt>
                <c:pt idx="113">
                  <c:v>1.6</c:v>
                </c:pt>
                <c:pt idx="114">
                  <c:v>4.5999999999999996</c:v>
                </c:pt>
                <c:pt idx="115">
                  <c:v>3.4</c:v>
                </c:pt>
                <c:pt idx="116">
                  <c:v>3.3</c:v>
                </c:pt>
                <c:pt idx="117">
                  <c:v>1.9</c:v>
                </c:pt>
                <c:pt idx="118">
                  <c:v>3.8</c:v>
                </c:pt>
                <c:pt idx="119">
                  <c:v>1.4</c:v>
                </c:pt>
                <c:pt idx="120">
                  <c:v>0.7</c:v>
                </c:pt>
                <c:pt idx="121">
                  <c:v>2.2999999999999998</c:v>
                </c:pt>
                <c:pt idx="122">
                  <c:v>4</c:v>
                </c:pt>
                <c:pt idx="123">
                  <c:v>1.7</c:v>
                </c:pt>
                <c:pt idx="124">
                  <c:v>2.2000000000000002</c:v>
                </c:pt>
                <c:pt idx="125">
                  <c:v>2.4</c:v>
                </c:pt>
                <c:pt idx="126">
                  <c:v>1.2</c:v>
                </c:pt>
                <c:pt idx="127">
                  <c:v>1.3</c:v>
                </c:pt>
                <c:pt idx="128">
                  <c:v>2.7</c:v>
                </c:pt>
                <c:pt idx="129">
                  <c:v>1.4</c:v>
                </c:pt>
                <c:pt idx="130">
                  <c:v>1.2</c:v>
                </c:pt>
                <c:pt idx="131">
                  <c:v>1.4</c:v>
                </c:pt>
                <c:pt idx="132">
                  <c:v>3</c:v>
                </c:pt>
                <c:pt idx="133">
                  <c:v>0.8</c:v>
                </c:pt>
                <c:pt idx="134">
                  <c:v>2.2000000000000002</c:v>
                </c:pt>
                <c:pt idx="135">
                  <c:v>2.2999999999999998</c:v>
                </c:pt>
                <c:pt idx="136">
                  <c:v>2</c:v>
                </c:pt>
                <c:pt idx="137">
                  <c:v>6.5</c:v>
                </c:pt>
                <c:pt idx="138">
                  <c:v>2.2000000000000002</c:v>
                </c:pt>
                <c:pt idx="139">
                  <c:v>2.1</c:v>
                </c:pt>
                <c:pt idx="140">
                  <c:v>2.9</c:v>
                </c:pt>
                <c:pt idx="141">
                  <c:v>1.9</c:v>
                </c:pt>
                <c:pt idx="142">
                  <c:v>9.5</c:v>
                </c:pt>
                <c:pt idx="143">
                  <c:v>4.9000000000000004</c:v>
                </c:pt>
                <c:pt idx="144">
                  <c:v>1.9</c:v>
                </c:pt>
                <c:pt idx="145">
                  <c:v>1.5</c:v>
                </c:pt>
                <c:pt idx="146">
                  <c:v>1</c:v>
                </c:pt>
                <c:pt idx="147">
                  <c:v>1.5</c:v>
                </c:pt>
                <c:pt idx="148">
                  <c:v>9.6999999999999993</c:v>
                </c:pt>
                <c:pt idx="149">
                  <c:v>1.5</c:v>
                </c:pt>
                <c:pt idx="150">
                  <c:v>0.6</c:v>
                </c:pt>
                <c:pt idx="151">
                  <c:v>3.3</c:v>
                </c:pt>
                <c:pt idx="152">
                  <c:v>3</c:v>
                </c:pt>
                <c:pt idx="153">
                  <c:v>1.4</c:v>
                </c:pt>
                <c:pt idx="154">
                  <c:v>2.8</c:v>
                </c:pt>
                <c:pt idx="155">
                  <c:v>2.2999999999999998</c:v>
                </c:pt>
                <c:pt idx="156">
                  <c:v>2.7</c:v>
                </c:pt>
                <c:pt idx="157">
                  <c:v>4.0999999999999996</c:v>
                </c:pt>
                <c:pt idx="158">
                  <c:v>3.2</c:v>
                </c:pt>
                <c:pt idx="159">
                  <c:v>1.2</c:v>
                </c:pt>
                <c:pt idx="160">
                  <c:v>5.9</c:v>
                </c:pt>
                <c:pt idx="161">
                  <c:v>1.1000000000000001</c:v>
                </c:pt>
                <c:pt idx="162">
                  <c:v>1.2</c:v>
                </c:pt>
                <c:pt idx="163">
                  <c:v>0.7</c:v>
                </c:pt>
                <c:pt idx="164">
                  <c:v>0.6</c:v>
                </c:pt>
                <c:pt idx="165">
                  <c:v>3.7</c:v>
                </c:pt>
                <c:pt idx="166">
                  <c:v>1</c:v>
                </c:pt>
                <c:pt idx="167">
                  <c:v>0.8</c:v>
                </c:pt>
                <c:pt idx="168">
                  <c:v>2.5</c:v>
                </c:pt>
                <c:pt idx="170">
                  <c:v>1.5</c:v>
                </c:pt>
                <c:pt idx="171">
                  <c:v>1.5</c:v>
                </c:pt>
                <c:pt idx="172">
                  <c:v>4.4000000000000004</c:v>
                </c:pt>
                <c:pt idx="173">
                  <c:v>5.8</c:v>
                </c:pt>
                <c:pt idx="174">
                  <c:v>4</c:v>
                </c:pt>
                <c:pt idx="175">
                  <c:v>3.5</c:v>
                </c:pt>
                <c:pt idx="176">
                  <c:v>1.4</c:v>
                </c:pt>
                <c:pt idx="177">
                  <c:v>5.5</c:v>
                </c:pt>
                <c:pt idx="178">
                  <c:v>1.9</c:v>
                </c:pt>
                <c:pt idx="179">
                  <c:v>0.9</c:v>
                </c:pt>
                <c:pt idx="180">
                  <c:v>3.7</c:v>
                </c:pt>
                <c:pt idx="181">
                  <c:v>4.4000000000000004</c:v>
                </c:pt>
                <c:pt idx="182">
                  <c:v>9.8000000000000007</c:v>
                </c:pt>
                <c:pt idx="183">
                  <c:v>1.7</c:v>
                </c:pt>
                <c:pt idx="184">
                  <c:v>3.9</c:v>
                </c:pt>
                <c:pt idx="185">
                  <c:v>1.6</c:v>
                </c:pt>
                <c:pt idx="186">
                  <c:v>2.7</c:v>
                </c:pt>
                <c:pt idx="187">
                  <c:v>6.1</c:v>
                </c:pt>
                <c:pt idx="188">
                  <c:v>0.9</c:v>
                </c:pt>
                <c:pt idx="189">
                  <c:v>3</c:v>
                </c:pt>
                <c:pt idx="190">
                  <c:v>5.9</c:v>
                </c:pt>
                <c:pt idx="191">
                  <c:v>1.3</c:v>
                </c:pt>
                <c:pt idx="192">
                  <c:v>1.9</c:v>
                </c:pt>
                <c:pt idx="193">
                  <c:v>0.5</c:v>
                </c:pt>
                <c:pt idx="194">
                  <c:v>3.4</c:v>
                </c:pt>
                <c:pt idx="195">
                  <c:v>1.4</c:v>
                </c:pt>
                <c:pt idx="196">
                  <c:v>0.8</c:v>
                </c:pt>
                <c:pt idx="197">
                  <c:v>1.6</c:v>
                </c:pt>
                <c:pt idx="198">
                  <c:v>1.4</c:v>
                </c:pt>
                <c:pt idx="199">
                  <c:v>2.7</c:v>
                </c:pt>
                <c:pt idx="200">
                  <c:v>1.7</c:v>
                </c:pt>
                <c:pt idx="201">
                  <c:v>3.1</c:v>
                </c:pt>
                <c:pt idx="202">
                  <c:v>1.5</c:v>
                </c:pt>
                <c:pt idx="203">
                  <c:v>5.5</c:v>
                </c:pt>
                <c:pt idx="204">
                  <c:v>0.5</c:v>
                </c:pt>
                <c:pt idx="205">
                  <c:v>2.9</c:v>
                </c:pt>
                <c:pt idx="206">
                  <c:v>1</c:v>
                </c:pt>
                <c:pt idx="207">
                  <c:v>2.1</c:v>
                </c:pt>
                <c:pt idx="208">
                  <c:v>0.6</c:v>
                </c:pt>
                <c:pt idx="209">
                  <c:v>5.3</c:v>
                </c:pt>
                <c:pt idx="210">
                  <c:v>0.8</c:v>
                </c:pt>
                <c:pt idx="211">
                  <c:v>3.4</c:v>
                </c:pt>
                <c:pt idx="212">
                  <c:v>1.7</c:v>
                </c:pt>
                <c:pt idx="213">
                  <c:v>6.8</c:v>
                </c:pt>
                <c:pt idx="214">
                  <c:v>2.8</c:v>
                </c:pt>
                <c:pt idx="215">
                  <c:v>5.9</c:v>
                </c:pt>
                <c:pt idx="216">
                  <c:v>4.5</c:v>
                </c:pt>
                <c:pt idx="217">
                  <c:v>4.2</c:v>
                </c:pt>
                <c:pt idx="218">
                  <c:v>4.9000000000000004</c:v>
                </c:pt>
                <c:pt idx="219">
                  <c:v>3.4</c:v>
                </c:pt>
                <c:pt idx="220">
                  <c:v>4.4000000000000004</c:v>
                </c:pt>
                <c:pt idx="221">
                  <c:v>1.8</c:v>
                </c:pt>
                <c:pt idx="222">
                  <c:v>6.3</c:v>
                </c:pt>
                <c:pt idx="223">
                  <c:v>1.6</c:v>
                </c:pt>
                <c:pt idx="224">
                  <c:v>1.5</c:v>
                </c:pt>
                <c:pt idx="225">
                  <c:v>0.7</c:v>
                </c:pt>
                <c:pt idx="226">
                  <c:v>4.4000000000000004</c:v>
                </c:pt>
                <c:pt idx="227">
                  <c:v>5.7</c:v>
                </c:pt>
                <c:pt idx="228">
                  <c:v>8.1</c:v>
                </c:pt>
                <c:pt idx="229">
                  <c:v>2</c:v>
                </c:pt>
                <c:pt idx="230">
                  <c:v>3.9</c:v>
                </c:pt>
                <c:pt idx="231">
                  <c:v>4.0999999999999996</c:v>
                </c:pt>
                <c:pt idx="232">
                  <c:v>1.6</c:v>
                </c:pt>
                <c:pt idx="233">
                  <c:v>4.9000000000000004</c:v>
                </c:pt>
                <c:pt idx="234">
                  <c:v>1.7</c:v>
                </c:pt>
                <c:pt idx="235">
                  <c:v>0.7</c:v>
                </c:pt>
                <c:pt idx="236">
                  <c:v>4.0999999999999996</c:v>
                </c:pt>
                <c:pt idx="237">
                  <c:v>0.7</c:v>
                </c:pt>
                <c:pt idx="238">
                  <c:v>1.8</c:v>
                </c:pt>
                <c:pt idx="239">
                  <c:v>2</c:v>
                </c:pt>
                <c:pt idx="240">
                  <c:v>8.6</c:v>
                </c:pt>
                <c:pt idx="242">
                  <c:v>9.6999999999999993</c:v>
                </c:pt>
                <c:pt idx="244">
                  <c:v>1.5</c:v>
                </c:pt>
                <c:pt idx="245">
                  <c:v>7.2</c:v>
                </c:pt>
                <c:pt idx="246">
                  <c:v>0.9</c:v>
                </c:pt>
                <c:pt idx="247">
                  <c:v>6</c:v>
                </c:pt>
                <c:pt idx="248">
                  <c:v>0.6</c:v>
                </c:pt>
                <c:pt idx="249">
                  <c:v>2.9</c:v>
                </c:pt>
                <c:pt idx="250">
                  <c:v>2</c:v>
                </c:pt>
                <c:pt idx="251">
                  <c:v>1.5</c:v>
                </c:pt>
                <c:pt idx="252">
                  <c:v>3.3</c:v>
                </c:pt>
                <c:pt idx="253">
                  <c:v>0.6</c:v>
                </c:pt>
                <c:pt idx="254">
                  <c:v>2.5</c:v>
                </c:pt>
                <c:pt idx="255">
                  <c:v>7.9</c:v>
                </c:pt>
                <c:pt idx="256">
                  <c:v>0.7</c:v>
                </c:pt>
                <c:pt idx="257">
                  <c:v>8</c:v>
                </c:pt>
                <c:pt idx="258">
                  <c:v>5</c:v>
                </c:pt>
                <c:pt idx="260">
                  <c:v>1.2</c:v>
                </c:pt>
                <c:pt idx="261">
                  <c:v>1.7</c:v>
                </c:pt>
                <c:pt idx="262">
                  <c:v>3.3</c:v>
                </c:pt>
                <c:pt idx="263">
                  <c:v>2.8</c:v>
                </c:pt>
                <c:pt idx="264">
                  <c:v>3.4</c:v>
                </c:pt>
                <c:pt idx="265">
                  <c:v>3</c:v>
                </c:pt>
                <c:pt idx="266">
                  <c:v>2.9</c:v>
                </c:pt>
                <c:pt idx="267">
                  <c:v>1.1000000000000001</c:v>
                </c:pt>
                <c:pt idx="268">
                  <c:v>2</c:v>
                </c:pt>
                <c:pt idx="269">
                  <c:v>2.2999999999999998</c:v>
                </c:pt>
                <c:pt idx="270">
                  <c:v>1.7</c:v>
                </c:pt>
                <c:pt idx="271">
                  <c:v>5.7</c:v>
                </c:pt>
                <c:pt idx="272">
                  <c:v>0.8</c:v>
                </c:pt>
                <c:pt idx="273">
                  <c:v>1.6</c:v>
                </c:pt>
                <c:pt idx="274">
                  <c:v>3.2</c:v>
                </c:pt>
                <c:pt idx="275">
                  <c:v>4.3</c:v>
                </c:pt>
                <c:pt idx="276">
                  <c:v>0.5</c:v>
                </c:pt>
                <c:pt idx="277">
                  <c:v>4.3</c:v>
                </c:pt>
                <c:pt idx="278">
                  <c:v>2.4</c:v>
                </c:pt>
                <c:pt idx="279">
                  <c:v>2.8</c:v>
                </c:pt>
                <c:pt idx="280">
                  <c:v>1.2</c:v>
                </c:pt>
                <c:pt idx="281">
                  <c:v>0.6</c:v>
                </c:pt>
                <c:pt idx="282">
                  <c:v>3.9</c:v>
                </c:pt>
                <c:pt idx="283">
                  <c:v>1.8</c:v>
                </c:pt>
                <c:pt idx="284">
                  <c:v>1.2</c:v>
                </c:pt>
                <c:pt idx="285">
                  <c:v>5.5</c:v>
                </c:pt>
                <c:pt idx="286">
                  <c:v>0.7</c:v>
                </c:pt>
                <c:pt idx="287">
                  <c:v>2.8</c:v>
                </c:pt>
              </c:numCache>
            </c:numRef>
          </c:xVal>
          <c:yVal>
            <c:numRef>
              <c:f>Clean_Data!$U$2:$U$289</c:f>
              <c:numCache>
                <c:formatCode>0.0</c:formatCode>
                <c:ptCount val="288"/>
                <c:pt idx="0">
                  <c:v>3.9</c:v>
                </c:pt>
                <c:pt idx="1">
                  <c:v>11.4</c:v>
                </c:pt>
                <c:pt idx="2">
                  <c:v>5.2</c:v>
                </c:pt>
                <c:pt idx="3">
                  <c:v>6.4</c:v>
                </c:pt>
                <c:pt idx="4">
                  <c:v>9.1999999999999993</c:v>
                </c:pt>
                <c:pt idx="5">
                  <c:v>2.9</c:v>
                </c:pt>
                <c:pt idx="6">
                  <c:v>6.6</c:v>
                </c:pt>
                <c:pt idx="7">
                  <c:v>3.2</c:v>
                </c:pt>
                <c:pt idx="8">
                  <c:v>3.8</c:v>
                </c:pt>
                <c:pt idx="9">
                  <c:v>7.5</c:v>
                </c:pt>
                <c:pt idx="10">
                  <c:v>5.7</c:v>
                </c:pt>
                <c:pt idx="11">
                  <c:v>9.8000000000000007</c:v>
                </c:pt>
                <c:pt idx="12">
                  <c:v>0.5</c:v>
                </c:pt>
                <c:pt idx="13">
                  <c:v>10.199999999999999</c:v>
                </c:pt>
                <c:pt idx="14">
                  <c:v>11.8</c:v>
                </c:pt>
                <c:pt idx="15">
                  <c:v>11.6</c:v>
                </c:pt>
                <c:pt idx="16">
                  <c:v>3.4</c:v>
                </c:pt>
                <c:pt idx="17">
                  <c:v>3.7</c:v>
                </c:pt>
                <c:pt idx="18">
                  <c:v>19.399999999999999</c:v>
                </c:pt>
                <c:pt idx="19">
                  <c:v>5.4</c:v>
                </c:pt>
                <c:pt idx="20">
                  <c:v>0</c:v>
                </c:pt>
                <c:pt idx="21">
                  <c:v>2.7</c:v>
                </c:pt>
                <c:pt idx="22">
                  <c:v>2.7</c:v>
                </c:pt>
                <c:pt idx="23">
                  <c:v>4.8</c:v>
                </c:pt>
                <c:pt idx="24">
                  <c:v>3</c:v>
                </c:pt>
                <c:pt idx="25">
                  <c:v>4.5</c:v>
                </c:pt>
                <c:pt idx="26">
                  <c:v>0</c:v>
                </c:pt>
                <c:pt idx="27">
                  <c:v>4.4000000000000004</c:v>
                </c:pt>
                <c:pt idx="28">
                  <c:v>12.3</c:v>
                </c:pt>
                <c:pt idx="29">
                  <c:v>10.7</c:v>
                </c:pt>
                <c:pt idx="30">
                  <c:v>12.1</c:v>
                </c:pt>
                <c:pt idx="31">
                  <c:v>5.7</c:v>
                </c:pt>
                <c:pt idx="32">
                  <c:v>2.5</c:v>
                </c:pt>
                <c:pt idx="33">
                  <c:v>6.8</c:v>
                </c:pt>
                <c:pt idx="34">
                  <c:v>2</c:v>
                </c:pt>
                <c:pt idx="35">
                  <c:v>4.3</c:v>
                </c:pt>
                <c:pt idx="36">
                  <c:v>3</c:v>
                </c:pt>
                <c:pt idx="37">
                  <c:v>5.3</c:v>
                </c:pt>
                <c:pt idx="38">
                  <c:v>6.5</c:v>
                </c:pt>
                <c:pt idx="39">
                  <c:v>0</c:v>
                </c:pt>
                <c:pt idx="40">
                  <c:v>5.2</c:v>
                </c:pt>
                <c:pt idx="41">
                  <c:v>5.8</c:v>
                </c:pt>
                <c:pt idx="42">
                  <c:v>1.6</c:v>
                </c:pt>
                <c:pt idx="43">
                  <c:v>11.4</c:v>
                </c:pt>
                <c:pt idx="44">
                  <c:v>7.3</c:v>
                </c:pt>
                <c:pt idx="45">
                  <c:v>1.2</c:v>
                </c:pt>
                <c:pt idx="46">
                  <c:v>14.9</c:v>
                </c:pt>
                <c:pt idx="47">
                  <c:v>16.3</c:v>
                </c:pt>
                <c:pt idx="48">
                  <c:v>7.2</c:v>
                </c:pt>
                <c:pt idx="49">
                  <c:v>13.6</c:v>
                </c:pt>
                <c:pt idx="50">
                  <c:v>3.2</c:v>
                </c:pt>
                <c:pt idx="51">
                  <c:v>2.8</c:v>
                </c:pt>
                <c:pt idx="53">
                  <c:v>2.2000000000000002</c:v>
                </c:pt>
                <c:pt idx="54">
                  <c:v>6</c:v>
                </c:pt>
                <c:pt idx="55">
                  <c:v>11.5</c:v>
                </c:pt>
                <c:pt idx="56">
                  <c:v>1.7</c:v>
                </c:pt>
                <c:pt idx="57">
                  <c:v>13.2</c:v>
                </c:pt>
                <c:pt idx="58">
                  <c:v>2.9</c:v>
                </c:pt>
                <c:pt idx="59">
                  <c:v>4.2</c:v>
                </c:pt>
                <c:pt idx="60">
                  <c:v>12.4</c:v>
                </c:pt>
                <c:pt idx="61">
                  <c:v>7.4</c:v>
                </c:pt>
                <c:pt idx="62">
                  <c:v>0.1</c:v>
                </c:pt>
                <c:pt idx="63">
                  <c:v>8.3000000000000007</c:v>
                </c:pt>
                <c:pt idx="64">
                  <c:v>0.7</c:v>
                </c:pt>
                <c:pt idx="65">
                  <c:v>3.4</c:v>
                </c:pt>
                <c:pt idx="66">
                  <c:v>2.6</c:v>
                </c:pt>
                <c:pt idx="67">
                  <c:v>2.9</c:v>
                </c:pt>
                <c:pt idx="68">
                  <c:v>0.8</c:v>
                </c:pt>
                <c:pt idx="69">
                  <c:v>11.5</c:v>
                </c:pt>
                <c:pt idx="70">
                  <c:v>6.7</c:v>
                </c:pt>
                <c:pt idx="71">
                  <c:v>2.6</c:v>
                </c:pt>
                <c:pt idx="72">
                  <c:v>2.1</c:v>
                </c:pt>
                <c:pt idx="74">
                  <c:v>2.8</c:v>
                </c:pt>
                <c:pt idx="75">
                  <c:v>12.8</c:v>
                </c:pt>
                <c:pt idx="76">
                  <c:v>3.6</c:v>
                </c:pt>
                <c:pt idx="77">
                  <c:v>16.2</c:v>
                </c:pt>
                <c:pt idx="78">
                  <c:v>7.2</c:v>
                </c:pt>
                <c:pt idx="79">
                  <c:v>4.0999999999999996</c:v>
                </c:pt>
                <c:pt idx="80">
                  <c:v>5.7</c:v>
                </c:pt>
                <c:pt idx="81">
                  <c:v>4.2</c:v>
                </c:pt>
                <c:pt idx="82">
                  <c:v>2.9</c:v>
                </c:pt>
                <c:pt idx="83">
                  <c:v>2.6</c:v>
                </c:pt>
                <c:pt idx="84">
                  <c:v>9.4</c:v>
                </c:pt>
                <c:pt idx="85">
                  <c:v>2.7</c:v>
                </c:pt>
                <c:pt idx="86">
                  <c:v>2.4</c:v>
                </c:pt>
                <c:pt idx="87">
                  <c:v>1.8</c:v>
                </c:pt>
                <c:pt idx="88">
                  <c:v>0.6</c:v>
                </c:pt>
                <c:pt idx="89">
                  <c:v>6.8</c:v>
                </c:pt>
                <c:pt idx="90">
                  <c:v>4.7</c:v>
                </c:pt>
                <c:pt idx="91">
                  <c:v>0</c:v>
                </c:pt>
                <c:pt idx="92">
                  <c:v>15.1</c:v>
                </c:pt>
                <c:pt idx="93">
                  <c:v>3</c:v>
                </c:pt>
                <c:pt idx="94">
                  <c:v>13.1</c:v>
                </c:pt>
                <c:pt idx="95">
                  <c:v>5.2</c:v>
                </c:pt>
                <c:pt idx="96">
                  <c:v>12</c:v>
                </c:pt>
                <c:pt idx="97">
                  <c:v>4.8</c:v>
                </c:pt>
                <c:pt idx="98">
                  <c:v>4.3</c:v>
                </c:pt>
                <c:pt idx="99">
                  <c:v>4.2</c:v>
                </c:pt>
                <c:pt idx="100">
                  <c:v>1.8</c:v>
                </c:pt>
                <c:pt idx="101">
                  <c:v>1.5</c:v>
                </c:pt>
                <c:pt idx="102">
                  <c:v>3</c:v>
                </c:pt>
                <c:pt idx="103">
                  <c:v>15.6</c:v>
                </c:pt>
                <c:pt idx="104">
                  <c:v>10.7</c:v>
                </c:pt>
                <c:pt idx="105">
                  <c:v>5.2</c:v>
                </c:pt>
                <c:pt idx="106">
                  <c:v>13.1</c:v>
                </c:pt>
                <c:pt idx="107">
                  <c:v>4.9000000000000004</c:v>
                </c:pt>
                <c:pt idx="108">
                  <c:v>0.6</c:v>
                </c:pt>
                <c:pt idx="109">
                  <c:v>11.4</c:v>
                </c:pt>
                <c:pt idx="110">
                  <c:v>2.2999999999999998</c:v>
                </c:pt>
                <c:pt idx="111">
                  <c:v>4.0999999999999996</c:v>
                </c:pt>
                <c:pt idx="112">
                  <c:v>2.7</c:v>
                </c:pt>
                <c:pt idx="113">
                  <c:v>4.9000000000000004</c:v>
                </c:pt>
                <c:pt idx="114">
                  <c:v>7.9</c:v>
                </c:pt>
                <c:pt idx="115">
                  <c:v>7.2</c:v>
                </c:pt>
                <c:pt idx="116">
                  <c:v>7.7</c:v>
                </c:pt>
                <c:pt idx="117">
                  <c:v>0.8</c:v>
                </c:pt>
                <c:pt idx="118">
                  <c:v>7</c:v>
                </c:pt>
                <c:pt idx="119">
                  <c:v>1.2</c:v>
                </c:pt>
                <c:pt idx="120">
                  <c:v>3.6</c:v>
                </c:pt>
                <c:pt idx="121">
                  <c:v>2.2999999999999998</c:v>
                </c:pt>
                <c:pt idx="122">
                  <c:v>7.9</c:v>
                </c:pt>
                <c:pt idx="123">
                  <c:v>7.1</c:v>
                </c:pt>
                <c:pt idx="124">
                  <c:v>1.3</c:v>
                </c:pt>
                <c:pt idx="125">
                  <c:v>4.7</c:v>
                </c:pt>
                <c:pt idx="126">
                  <c:v>0.4</c:v>
                </c:pt>
                <c:pt idx="127">
                  <c:v>3.8</c:v>
                </c:pt>
                <c:pt idx="128">
                  <c:v>8.4</c:v>
                </c:pt>
                <c:pt idx="129">
                  <c:v>0.8</c:v>
                </c:pt>
                <c:pt idx="130">
                  <c:v>1.7</c:v>
                </c:pt>
                <c:pt idx="131">
                  <c:v>4.5999999999999996</c:v>
                </c:pt>
                <c:pt idx="132">
                  <c:v>10.5</c:v>
                </c:pt>
                <c:pt idx="133">
                  <c:v>0</c:v>
                </c:pt>
                <c:pt idx="134">
                  <c:v>5.6</c:v>
                </c:pt>
                <c:pt idx="135">
                  <c:v>4.9000000000000004</c:v>
                </c:pt>
                <c:pt idx="136">
                  <c:v>5.7</c:v>
                </c:pt>
                <c:pt idx="137">
                  <c:v>14.2</c:v>
                </c:pt>
                <c:pt idx="138">
                  <c:v>2</c:v>
                </c:pt>
                <c:pt idx="139">
                  <c:v>2</c:v>
                </c:pt>
                <c:pt idx="141">
                  <c:v>4.9000000000000004</c:v>
                </c:pt>
                <c:pt idx="142">
                  <c:v>15.2</c:v>
                </c:pt>
                <c:pt idx="143">
                  <c:v>8.1999999999999993</c:v>
                </c:pt>
                <c:pt idx="144">
                  <c:v>1.4</c:v>
                </c:pt>
                <c:pt idx="145">
                  <c:v>7.1</c:v>
                </c:pt>
                <c:pt idx="146">
                  <c:v>0</c:v>
                </c:pt>
                <c:pt idx="147">
                  <c:v>2.2000000000000002</c:v>
                </c:pt>
                <c:pt idx="149">
                  <c:v>1.8</c:v>
                </c:pt>
                <c:pt idx="150">
                  <c:v>0.1</c:v>
                </c:pt>
                <c:pt idx="151">
                  <c:v>6.5</c:v>
                </c:pt>
                <c:pt idx="152">
                  <c:v>4.9000000000000004</c:v>
                </c:pt>
                <c:pt idx="153">
                  <c:v>1.6</c:v>
                </c:pt>
                <c:pt idx="154">
                  <c:v>9.4</c:v>
                </c:pt>
                <c:pt idx="155">
                  <c:v>2</c:v>
                </c:pt>
                <c:pt idx="156">
                  <c:v>5</c:v>
                </c:pt>
                <c:pt idx="157">
                  <c:v>4.3</c:v>
                </c:pt>
                <c:pt idx="158">
                  <c:v>4.8</c:v>
                </c:pt>
                <c:pt idx="159">
                  <c:v>2.9</c:v>
                </c:pt>
                <c:pt idx="160">
                  <c:v>12.1</c:v>
                </c:pt>
                <c:pt idx="161">
                  <c:v>5.6</c:v>
                </c:pt>
                <c:pt idx="162">
                  <c:v>5.3</c:v>
                </c:pt>
                <c:pt idx="163">
                  <c:v>0</c:v>
                </c:pt>
                <c:pt idx="164">
                  <c:v>0</c:v>
                </c:pt>
                <c:pt idx="165">
                  <c:v>9.9</c:v>
                </c:pt>
                <c:pt idx="166">
                  <c:v>2.7</c:v>
                </c:pt>
                <c:pt idx="167">
                  <c:v>2.9</c:v>
                </c:pt>
                <c:pt idx="168">
                  <c:v>4.4000000000000004</c:v>
                </c:pt>
                <c:pt idx="169">
                  <c:v>2.1</c:v>
                </c:pt>
                <c:pt idx="171">
                  <c:v>7.5</c:v>
                </c:pt>
                <c:pt idx="172">
                  <c:v>7.1</c:v>
                </c:pt>
                <c:pt idx="173">
                  <c:v>13.5</c:v>
                </c:pt>
                <c:pt idx="174">
                  <c:v>5.7</c:v>
                </c:pt>
                <c:pt idx="175">
                  <c:v>7</c:v>
                </c:pt>
                <c:pt idx="176">
                  <c:v>3.8</c:v>
                </c:pt>
                <c:pt idx="177">
                  <c:v>10.9</c:v>
                </c:pt>
                <c:pt idx="178">
                  <c:v>8</c:v>
                </c:pt>
                <c:pt idx="179">
                  <c:v>3.9</c:v>
                </c:pt>
                <c:pt idx="180">
                  <c:v>7.5</c:v>
                </c:pt>
                <c:pt idx="181">
                  <c:v>7.7</c:v>
                </c:pt>
                <c:pt idx="182">
                  <c:v>15.8</c:v>
                </c:pt>
                <c:pt idx="183">
                  <c:v>3.5</c:v>
                </c:pt>
                <c:pt idx="184">
                  <c:v>6.7</c:v>
                </c:pt>
                <c:pt idx="185">
                  <c:v>3.5</c:v>
                </c:pt>
                <c:pt idx="186">
                  <c:v>6.4</c:v>
                </c:pt>
                <c:pt idx="187">
                  <c:v>8.9</c:v>
                </c:pt>
                <c:pt idx="188">
                  <c:v>0.1</c:v>
                </c:pt>
                <c:pt idx="189">
                  <c:v>3.1</c:v>
                </c:pt>
                <c:pt idx="190">
                  <c:v>9</c:v>
                </c:pt>
                <c:pt idx="191">
                  <c:v>0.5</c:v>
                </c:pt>
                <c:pt idx="192">
                  <c:v>2.1</c:v>
                </c:pt>
                <c:pt idx="193">
                  <c:v>0.5</c:v>
                </c:pt>
                <c:pt idx="194">
                  <c:v>7.2</c:v>
                </c:pt>
                <c:pt idx="195">
                  <c:v>3.6</c:v>
                </c:pt>
                <c:pt idx="196">
                  <c:v>1.2</c:v>
                </c:pt>
                <c:pt idx="197">
                  <c:v>6.5</c:v>
                </c:pt>
                <c:pt idx="198">
                  <c:v>2.5</c:v>
                </c:pt>
                <c:pt idx="200">
                  <c:v>5</c:v>
                </c:pt>
                <c:pt idx="201">
                  <c:v>5.2</c:v>
                </c:pt>
                <c:pt idx="202">
                  <c:v>5.5</c:v>
                </c:pt>
                <c:pt idx="203">
                  <c:v>9.3000000000000007</c:v>
                </c:pt>
                <c:pt idx="204">
                  <c:v>2.7</c:v>
                </c:pt>
                <c:pt idx="205">
                  <c:v>6.6</c:v>
                </c:pt>
                <c:pt idx="207">
                  <c:v>5.4</c:v>
                </c:pt>
                <c:pt idx="208">
                  <c:v>3</c:v>
                </c:pt>
                <c:pt idx="209">
                  <c:v>10.7</c:v>
                </c:pt>
                <c:pt idx="210">
                  <c:v>1.3</c:v>
                </c:pt>
                <c:pt idx="211">
                  <c:v>7.4</c:v>
                </c:pt>
                <c:pt idx="212">
                  <c:v>2.9</c:v>
                </c:pt>
                <c:pt idx="213">
                  <c:v>14.1</c:v>
                </c:pt>
                <c:pt idx="214">
                  <c:v>6.8</c:v>
                </c:pt>
                <c:pt idx="215">
                  <c:v>12.4</c:v>
                </c:pt>
                <c:pt idx="216">
                  <c:v>5.5</c:v>
                </c:pt>
                <c:pt idx="217">
                  <c:v>5.6</c:v>
                </c:pt>
                <c:pt idx="218">
                  <c:v>6.5</c:v>
                </c:pt>
                <c:pt idx="219">
                  <c:v>6</c:v>
                </c:pt>
                <c:pt idx="220">
                  <c:v>5.7</c:v>
                </c:pt>
                <c:pt idx="221">
                  <c:v>5.0999999999999996</c:v>
                </c:pt>
                <c:pt idx="222">
                  <c:v>10</c:v>
                </c:pt>
                <c:pt idx="223">
                  <c:v>5.9</c:v>
                </c:pt>
                <c:pt idx="224">
                  <c:v>4.2</c:v>
                </c:pt>
                <c:pt idx="225">
                  <c:v>5.9</c:v>
                </c:pt>
                <c:pt idx="226">
                  <c:v>11.3</c:v>
                </c:pt>
                <c:pt idx="227">
                  <c:v>13</c:v>
                </c:pt>
                <c:pt idx="228">
                  <c:v>16.5</c:v>
                </c:pt>
                <c:pt idx="229">
                  <c:v>3.6</c:v>
                </c:pt>
                <c:pt idx="230">
                  <c:v>9.8000000000000007</c:v>
                </c:pt>
                <c:pt idx="231">
                  <c:v>8.4</c:v>
                </c:pt>
                <c:pt idx="232">
                  <c:v>5.9</c:v>
                </c:pt>
                <c:pt idx="233">
                  <c:v>9</c:v>
                </c:pt>
                <c:pt idx="234">
                  <c:v>1.9</c:v>
                </c:pt>
                <c:pt idx="235">
                  <c:v>1</c:v>
                </c:pt>
                <c:pt idx="236">
                  <c:v>10.5</c:v>
                </c:pt>
                <c:pt idx="237">
                  <c:v>3</c:v>
                </c:pt>
                <c:pt idx="238">
                  <c:v>2.7</c:v>
                </c:pt>
                <c:pt idx="239">
                  <c:v>4.3</c:v>
                </c:pt>
                <c:pt idx="240">
                  <c:v>17.7</c:v>
                </c:pt>
                <c:pt idx="241">
                  <c:v>1.5</c:v>
                </c:pt>
                <c:pt idx="242">
                  <c:v>17.2</c:v>
                </c:pt>
                <c:pt idx="243">
                  <c:v>1.5</c:v>
                </c:pt>
                <c:pt idx="244">
                  <c:v>5.5</c:v>
                </c:pt>
                <c:pt idx="245">
                  <c:v>11.7</c:v>
                </c:pt>
                <c:pt idx="246">
                  <c:v>2.5</c:v>
                </c:pt>
                <c:pt idx="248">
                  <c:v>4</c:v>
                </c:pt>
                <c:pt idx="249">
                  <c:v>8.4</c:v>
                </c:pt>
                <c:pt idx="250">
                  <c:v>5.8</c:v>
                </c:pt>
                <c:pt idx="251">
                  <c:v>1.9</c:v>
                </c:pt>
                <c:pt idx="252">
                  <c:v>5.9</c:v>
                </c:pt>
                <c:pt idx="253">
                  <c:v>2.2000000000000002</c:v>
                </c:pt>
                <c:pt idx="254">
                  <c:v>5.6</c:v>
                </c:pt>
                <c:pt idx="255">
                  <c:v>14.2</c:v>
                </c:pt>
                <c:pt idx="256">
                  <c:v>4.8</c:v>
                </c:pt>
                <c:pt idx="257">
                  <c:v>15.8</c:v>
                </c:pt>
                <c:pt idx="259">
                  <c:v>0.1</c:v>
                </c:pt>
                <c:pt idx="260">
                  <c:v>3.7</c:v>
                </c:pt>
                <c:pt idx="261">
                  <c:v>6.2</c:v>
                </c:pt>
                <c:pt idx="262">
                  <c:v>6.4</c:v>
                </c:pt>
                <c:pt idx="263">
                  <c:v>6.9</c:v>
                </c:pt>
                <c:pt idx="264">
                  <c:v>7.7</c:v>
                </c:pt>
                <c:pt idx="265">
                  <c:v>7.1</c:v>
                </c:pt>
                <c:pt idx="266">
                  <c:v>8.3000000000000007</c:v>
                </c:pt>
                <c:pt idx="267">
                  <c:v>5.0999999999999996</c:v>
                </c:pt>
                <c:pt idx="268">
                  <c:v>3.8</c:v>
                </c:pt>
                <c:pt idx="269">
                  <c:v>3.4</c:v>
                </c:pt>
                <c:pt idx="270">
                  <c:v>3.7</c:v>
                </c:pt>
                <c:pt idx="271">
                  <c:v>13.4</c:v>
                </c:pt>
                <c:pt idx="272">
                  <c:v>4.3</c:v>
                </c:pt>
                <c:pt idx="273">
                  <c:v>5.3</c:v>
                </c:pt>
                <c:pt idx="274">
                  <c:v>10</c:v>
                </c:pt>
                <c:pt idx="275">
                  <c:v>8.1</c:v>
                </c:pt>
                <c:pt idx="276">
                  <c:v>3.1</c:v>
                </c:pt>
                <c:pt idx="277">
                  <c:v>4.8</c:v>
                </c:pt>
                <c:pt idx="278">
                  <c:v>4.8</c:v>
                </c:pt>
                <c:pt idx="279">
                  <c:v>3.9</c:v>
                </c:pt>
                <c:pt idx="280">
                  <c:v>1.1000000000000001</c:v>
                </c:pt>
                <c:pt idx="281">
                  <c:v>3.6</c:v>
                </c:pt>
                <c:pt idx="282">
                  <c:v>7.3</c:v>
                </c:pt>
                <c:pt idx="284">
                  <c:v>1</c:v>
                </c:pt>
                <c:pt idx="285">
                  <c:v>11.5</c:v>
                </c:pt>
                <c:pt idx="286">
                  <c:v>1.7</c:v>
                </c:pt>
                <c:pt idx="287">
                  <c:v>6.2</c:v>
                </c:pt>
              </c:numCache>
            </c:numRef>
          </c:yVal>
          <c:smooth val="1"/>
          <c:extLst>
            <c:ext xmlns:c16="http://schemas.microsoft.com/office/drawing/2014/chart" uri="{C3380CC4-5D6E-409C-BE32-E72D297353CC}">
              <c16:uniqueId val="{00000001-F79A-4761-A8DD-7215FD572089}"/>
            </c:ext>
          </c:extLst>
        </c:ser>
        <c:dLbls>
          <c:showLegendKey val="0"/>
          <c:showVal val="0"/>
          <c:showCatName val="0"/>
          <c:showSerName val="0"/>
          <c:showPercent val="0"/>
          <c:showBubbleSize val="0"/>
        </c:dLbls>
        <c:axId val="73816981"/>
        <c:axId val="91246102"/>
      </c:scatterChart>
      <c:valAx>
        <c:axId val="73816981"/>
        <c:scaling>
          <c:orientation val="minMax"/>
          <c:max val="12"/>
          <c:min val="0"/>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AI hours per day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246102"/>
        <c:crosses val="autoZero"/>
        <c:crossBetween val="midCat"/>
      </c:valAx>
      <c:valAx>
        <c:axId val="912461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Hours saved per week</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81698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Would they recommend their AI tool?</a:t>
            </a:r>
          </a:p>
        </c:rich>
      </c:tx>
      <c:overlay val="0"/>
      <c:spPr>
        <a:noFill/>
        <a:ln w="0">
          <a:noFill/>
        </a:ln>
      </c:spPr>
    </c:title>
    <c:autoTitleDeleted val="0"/>
    <c:plotArea>
      <c:layout/>
      <c:doughnutChart>
        <c:varyColors val="1"/>
        <c:ser>
          <c:idx val="0"/>
          <c:order val="0"/>
          <c:tx>
            <c:strRef>
              <c:f>Analysis!$B$73</c:f>
              <c:strCache>
                <c:ptCount val="1"/>
                <c:pt idx="0">
                  <c:v>Users</c:v>
                </c:pt>
              </c:strCache>
            </c:strRef>
          </c:tx>
          <c:spPr>
            <a:solidFill>
              <a:srgbClr val="4F81BD"/>
            </a:solidFill>
            <a:ln w="0">
              <a:noFill/>
            </a:ln>
          </c:spPr>
          <c:dPt>
            <c:idx val="0"/>
            <c:bubble3D val="0"/>
            <c:spPr>
              <a:solidFill>
                <a:srgbClr val="14B8A6"/>
              </a:solidFill>
              <a:ln w="0">
                <a:noFill/>
              </a:ln>
            </c:spPr>
            <c:extLst>
              <c:ext xmlns:c16="http://schemas.microsoft.com/office/drawing/2014/chart" uri="{C3380CC4-5D6E-409C-BE32-E72D297353CC}">
                <c16:uniqueId val="{00000001-FBF5-4116-931A-5A06289C194F}"/>
              </c:ext>
            </c:extLst>
          </c:dPt>
          <c:dPt>
            <c:idx val="1"/>
            <c:bubble3D val="0"/>
            <c:spPr>
              <a:solidFill>
                <a:srgbClr val="FBBF24"/>
              </a:solidFill>
              <a:ln w="0">
                <a:noFill/>
              </a:ln>
            </c:spPr>
            <c:extLst>
              <c:ext xmlns:c16="http://schemas.microsoft.com/office/drawing/2014/chart" uri="{C3380CC4-5D6E-409C-BE32-E72D297353CC}">
                <c16:uniqueId val="{00000003-FBF5-4116-931A-5A06289C194F}"/>
              </c:ext>
            </c:extLst>
          </c:dPt>
          <c:dPt>
            <c:idx val="2"/>
            <c:bubble3D val="0"/>
            <c:spPr>
              <a:solidFill>
                <a:srgbClr val="F97316"/>
              </a:solidFill>
              <a:ln w="0">
                <a:noFill/>
              </a:ln>
            </c:spPr>
            <c:extLst>
              <c:ext xmlns:c16="http://schemas.microsoft.com/office/drawing/2014/chart" uri="{C3380CC4-5D6E-409C-BE32-E72D297353CC}">
                <c16:uniqueId val="{00000005-FBF5-4116-931A-5A06289C194F}"/>
              </c:ext>
            </c:extLst>
          </c:dPt>
          <c:dLbls>
            <c:dLbl>
              <c:idx val="0"/>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1-FBF5-4116-931A-5A06289C194F}"/>
                </c:ext>
              </c:extLst>
            </c:dLbl>
            <c:dLbl>
              <c:idx val="1"/>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3-FBF5-4116-931A-5A06289C194F}"/>
                </c:ext>
              </c:extLst>
            </c:dLbl>
            <c:dLbl>
              <c:idx val="2"/>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5-FBF5-4116-931A-5A06289C194F}"/>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Analysis!$A$74:$A$76</c:f>
              <c:strCache>
                <c:ptCount val="3"/>
                <c:pt idx="0">
                  <c:v>Yes</c:v>
                </c:pt>
                <c:pt idx="1">
                  <c:v>Maybe</c:v>
                </c:pt>
                <c:pt idx="2">
                  <c:v>No</c:v>
                </c:pt>
              </c:strCache>
            </c:strRef>
          </c:cat>
          <c:val>
            <c:numRef>
              <c:f>Analysis!$B$74:$B$76</c:f>
              <c:numCache>
                <c:formatCode>0</c:formatCode>
                <c:ptCount val="3"/>
                <c:pt idx="0">
                  <c:v>170</c:v>
                </c:pt>
                <c:pt idx="1">
                  <c:v>42</c:v>
                </c:pt>
                <c:pt idx="2">
                  <c:v>71</c:v>
                </c:pt>
              </c:numCache>
            </c:numRef>
          </c:val>
          <c:extLst>
            <c:ext xmlns:c16="http://schemas.microsoft.com/office/drawing/2014/chart" uri="{C3380CC4-5D6E-409C-BE32-E72D297353CC}">
              <c16:uniqueId val="{00000006-FBF5-4116-931A-5A06289C194F}"/>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Hours saved per week by job or field</a:t>
            </a:r>
          </a:p>
        </c:rich>
      </c:tx>
      <c:overlay val="0"/>
      <c:spPr>
        <a:noFill/>
        <a:ln w="0">
          <a:noFill/>
        </a:ln>
      </c:spPr>
    </c:title>
    <c:autoTitleDeleted val="0"/>
    <c:plotArea>
      <c:layout/>
      <c:barChart>
        <c:barDir val="bar"/>
        <c:grouping val="clustered"/>
        <c:varyColors val="0"/>
        <c:ser>
          <c:idx val="0"/>
          <c:order val="0"/>
          <c:tx>
            <c:strRef>
              <c:f>Analysis!$D$80</c:f>
              <c:strCache>
                <c:ptCount val="1"/>
                <c:pt idx="0">
                  <c:v>Avg Hrs Saved / Week</c:v>
                </c:pt>
              </c:strCache>
            </c:strRef>
          </c:tx>
          <c:spPr>
            <a:solidFill>
              <a:srgbClr val="7C3AED"/>
            </a:solidFill>
            <a:ln w="0">
              <a:solidFill>
                <a:srgbClr val="7C3AED"/>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Analysis!$A$81:$A$87</c:f>
              <c:strCache>
                <c:ptCount val="7"/>
                <c:pt idx="0">
                  <c:v>Content, Media &amp; Writing</c:v>
                </c:pt>
                <c:pt idx="1">
                  <c:v>Software &amp; IT</c:v>
                </c:pt>
                <c:pt idx="2">
                  <c:v>Data &amp; Analytics</c:v>
                </c:pt>
                <c:pt idx="3">
                  <c:v>Science &amp; Research</c:v>
                </c:pt>
                <c:pt idx="4">
                  <c:v>Customer Support</c:v>
                </c:pt>
                <c:pt idx="5">
                  <c:v>Engineering</c:v>
                </c:pt>
                <c:pt idx="6">
                  <c:v>Business &amp; Admin</c:v>
                </c:pt>
              </c:strCache>
            </c:strRef>
          </c:cat>
          <c:val>
            <c:numRef>
              <c:f>Analysis!$D$81:$D$87</c:f>
              <c:numCache>
                <c:formatCode>0.0</c:formatCode>
                <c:ptCount val="7"/>
                <c:pt idx="0">
                  <c:v>6.4106666666666658</c:v>
                </c:pt>
                <c:pt idx="1">
                  <c:v>5.461643835616437</c:v>
                </c:pt>
                <c:pt idx="2">
                  <c:v>5.0171428571428578</c:v>
                </c:pt>
                <c:pt idx="3">
                  <c:v>5.802631578947369</c:v>
                </c:pt>
                <c:pt idx="4">
                  <c:v>4.9055555555555559</c:v>
                </c:pt>
                <c:pt idx="5">
                  <c:v>5.4846153846153847</c:v>
                </c:pt>
                <c:pt idx="6">
                  <c:v>7.6076923076923055</c:v>
                </c:pt>
              </c:numCache>
            </c:numRef>
          </c:val>
          <c:extLst>
            <c:ext xmlns:c16="http://schemas.microsoft.com/office/drawing/2014/chart" uri="{C3380CC4-5D6E-409C-BE32-E72D297353CC}">
              <c16:uniqueId val="{00000000-59C1-45FC-825D-B2ADE4462C9A}"/>
            </c:ext>
          </c:extLst>
        </c:ser>
        <c:dLbls>
          <c:showLegendKey val="0"/>
          <c:showVal val="0"/>
          <c:showCatName val="0"/>
          <c:showSerName val="0"/>
          <c:showPercent val="0"/>
          <c:showBubbleSize val="0"/>
        </c:dLbls>
        <c:gapWidth val="45"/>
        <c:axId val="1622772"/>
        <c:axId val="41130934"/>
      </c:barChart>
      <c:catAx>
        <c:axId val="1622772"/>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130934"/>
        <c:crosses val="autoZero"/>
        <c:auto val="1"/>
        <c:lblAlgn val="ctr"/>
        <c:lblOffset val="100"/>
        <c:noMultiLvlLbl val="0"/>
      </c:catAx>
      <c:valAx>
        <c:axId val="41130934"/>
        <c:scaling>
          <c:orientation val="minMax"/>
          <c:min val="0"/>
        </c:scaling>
        <c:delete val="0"/>
        <c:axPos val="t"/>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227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109440</xdr:rowOff>
    </xdr:from>
    <xdr:to>
      <xdr:col>11</xdr:col>
      <xdr:colOff>262440</xdr:colOff>
      <xdr:row>30</xdr:row>
      <xdr:rowOff>79560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14</xdr:row>
      <xdr:rowOff>109440</xdr:rowOff>
    </xdr:from>
    <xdr:to>
      <xdr:col>23</xdr:col>
      <xdr:colOff>262440</xdr:colOff>
      <xdr:row>30</xdr:row>
      <xdr:rowOff>79560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176040</xdr:rowOff>
    </xdr:from>
    <xdr:to>
      <xdr:col>11</xdr:col>
      <xdr:colOff>262440</xdr:colOff>
      <xdr:row>47</xdr:row>
      <xdr:rowOff>79560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31</xdr:row>
      <xdr:rowOff>176040</xdr:rowOff>
    </xdr:from>
    <xdr:to>
      <xdr:col>23</xdr:col>
      <xdr:colOff>262440</xdr:colOff>
      <xdr:row>47</xdr:row>
      <xdr:rowOff>79560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48</xdr:row>
      <xdr:rowOff>175680</xdr:rowOff>
    </xdr:from>
    <xdr:to>
      <xdr:col>11</xdr:col>
      <xdr:colOff>262440</xdr:colOff>
      <xdr:row>64</xdr:row>
      <xdr:rowOff>79200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48</xdr:row>
      <xdr:rowOff>175680</xdr:rowOff>
    </xdr:from>
    <xdr:to>
      <xdr:col>23</xdr:col>
      <xdr:colOff>262440</xdr:colOff>
      <xdr:row>64</xdr:row>
      <xdr:rowOff>79200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Data" displayName="CleanData" ref="A1:Y289" totalsRowShown="0">
  <autoFilter ref="A1:Y289" xr:uid="{00000000-0009-0000-0100-000001000000}"/>
  <tableColumns count="25">
    <tableColumn id="1" xr3:uid="{00000000-0010-0000-0000-000001000000}" name="User_ID"/>
    <tableColumn id="2" xr3:uid="{00000000-0010-0000-0000-000002000000}" name="Age"/>
    <tableColumn id="3" xr3:uid="{00000000-0010-0000-0000-000003000000}" name="Age_Group"/>
    <tableColumn id="4" xr3:uid="{00000000-0010-0000-0000-000004000000}" name="Gender"/>
    <tableColumn id="5" xr3:uid="{00000000-0010-0000-0000-000005000000}" name="Country"/>
    <tableColumn id="6" xr3:uid="{00000000-0010-0000-0000-000006000000}" name="User_Type"/>
    <tableColumn id="7" xr3:uid="{00000000-0010-0000-0000-000007000000}" name="Education_Level"/>
    <tableColumn id="8" xr3:uid="{00000000-0010-0000-0000-000008000000}" name="Profession"/>
    <tableColumn id="9" xr3:uid="{00000000-0010-0000-0000-000009000000}" name="Profession_Group"/>
    <tableColumn id="10" xr3:uid="{00000000-0010-0000-0000-00000A000000}" name="Monthly_Income"/>
    <tableColumn id="11" xr3:uid="{00000000-0010-0000-0000-00000B000000}" name="AI_Tool"/>
    <tableColumn id="12" xr3:uid="{00000000-0010-0000-0000-00000C000000}" name="AI_Purpose"/>
    <tableColumn id="13" xr3:uid="{00000000-0010-0000-0000-00000D000000}" name="AI_Hours_Per_Day"/>
    <tableColumn id="14" xr3:uid="{00000000-0010-0000-0000-00000E000000}" name="Work_Study_Hours_Per_Day"/>
    <tableColumn id="15" xr3:uid="{00000000-0010-0000-0000-00000F000000}" name="AI_Share_of_Day"/>
    <tableColumn id="16" xr3:uid="{00000000-0010-0000-0000-000010000000}" name="Monthly_AI_Cost"/>
    <tableColumn id="17" xr3:uid="{00000000-0010-0000-0000-000011000000}" name="Plan_Type"/>
    <tableColumn id="18" xr3:uid="{00000000-0010-0000-0000-000012000000}" name="Productivity_Score"/>
    <tableColumn id="19" xr3:uid="{00000000-0010-0000-0000-000013000000}" name="Accuracy_Rating"/>
    <tableColumn id="20" xr3:uid="{00000000-0010-0000-0000-000014000000}" name="Satisfaction_Score"/>
    <tableColumn id="21" xr3:uid="{00000000-0010-0000-0000-000015000000}" name="Time_Saved_Hours_Per_Week"/>
    <tableColumn id="22" xr3:uid="{00000000-0010-0000-0000-000016000000}" name="Hours_Saved_per_AI_Hour"/>
    <tableColumn id="23" xr3:uid="{00000000-0010-0000-0000-000017000000}" name="Would_Recommend"/>
    <tableColumn id="24" xr3:uid="{00000000-0010-0000-0000-000018000000}" name="Data_Flags"/>
    <tableColumn id="25" xr3:uid="{00000000-0010-0000-0000-000019000000}" name="Tasks_Perform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A44"/>
    <pageSetUpPr fitToPage="1"/>
  </sheetPr>
  <dimension ref="A1:X79"/>
  <sheetViews>
    <sheetView showGridLines="0" tabSelected="1" zoomScale="90" zoomScaleNormal="90" workbookViewId="0">
      <selection activeCell="M10" sqref="M10"/>
    </sheetView>
  </sheetViews>
  <sheetFormatPr defaultColWidth="8.6640625" defaultRowHeight="14.4" x14ac:dyDescent="0.3"/>
  <cols>
    <col min="1" max="24" width="9.5546875" customWidth="1"/>
  </cols>
  <sheetData>
    <row r="1" spans="1:24" ht="21.75" customHeight="1" x14ac:dyDescent="0.3">
      <c r="A1" s="14" t="s">
        <v>0</v>
      </c>
      <c r="B1" s="14"/>
      <c r="C1" s="14"/>
      <c r="D1" s="14"/>
      <c r="E1" s="14"/>
      <c r="F1" s="14"/>
      <c r="G1" s="14"/>
      <c r="H1" s="14"/>
      <c r="I1" s="14"/>
      <c r="J1" s="14"/>
      <c r="K1" s="14"/>
      <c r="L1" s="14"/>
      <c r="M1" s="14"/>
      <c r="N1" s="14"/>
      <c r="O1" s="14"/>
      <c r="P1" s="14"/>
      <c r="Q1" s="14"/>
      <c r="R1" s="14"/>
      <c r="S1" s="14"/>
      <c r="T1" s="14"/>
      <c r="U1" s="14"/>
      <c r="V1" s="14"/>
      <c r="W1" s="14"/>
      <c r="X1" s="14"/>
    </row>
    <row r="2" spans="1:24" ht="21.75" customHeight="1" x14ac:dyDescent="0.3">
      <c r="A2" s="14"/>
      <c r="B2" s="14"/>
      <c r="C2" s="14"/>
      <c r="D2" s="14"/>
      <c r="E2" s="14"/>
      <c r="F2" s="14"/>
      <c r="G2" s="14"/>
      <c r="H2" s="14"/>
      <c r="I2" s="14"/>
      <c r="J2" s="14"/>
      <c r="K2" s="14"/>
      <c r="L2" s="14"/>
      <c r="M2" s="14"/>
      <c r="N2" s="14"/>
      <c r="O2" s="14"/>
      <c r="P2" s="14"/>
      <c r="Q2" s="14"/>
      <c r="R2" s="14"/>
      <c r="S2" s="14"/>
      <c r="T2" s="14"/>
      <c r="U2" s="14"/>
      <c r="V2" s="14"/>
      <c r="W2" s="14"/>
      <c r="X2" s="14"/>
    </row>
    <row r="3" spans="1:24" ht="18" customHeight="1" x14ac:dyDescent="0.3">
      <c r="A3" s="15" t="s">
        <v>1382</v>
      </c>
      <c r="B3" s="16"/>
      <c r="C3" s="16"/>
      <c r="D3" s="16"/>
      <c r="E3" s="16"/>
      <c r="F3" s="16"/>
      <c r="G3" s="16"/>
      <c r="H3" s="16"/>
      <c r="I3" s="16"/>
      <c r="J3" s="16"/>
      <c r="K3" s="16"/>
      <c r="L3" s="16"/>
      <c r="M3" s="16"/>
      <c r="N3" s="16"/>
      <c r="O3" s="16"/>
      <c r="P3" s="16"/>
      <c r="Q3" s="16"/>
      <c r="R3" s="16"/>
      <c r="S3" s="16"/>
      <c r="T3" s="16"/>
      <c r="U3" s="16"/>
      <c r="V3" s="16"/>
      <c r="W3" s="16"/>
      <c r="X3" s="16"/>
    </row>
    <row r="4" spans="1:24" ht="7.5" customHeight="1" x14ac:dyDescent="0.3">
      <c r="A4" s="17"/>
      <c r="B4" s="17"/>
      <c r="C4" s="17"/>
      <c r="D4" s="17"/>
      <c r="E4" s="17"/>
      <c r="F4" s="17"/>
      <c r="G4" s="17"/>
      <c r="H4" s="17"/>
      <c r="I4" s="17"/>
      <c r="J4" s="17"/>
      <c r="K4" s="17"/>
      <c r="L4" s="17"/>
      <c r="M4" s="17"/>
      <c r="N4" s="17"/>
      <c r="O4" s="17"/>
      <c r="P4" s="17"/>
      <c r="Q4" s="17"/>
      <c r="R4" s="17"/>
      <c r="S4" s="17"/>
      <c r="T4" s="17"/>
      <c r="U4" s="17"/>
      <c r="V4" s="17"/>
      <c r="W4" s="17"/>
      <c r="X4" s="17"/>
    </row>
    <row r="5" spans="1:24" ht="19.5" customHeight="1" x14ac:dyDescent="0.3">
      <c r="A5" s="13" t="s">
        <v>1</v>
      </c>
      <c r="B5" s="13"/>
      <c r="C5" s="13"/>
      <c r="D5" s="13"/>
      <c r="E5" s="12" t="s">
        <v>2</v>
      </c>
      <c r="F5" s="12"/>
      <c r="G5" s="12"/>
      <c r="H5" s="12"/>
      <c r="I5" s="11" t="s">
        <v>3</v>
      </c>
      <c r="J5" s="11"/>
      <c r="K5" s="11"/>
      <c r="L5" s="11"/>
      <c r="M5" s="10" t="s">
        <v>4</v>
      </c>
      <c r="N5" s="10"/>
      <c r="O5" s="10"/>
      <c r="P5" s="10"/>
      <c r="Q5" s="13" t="s">
        <v>5</v>
      </c>
      <c r="R5" s="13"/>
      <c r="S5" s="13"/>
      <c r="T5" s="13"/>
      <c r="U5" s="9" t="s">
        <v>6</v>
      </c>
      <c r="V5" s="9"/>
      <c r="W5" s="9"/>
      <c r="X5" s="9"/>
    </row>
    <row r="6" spans="1:24" ht="19.5" customHeight="1" x14ac:dyDescent="0.3">
      <c r="A6" s="8">
        <f>COUNTA(Clean_Data!$A$2:$A$289)</f>
        <v>288</v>
      </c>
      <c r="B6" s="8"/>
      <c r="C6" s="8"/>
      <c r="D6" s="8"/>
      <c r="E6" s="7">
        <f>AVERAGE(Clean_Data!$M$2:$M$289)</f>
        <v>2.8699999999999983</v>
      </c>
      <c r="F6" s="7"/>
      <c r="G6" s="7"/>
      <c r="H6" s="7"/>
      <c r="I6" s="7">
        <f>AVERAGE(Clean_Data!$U$2:$U$289)</f>
        <v>5.8100719424460445</v>
      </c>
      <c r="J6" s="7"/>
      <c r="K6" s="7"/>
      <c r="L6" s="7"/>
      <c r="M6" s="6">
        <f>AVERAGE(Clean_Data!$T$2:$T$289)</f>
        <v>6.1316725978647684</v>
      </c>
      <c r="N6" s="6"/>
      <c r="O6" s="6"/>
      <c r="P6" s="6"/>
      <c r="Q6" s="5">
        <f>COUNTIFS(Clean_Data!$W$2:$W$289,"Yes")/(COUNTIFS(Clean_Data!$W$2:$W$289,"Yes")+COUNTIFS(Clean_Data!$W$2:$W$289,"Maybe")+COUNTIFS(Clean_Data!$W$2:$W$289,"No"))</f>
        <v>0.60070671378091878</v>
      </c>
      <c r="R6" s="5"/>
      <c r="S6" s="5"/>
      <c r="T6" s="5"/>
      <c r="U6" s="5">
        <f>COUNTIFS(Clean_Data!$Q$2:$Q$289,"Paid")/(COUNTIFS(Clean_Data!$Q$2:$Q$289,"Paid")+COUNTIFS(Clean_Data!$Q$2:$Q$289,"Free"))</f>
        <v>0.46739130434782611</v>
      </c>
      <c r="V6" s="5"/>
      <c r="W6" s="5"/>
      <c r="X6" s="5"/>
    </row>
    <row r="7" spans="1:24" ht="19.5" customHeight="1" x14ac:dyDescent="0.3">
      <c r="A7" s="8"/>
      <c r="B7" s="8"/>
      <c r="C7" s="8"/>
      <c r="D7" s="8"/>
      <c r="E7" s="7"/>
      <c r="F7" s="7"/>
      <c r="G7" s="7"/>
      <c r="H7" s="7"/>
      <c r="I7" s="7"/>
      <c r="J7" s="7"/>
      <c r="K7" s="7"/>
      <c r="L7" s="7"/>
      <c r="M7" s="6"/>
      <c r="N7" s="6"/>
      <c r="O7" s="6"/>
      <c r="P7" s="6"/>
      <c r="Q7" s="5"/>
      <c r="R7" s="5"/>
      <c r="S7" s="5"/>
      <c r="T7" s="5"/>
      <c r="U7" s="5"/>
      <c r="V7" s="5"/>
      <c r="W7" s="5"/>
      <c r="X7" s="5"/>
    </row>
    <row r="8" spans="1:24" ht="15.75" customHeight="1" x14ac:dyDescent="0.3">
      <c r="A8" s="4" t="str">
        <f>TEXT(COUNTIFS(Clean_Data!$F$2:$F$289,"Student")/COUNTA(Clean_Data!$A$2:$A$289),"0%")&amp;" students, "&amp;TEXT(COUNTIFS(Clean_Data!$F$2:$F$289,"Professional")/COUNTA(Clean_Data!$A$2:$A$289),"0%")&amp;" professionals"</f>
        <v>52% students, 48% professionals</v>
      </c>
      <c r="B8" s="4"/>
      <c r="C8" s="4"/>
      <c r="D8" s="4"/>
      <c r="E8" s="4" t="s">
        <v>7</v>
      </c>
      <c r="F8" s="4"/>
      <c r="G8" s="4"/>
      <c r="H8" s="4"/>
      <c r="I8" s="4" t="s">
        <v>7</v>
      </c>
      <c r="J8" s="4"/>
      <c r="K8" s="4"/>
      <c r="L8" s="4"/>
      <c r="M8" s="4" t="s">
        <v>8</v>
      </c>
      <c r="N8" s="4"/>
      <c r="O8" s="4"/>
      <c r="P8" s="4"/>
      <c r="Q8" s="4" t="s">
        <v>9</v>
      </c>
      <c r="R8" s="4"/>
      <c r="S8" s="4"/>
      <c r="T8" s="4"/>
      <c r="U8" s="4" t="s">
        <v>10</v>
      </c>
      <c r="V8" s="4"/>
      <c r="W8" s="4"/>
      <c r="X8" s="4"/>
    </row>
    <row r="9" spans="1:24" ht="9.75" customHeight="1" x14ac:dyDescent="0.3">
      <c r="A9" s="17"/>
      <c r="B9" s="17"/>
      <c r="C9" s="17"/>
      <c r="D9" s="17"/>
      <c r="E9" s="17"/>
      <c r="F9" s="17"/>
      <c r="G9" s="17"/>
      <c r="H9" s="17"/>
      <c r="I9" s="17"/>
      <c r="J9" s="17"/>
      <c r="K9" s="17"/>
      <c r="L9" s="17"/>
      <c r="M9" s="17"/>
      <c r="N9" s="17"/>
      <c r="O9" s="17"/>
      <c r="P9" s="17"/>
      <c r="Q9" s="17"/>
      <c r="R9" s="17"/>
      <c r="S9" s="17"/>
      <c r="T9" s="17"/>
      <c r="U9" s="17"/>
      <c r="V9" s="17"/>
      <c r="W9" s="17"/>
      <c r="X9" s="17"/>
    </row>
    <row r="10" spans="1:24" ht="16.8" x14ac:dyDescent="0.3">
      <c r="A10" s="18" t="s">
        <v>11</v>
      </c>
      <c r="B10" s="17"/>
      <c r="C10" s="17"/>
      <c r="D10" s="17"/>
      <c r="E10" s="17"/>
      <c r="F10" s="17"/>
      <c r="G10" s="17"/>
      <c r="H10" s="17"/>
      <c r="I10" s="17"/>
      <c r="J10" s="17"/>
      <c r="K10" s="17"/>
      <c r="L10" s="17"/>
      <c r="M10" s="17"/>
      <c r="N10" s="17"/>
      <c r="O10" s="17"/>
      <c r="P10" s="17"/>
      <c r="Q10" s="17"/>
      <c r="R10" s="17"/>
      <c r="S10" s="17"/>
      <c r="T10" s="17"/>
      <c r="U10" s="17"/>
      <c r="V10" s="17"/>
      <c r="W10" s="17"/>
      <c r="X10" s="17"/>
    </row>
    <row r="11" spans="1:24" ht="21.75" customHeight="1" x14ac:dyDescent="0.3">
      <c r="A11" s="3" t="str">
        <f>"Tool race: "&amp;INDEX(Analysis!$A$6:$A$13,MATCH(MAX(Analysis!$B$6:$B$13),Analysis!$B$6:$B$13,0))&amp;" is used by "&amp;TEXT(MAX(Analysis!$B$6:$B$13)/SUM(Analysis!$B$6:$B$13),"0%")&amp;" of people. Highest satisfaction among tools with 15+ users: "&amp;INDEX(Analysis!$A$6:$A$13,MATCH(1,INDEX((Analysis!$B$6:$B$13&gt;=15)*(Analysis!$D$6:$D$13=MAX(INDEX((Analysis!$B$6:$B$13&gt;=15)*Analysis!$D$6:$D$13,0))),0),0))&amp;"."</f>
        <v>Tool race: ChatGPT is used by 43% of people. Highest satisfaction among tools with 15+ users: Microsoft Copilot.</v>
      </c>
      <c r="B11" s="3"/>
      <c r="C11" s="3"/>
      <c r="D11" s="3"/>
      <c r="E11" s="3"/>
      <c r="F11" s="3"/>
      <c r="G11" s="3"/>
      <c r="H11" s="3"/>
      <c r="I11" s="3"/>
      <c r="J11" s="3"/>
      <c r="K11" s="3"/>
      <c r="L11" s="3"/>
      <c r="M11" s="3"/>
      <c r="N11" s="3"/>
      <c r="O11" s="3"/>
      <c r="P11" s="3"/>
      <c r="Q11" s="3"/>
      <c r="R11" s="3"/>
      <c r="S11" s="3"/>
      <c r="T11" s="3"/>
      <c r="U11" s="3"/>
      <c r="V11" s="3"/>
      <c r="W11" s="3"/>
      <c r="X11" s="3"/>
    </row>
    <row r="12" spans="1:24" ht="21.75" customHeight="1" x14ac:dyDescent="0.3">
      <c r="A12" s="2" t="str">
        <f>"Students vs professionals: professionals report "&amp;TEXT(Analysis!$C$38,"0.0")&amp;" hrs saved per week, students "&amp;TEXT(Analysis!$B$38,"0.0")&amp;". Average AI use per day: "&amp;TEXT(Analysis!$C$33,"0.0")&amp;" hrs (professionals) vs "&amp;TEXT(Analysis!$B$33,"0.0")&amp;" hrs (students)."</f>
        <v>Students vs professionals: professionals report 5.6 hrs saved per week, students 6.0. Average AI use per day: 2.7 hrs (professionals) vs 3.0 hrs (students).</v>
      </c>
      <c r="B12" s="2"/>
      <c r="C12" s="2"/>
      <c r="D12" s="2"/>
      <c r="E12" s="2"/>
      <c r="F12" s="2"/>
      <c r="G12" s="2"/>
      <c r="H12" s="2"/>
      <c r="I12" s="2"/>
      <c r="J12" s="2"/>
      <c r="K12" s="2"/>
      <c r="L12" s="2"/>
      <c r="M12" s="2"/>
      <c r="N12" s="2"/>
      <c r="O12" s="2"/>
      <c r="P12" s="2"/>
      <c r="Q12" s="2"/>
      <c r="R12" s="2"/>
      <c r="S12" s="2"/>
      <c r="T12" s="2"/>
      <c r="U12" s="2"/>
      <c r="V12" s="2"/>
      <c r="W12" s="2"/>
      <c r="X12" s="2"/>
    </row>
    <row r="13" spans="1:24" ht="21.75" customHeight="1" x14ac:dyDescent="0.3">
      <c r="A13" s="1" t="str">
        <f>"Money: "&amp;TEXT(Analysis!$B$68/(Analysis!$B$68+Analysis!$B$69),"0%")&amp;" of users pay nothing. Paid-plan satisfaction averages "&amp;TEXT(Analysis!$D$69,"0.0")&amp;" vs "&amp;TEXT(Analysis!$D$68,"0.0")&amp;" on free plans."</f>
        <v>Money: 53% of users pay nothing. Paid-plan satisfaction averages 6.0 vs 6.2 on free plans.</v>
      </c>
      <c r="B13" s="1"/>
      <c r="C13" s="1"/>
      <c r="D13" s="1"/>
      <c r="E13" s="1"/>
      <c r="F13" s="1"/>
      <c r="G13" s="1"/>
      <c r="H13" s="1"/>
      <c r="I13" s="1"/>
      <c r="J13" s="1"/>
      <c r="K13" s="1"/>
      <c r="L13" s="1"/>
      <c r="M13" s="1"/>
      <c r="N13" s="1"/>
      <c r="O13" s="1"/>
      <c r="P13" s="1"/>
      <c r="Q13" s="1"/>
      <c r="R13" s="1"/>
      <c r="S13" s="1"/>
      <c r="T13" s="1"/>
      <c r="U13" s="1"/>
      <c r="V13" s="1"/>
      <c r="W13" s="1"/>
      <c r="X13" s="1"/>
    </row>
    <row r="14" spans="1:24" ht="21.75" customHeight="1" x14ac:dyDescent="0.3">
      <c r="A14" s="51" t="str">
        <f>"Time vs payoff: AI hours per day and hours saved per week have a "&amp;LOWER(Analysis!$C$92)&amp;" link (r = "&amp;TEXT(Analysis!$B$92,"0.00")&amp;"). Productivity and satisfaction: "&amp;LOWER(Analysis!$C$94)&amp;" (r = "&amp;TEXT(Analysis!$B$94,"0.00")&amp;")."</f>
        <v>Time vs payoff: AI hours per day and hours saved per week have a strong positive link (r = 0.90). Productivity and satisfaction: strong positive (r = 0.66).</v>
      </c>
      <c r="B14" s="51"/>
      <c r="C14" s="51"/>
      <c r="D14" s="51"/>
      <c r="E14" s="51"/>
      <c r="F14" s="51"/>
      <c r="G14" s="51"/>
      <c r="H14" s="51"/>
      <c r="I14" s="51"/>
      <c r="J14" s="51"/>
      <c r="K14" s="51"/>
      <c r="L14" s="51"/>
      <c r="M14" s="51"/>
      <c r="N14" s="51"/>
      <c r="O14" s="51"/>
      <c r="P14" s="51"/>
      <c r="Q14" s="51"/>
      <c r="R14" s="51"/>
      <c r="S14" s="51"/>
      <c r="T14" s="51"/>
      <c r="U14" s="51"/>
      <c r="V14" s="51"/>
      <c r="W14" s="51"/>
      <c r="X14" s="51"/>
    </row>
    <row r="15" spans="1:24" ht="9.75"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row>
    <row r="16" spans="1:24"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row>
    <row r="17" spans="1:24"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row>
    <row r="18" spans="1:24"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row>
    <row r="19" spans="1:24"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row>
    <row r="20" spans="1:24"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row>
    <row r="21" spans="1:24"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row>
    <row r="22" spans="1:24"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row>
    <row r="23" spans="1:24"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row>
    <row r="24" spans="1:24"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row>
    <row r="25" spans="1:24"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row>
    <row r="26" spans="1:24"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row>
    <row r="27" spans="1:24"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row>
    <row r="28" spans="1:24"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row>
    <row r="29" spans="1:24"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row>
    <row r="30" spans="1:24"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row>
    <row r="31" spans="1:24"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row>
    <row r="32" spans="1:24"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row>
    <row r="33" spans="1:24"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row>
    <row r="34" spans="1:24"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row>
    <row r="35" spans="1:24"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row>
    <row r="36" spans="1:24"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row>
    <row r="39" spans="1:24"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row>
    <row r="42" spans="1:24"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row>
    <row r="45" spans="1:24"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row>
    <row r="46" spans="1:24"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row>
    <row r="47" spans="1:24"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row>
    <row r="48" spans="1:24"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row>
    <row r="49" spans="1:24"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row>
    <row r="50" spans="1:24"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row>
    <row r="51" spans="1:24"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row>
    <row r="52" spans="1:24"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row>
    <row r="53" spans="1:24"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row>
    <row r="54" spans="1:24"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row>
    <row r="55" spans="1:24"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row>
    <row r="56" spans="1:24"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row>
    <row r="57" spans="1:24"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row>
    <row r="58" spans="1:24"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row>
    <row r="59" spans="1:24"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row>
    <row r="60" spans="1:24"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row>
    <row r="61" spans="1:24"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row>
    <row r="62" spans="1:24"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row>
    <row r="63" spans="1:24"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row>
    <row r="64" spans="1:24"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row>
    <row r="65" spans="1:24"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row>
    <row r="66" spans="1:24"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row>
    <row r="67" spans="1:24" x14ac:dyDescent="0.3">
      <c r="A67" s="19" t="s">
        <v>12</v>
      </c>
      <c r="B67" s="17"/>
      <c r="C67" s="17"/>
      <c r="D67" s="17"/>
      <c r="E67" s="17"/>
      <c r="F67" s="17"/>
      <c r="G67" s="17"/>
      <c r="H67" s="17"/>
      <c r="I67" s="17"/>
      <c r="J67" s="17"/>
      <c r="K67" s="17"/>
      <c r="L67" s="17"/>
      <c r="M67" s="17"/>
      <c r="N67" s="17"/>
      <c r="O67" s="17"/>
      <c r="P67" s="17"/>
      <c r="Q67" s="17"/>
      <c r="R67" s="17"/>
      <c r="S67" s="17"/>
      <c r="T67" s="17"/>
      <c r="U67" s="17"/>
      <c r="V67" s="17"/>
      <c r="W67" s="17"/>
      <c r="X67" s="17"/>
    </row>
    <row r="68" spans="1:24"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row>
    <row r="69" spans="1:24"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row>
    <row r="70" spans="1:24"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row>
    <row r="71" spans="1:24"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row>
    <row r="72" spans="1:24"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row>
    <row r="73" spans="1:24"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row>
    <row r="74" spans="1:24"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row>
    <row r="75" spans="1:24"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row>
    <row r="76" spans="1:24"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row>
    <row r="77" spans="1:24"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row>
    <row r="78" spans="1:24"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row>
    <row r="79" spans="1:24"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row>
  </sheetData>
  <mergeCells count="23">
    <mergeCell ref="A11:X11"/>
    <mergeCell ref="A12:X12"/>
    <mergeCell ref="A13:X13"/>
    <mergeCell ref="A14:X14"/>
    <mergeCell ref="U6:X7"/>
    <mergeCell ref="A8:D8"/>
    <mergeCell ref="E8:H8"/>
    <mergeCell ref="I8:L8"/>
    <mergeCell ref="M8:P8"/>
    <mergeCell ref="Q8:T8"/>
    <mergeCell ref="U8:X8"/>
    <mergeCell ref="A6:D7"/>
    <mergeCell ref="E6:H7"/>
    <mergeCell ref="I6:L7"/>
    <mergeCell ref="M6:P7"/>
    <mergeCell ref="Q6:T7"/>
    <mergeCell ref="A1:X2"/>
    <mergeCell ref="A5:D5"/>
    <mergeCell ref="E5:H5"/>
    <mergeCell ref="I5:L5"/>
    <mergeCell ref="M5:P5"/>
    <mergeCell ref="Q5:T5"/>
    <mergeCell ref="U5:X5"/>
  </mergeCells>
  <pageMargins left="0.75" right="0.75" top="1" bottom="1" header="0.511811023622047" footer="0.511811023622047"/>
  <pageSetup scale="45"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B8A6"/>
  </sheetPr>
  <dimension ref="A1:H97"/>
  <sheetViews>
    <sheetView showGridLines="0" zoomScaleNormal="100" workbookViewId="0"/>
  </sheetViews>
  <sheetFormatPr defaultColWidth="8.6640625" defaultRowHeight="14.4" x14ac:dyDescent="0.3"/>
  <cols>
    <col min="1" max="1" width="40" customWidth="1"/>
    <col min="2" max="2" width="17" customWidth="1"/>
    <col min="3" max="3" width="20" customWidth="1"/>
    <col min="4" max="8" width="17" customWidth="1"/>
  </cols>
  <sheetData>
    <row r="1" spans="1:8" ht="22.8" x14ac:dyDescent="0.4">
      <c r="A1" s="20" t="s">
        <v>13</v>
      </c>
    </row>
    <row r="2" spans="1:8" x14ac:dyDescent="0.3">
      <c r="A2" s="21" t="s">
        <v>14</v>
      </c>
    </row>
    <row r="4" spans="1:8" ht="15.6" x14ac:dyDescent="0.3">
      <c r="A4" s="22" t="s">
        <v>15</v>
      </c>
    </row>
    <row r="5" spans="1:8" ht="30" customHeight="1" x14ac:dyDescent="0.3">
      <c r="A5" s="23" t="s">
        <v>16</v>
      </c>
      <c r="B5" s="24" t="s">
        <v>17</v>
      </c>
      <c r="C5" s="24" t="s">
        <v>18</v>
      </c>
      <c r="D5" s="24" t="s">
        <v>19</v>
      </c>
      <c r="E5" s="24" t="s">
        <v>20</v>
      </c>
      <c r="F5" s="24" t="s">
        <v>21</v>
      </c>
      <c r="G5" s="24" t="s">
        <v>22</v>
      </c>
      <c r="H5" s="24" t="s">
        <v>23</v>
      </c>
    </row>
    <row r="6" spans="1:8" x14ac:dyDescent="0.3">
      <c r="A6" s="25" t="s">
        <v>24</v>
      </c>
      <c r="B6" s="26">
        <f>COUNTIFS(Clean_Data!$K$2:$K$289,$A6)</f>
        <v>119</v>
      </c>
      <c r="C6" s="27">
        <f t="shared" ref="C6:C13" si="0">B6/SUM(B$6:B$13)</f>
        <v>0.42805755395683454</v>
      </c>
      <c r="D6" s="28">
        <f>IFERROR(AVERAGEIFS(Clean_Data!$T$2:$T$289,Clean_Data!$K$2:$K$289,$A6),"")</f>
        <v>6.2608695652173916</v>
      </c>
      <c r="E6" s="28">
        <f>IFERROR(AVERAGEIFS(Clean_Data!$R$2:$R$289,Clean_Data!$K$2:$K$289,$A6),"")</f>
        <v>5.2318584070796454</v>
      </c>
      <c r="F6" s="28">
        <f>IFERROR(AVERAGEIFS(Clean_Data!$S$2:$S$289,Clean_Data!$K$2:$K$289,$A6),"")</f>
        <v>3.3596491228070176</v>
      </c>
      <c r="G6" s="27">
        <f>IFERROR(COUNTIFS(Clean_Data!$K$2:$K$289,$A6,Clean_Data!$W$2:$W$289,"Yes")/(COUNTIFS(Clean_Data!$K$2:$K$289,$A6,Clean_Data!$W$2:$W$289,"Yes")+COUNTIFS(Clean_Data!$K$2:$K$289,$A6,Clean_Data!$W$2:$W$289,"Maybe")+COUNTIFS(Clean_Data!$K$2:$K$289,$A6,Clean_Data!$W$2:$W$289,"No")),"")</f>
        <v>0.58974358974358976</v>
      </c>
      <c r="H6" s="28">
        <f>IFERROR(AVERAGEIFS(Clean_Data!$U$2:$U$289,Clean_Data!$K$2:$K$289,$A6),"")</f>
        <v>5.9482758620689653</v>
      </c>
    </row>
    <row r="7" spans="1:8" x14ac:dyDescent="0.3">
      <c r="A7" s="25" t="s">
        <v>25</v>
      </c>
      <c r="B7" s="26">
        <f>COUNTIFS(Clean_Data!$K$2:$K$289,$A7)</f>
        <v>39</v>
      </c>
      <c r="C7" s="27">
        <f t="shared" si="0"/>
        <v>0.14028776978417265</v>
      </c>
      <c r="D7" s="28">
        <f>IFERROR(AVERAGEIFS(Clean_Data!$T$2:$T$289,Clean_Data!$K$2:$K$289,$A7),"")</f>
        <v>5.6842105263157894</v>
      </c>
      <c r="E7" s="28">
        <f>IFERROR(AVERAGEIFS(Clean_Data!$R$2:$R$289,Clean_Data!$K$2:$K$289,$A7),"")</f>
        <v>5.060526315789474</v>
      </c>
      <c r="F7" s="28">
        <f>IFERROR(AVERAGEIFS(Clean_Data!$S$2:$S$289,Clean_Data!$K$2:$K$289,$A7),"")</f>
        <v>3.3611111111111112</v>
      </c>
      <c r="G7" s="27">
        <f>IFERROR(COUNTIFS(Clean_Data!$K$2:$K$289,$A7,Clean_Data!$W$2:$W$289,"Yes")/(COUNTIFS(Clean_Data!$K$2:$K$289,$A7,Clean_Data!$W$2:$W$289,"Yes")+COUNTIFS(Clean_Data!$K$2:$K$289,$A7,Clean_Data!$W$2:$W$289,"Maybe")+COUNTIFS(Clean_Data!$K$2:$K$289,$A7,Clean_Data!$W$2:$W$289,"No")),"")</f>
        <v>0.66666666666666663</v>
      </c>
      <c r="H7" s="28">
        <f>IFERROR(AVERAGEIFS(Clean_Data!$U$2:$U$289,Clean_Data!$K$2:$K$289,$A7),"")</f>
        <v>5.3947368421052619</v>
      </c>
    </row>
    <row r="8" spans="1:8" x14ac:dyDescent="0.3">
      <c r="A8" s="25" t="s">
        <v>26</v>
      </c>
      <c r="B8" s="26">
        <f>COUNTIFS(Clean_Data!$K$2:$K$289,$A8)</f>
        <v>33</v>
      </c>
      <c r="C8" s="27">
        <f t="shared" si="0"/>
        <v>0.11870503597122302</v>
      </c>
      <c r="D8" s="28">
        <f>IFERROR(AVERAGEIFS(Clean_Data!$T$2:$T$289,Clean_Data!$K$2:$K$289,$A8),"")</f>
        <v>6.3030303030303028</v>
      </c>
      <c r="E8" s="28">
        <f>IFERROR(AVERAGEIFS(Clean_Data!$R$2:$R$289,Clean_Data!$K$2:$K$289,$A8),"")</f>
        <v>5.5129032258064523</v>
      </c>
      <c r="F8" s="28">
        <f>IFERROR(AVERAGEIFS(Clean_Data!$S$2:$S$289,Clean_Data!$K$2:$K$289,$A8),"")</f>
        <v>3.393939393939394</v>
      </c>
      <c r="G8" s="27">
        <f>IFERROR(COUNTIFS(Clean_Data!$K$2:$K$289,$A8,Clean_Data!$W$2:$W$289,"Yes")/(COUNTIFS(Clean_Data!$K$2:$K$289,$A8,Clean_Data!$W$2:$W$289,"Yes")+COUNTIFS(Clean_Data!$K$2:$K$289,$A8,Clean_Data!$W$2:$W$289,"Maybe")+COUNTIFS(Clean_Data!$K$2:$K$289,$A8,Clean_Data!$W$2:$W$289,"No")),"")</f>
        <v>0.5625</v>
      </c>
      <c r="H8" s="28">
        <f>IFERROR(AVERAGEIFS(Clean_Data!$U$2:$U$289,Clean_Data!$K$2:$K$289,$A8),"")</f>
        <v>6.5750000000000011</v>
      </c>
    </row>
    <row r="9" spans="1:8" x14ac:dyDescent="0.3">
      <c r="A9" s="25" t="s">
        <v>27</v>
      </c>
      <c r="B9" s="26">
        <f>COUNTIFS(Clean_Data!$K$2:$K$289,$A9)</f>
        <v>31</v>
      </c>
      <c r="C9" s="27">
        <f t="shared" si="0"/>
        <v>0.11151079136690648</v>
      </c>
      <c r="D9" s="28">
        <f>IFERROR(AVERAGEIFS(Clean_Data!$T$2:$T$289,Clean_Data!$K$2:$K$289,$A9),"")</f>
        <v>6.096774193548387</v>
      </c>
      <c r="E9" s="28">
        <f>IFERROR(AVERAGEIFS(Clean_Data!$R$2:$R$289,Clean_Data!$K$2:$K$289,$A9),"")</f>
        <v>5.2931034482758621</v>
      </c>
      <c r="F9" s="28">
        <f>IFERROR(AVERAGEIFS(Clean_Data!$S$2:$S$289,Clean_Data!$K$2:$K$289,$A9),"")</f>
        <v>3.3703703703703702</v>
      </c>
      <c r="G9" s="27">
        <f>IFERROR(COUNTIFS(Clean_Data!$K$2:$K$289,$A9,Clean_Data!$W$2:$W$289,"Yes")/(COUNTIFS(Clean_Data!$K$2:$K$289,$A9,Clean_Data!$W$2:$W$289,"Yes")+COUNTIFS(Clean_Data!$K$2:$K$289,$A9,Clean_Data!$W$2:$W$289,"Maybe")+COUNTIFS(Clean_Data!$K$2:$K$289,$A9,Clean_Data!$W$2:$W$289,"No")),"")</f>
        <v>0.61290322580645162</v>
      </c>
      <c r="H9" s="28">
        <f>IFERROR(AVERAGEIFS(Clean_Data!$U$2:$U$289,Clean_Data!$K$2:$K$289,$A9),"")</f>
        <v>5.6137931034482751</v>
      </c>
    </row>
    <row r="10" spans="1:8" x14ac:dyDescent="0.3">
      <c r="A10" s="25" t="s">
        <v>28</v>
      </c>
      <c r="B10" s="26">
        <f>COUNTIFS(Clean_Data!$K$2:$K$289,$A10)</f>
        <v>23</v>
      </c>
      <c r="C10" s="27">
        <f t="shared" si="0"/>
        <v>8.2733812949640287E-2</v>
      </c>
      <c r="D10" s="28">
        <f>IFERROR(AVERAGEIFS(Clean_Data!$T$2:$T$289,Clean_Data!$K$2:$K$289,$A10),"")</f>
        <v>5.8181818181818183</v>
      </c>
      <c r="E10" s="28">
        <f>IFERROR(AVERAGEIFS(Clean_Data!$R$2:$R$289,Clean_Data!$K$2:$K$289,$A10),"")</f>
        <v>4.6399999999999997</v>
      </c>
      <c r="F10" s="28">
        <f>IFERROR(AVERAGEIFS(Clean_Data!$S$2:$S$289,Clean_Data!$K$2:$K$289,$A10),"")</f>
        <v>3.4090909090909092</v>
      </c>
      <c r="G10" s="27">
        <f>IFERROR(COUNTIFS(Clean_Data!$K$2:$K$289,$A10,Clean_Data!$W$2:$W$289,"Yes")/(COUNTIFS(Clean_Data!$K$2:$K$289,$A10,Clean_Data!$W$2:$W$289,"Yes")+COUNTIFS(Clean_Data!$K$2:$K$289,$A10,Clean_Data!$W$2:$W$289,"Maybe")+COUNTIFS(Clean_Data!$K$2:$K$289,$A10,Clean_Data!$W$2:$W$289,"No")),"")</f>
        <v>0.54545454545454541</v>
      </c>
      <c r="H10" s="28">
        <f>IFERROR(AVERAGEIFS(Clean_Data!$U$2:$U$289,Clean_Data!$K$2:$K$289,$A10),"")</f>
        <v>5.6363636363636367</v>
      </c>
    </row>
    <row r="11" spans="1:8" x14ac:dyDescent="0.3">
      <c r="A11" s="25" t="s">
        <v>29</v>
      </c>
      <c r="B11" s="26">
        <f>COUNTIFS(Clean_Data!$K$2:$K$289,$A11)</f>
        <v>14</v>
      </c>
      <c r="C11" s="27">
        <f t="shared" si="0"/>
        <v>5.0359712230215826E-2</v>
      </c>
      <c r="D11" s="28">
        <f>IFERROR(AVERAGEIFS(Clean_Data!$T$2:$T$289,Clean_Data!$K$2:$K$289,$A11),"")</f>
        <v>6.2857142857142856</v>
      </c>
      <c r="E11" s="28">
        <f>IFERROR(AVERAGEIFS(Clean_Data!$R$2:$R$289,Clean_Data!$K$2:$K$289,$A11),"")</f>
        <v>5.1142857142857139</v>
      </c>
      <c r="F11" s="28">
        <f>IFERROR(AVERAGEIFS(Clean_Data!$S$2:$S$289,Clean_Data!$K$2:$K$289,$A11),"")</f>
        <v>3.8571428571428572</v>
      </c>
      <c r="G11" s="27">
        <f>IFERROR(COUNTIFS(Clean_Data!$K$2:$K$289,$A11,Clean_Data!$W$2:$W$289,"Yes")/(COUNTIFS(Clean_Data!$K$2:$K$289,$A11,Clean_Data!$W$2:$W$289,"Yes")+COUNTIFS(Clean_Data!$K$2:$K$289,$A11,Clean_Data!$W$2:$W$289,"Maybe")+COUNTIFS(Clean_Data!$K$2:$K$289,$A11,Clean_Data!$W$2:$W$289,"No")),"")</f>
        <v>0.6428571428571429</v>
      </c>
      <c r="H11" s="28">
        <f>IFERROR(AVERAGEIFS(Clean_Data!$U$2:$U$289,Clean_Data!$K$2:$K$289,$A11),"")</f>
        <v>5.4857142857142867</v>
      </c>
    </row>
    <row r="12" spans="1:8" x14ac:dyDescent="0.3">
      <c r="A12" s="25" t="s">
        <v>30</v>
      </c>
      <c r="B12" s="26">
        <f>COUNTIFS(Clean_Data!$K$2:$K$289,$A12)</f>
        <v>10</v>
      </c>
      <c r="C12" s="27">
        <f t="shared" si="0"/>
        <v>3.5971223021582732E-2</v>
      </c>
      <c r="D12" s="28">
        <f>IFERROR(AVERAGEIFS(Clean_Data!$T$2:$T$289,Clean_Data!$K$2:$K$289,$A12),"")</f>
        <v>6.1</v>
      </c>
      <c r="E12" s="28">
        <f>IFERROR(AVERAGEIFS(Clean_Data!$R$2:$R$289,Clean_Data!$K$2:$K$289,$A12),"")</f>
        <v>5.1499999999999995</v>
      </c>
      <c r="F12" s="28">
        <f>IFERROR(AVERAGEIFS(Clean_Data!$S$2:$S$289,Clean_Data!$K$2:$K$289,$A12),"")</f>
        <v>3.5</v>
      </c>
      <c r="G12" s="27">
        <f>IFERROR(COUNTIFS(Clean_Data!$K$2:$K$289,$A12,Clean_Data!$W$2:$W$289,"Yes")/(COUNTIFS(Clean_Data!$K$2:$K$289,$A12,Clean_Data!$W$2:$W$289,"Yes")+COUNTIFS(Clean_Data!$K$2:$K$289,$A12,Clean_Data!$W$2:$W$289,"Maybe")+COUNTIFS(Clean_Data!$K$2:$K$289,$A12,Clean_Data!$W$2:$W$289,"No")),"")</f>
        <v>0.4</v>
      </c>
      <c r="H12" s="28">
        <f>IFERROR(AVERAGEIFS(Clean_Data!$U$2:$U$289,Clean_Data!$K$2:$K$289,$A12),"")</f>
        <v>4.79</v>
      </c>
    </row>
    <row r="13" spans="1:8" x14ac:dyDescent="0.3">
      <c r="A13" s="25" t="s">
        <v>31</v>
      </c>
      <c r="B13" s="26">
        <f>COUNTIFS(Clean_Data!$K$2:$K$289,$A13)</f>
        <v>9</v>
      </c>
      <c r="C13" s="27">
        <f t="shared" si="0"/>
        <v>3.237410071942446E-2</v>
      </c>
      <c r="D13" s="28">
        <f>IFERROR(AVERAGEIFS(Clean_Data!$T$2:$T$289,Clean_Data!$K$2:$K$289,$A13),"")</f>
        <v>6.125</v>
      </c>
      <c r="E13" s="28">
        <f>IFERROR(AVERAGEIFS(Clean_Data!$R$2:$R$289,Clean_Data!$K$2:$K$289,$A13),"")</f>
        <v>5.5333333333333332</v>
      </c>
      <c r="F13" s="28">
        <f>IFERROR(AVERAGEIFS(Clean_Data!$S$2:$S$289,Clean_Data!$K$2:$K$289,$A13),"")</f>
        <v>3.75</v>
      </c>
      <c r="G13" s="27">
        <f>IFERROR(COUNTIFS(Clean_Data!$K$2:$K$289,$A13,Clean_Data!$W$2:$W$289,"Yes")/(COUNTIFS(Clean_Data!$K$2:$K$289,$A13,Clean_Data!$W$2:$W$289,"Yes")+COUNTIFS(Clean_Data!$K$2:$K$289,$A13,Clean_Data!$W$2:$W$289,"Maybe")+COUNTIFS(Clean_Data!$K$2:$K$289,$A13,Clean_Data!$W$2:$W$289,"No")),"")</f>
        <v>0.625</v>
      </c>
      <c r="H13" s="28">
        <f>IFERROR(AVERAGEIFS(Clean_Data!$U$2:$U$289,Clean_Data!$K$2:$K$289,$A13),"")</f>
        <v>6.5571428571428569</v>
      </c>
    </row>
    <row r="16" spans="1:8" ht="15.6" x14ac:dyDescent="0.3">
      <c r="A16" s="22" t="s">
        <v>32</v>
      </c>
    </row>
    <row r="17" spans="1:6" ht="30" customHeight="1" x14ac:dyDescent="0.3">
      <c r="A17" s="23" t="s">
        <v>33</v>
      </c>
      <c r="B17" s="24" t="s">
        <v>17</v>
      </c>
      <c r="C17" s="24" t="s">
        <v>34</v>
      </c>
      <c r="D17" s="24" t="s">
        <v>35</v>
      </c>
      <c r="E17" s="24" t="s">
        <v>20</v>
      </c>
      <c r="F17" s="24" t="s">
        <v>23</v>
      </c>
    </row>
    <row r="18" spans="1:6" x14ac:dyDescent="0.3">
      <c r="A18" s="25" t="s">
        <v>36</v>
      </c>
      <c r="B18" s="26">
        <f>COUNTIFS(Clean_Data!$L$2:$L$289,$A18)</f>
        <v>65</v>
      </c>
      <c r="C18" s="26">
        <f>COUNTIFS(Clean_Data!$L$2:$L$289,$A18,Clean_Data!$F$2:$F$289,"Student")</f>
        <v>28</v>
      </c>
      <c r="D18" s="26">
        <f>COUNTIFS(Clean_Data!$L$2:$L$289,$A18,Clean_Data!$F$2:$F$289,"Professional")</f>
        <v>37</v>
      </c>
      <c r="E18" s="28">
        <f>IFERROR(AVERAGEIFS(Clean_Data!$R$2:$R$289,Clean_Data!$L$2:$L$289,$A18),"")</f>
        <v>4.9444444444444455</v>
      </c>
      <c r="F18" s="28">
        <f>IFERROR(AVERAGEIFS(Clean_Data!$U$2:$U$289,Clean_Data!$L$2:$L$289,$A18),"")</f>
        <v>5.6249999999999991</v>
      </c>
    </row>
    <row r="19" spans="1:6" x14ac:dyDescent="0.3">
      <c r="A19" s="25" t="s">
        <v>37</v>
      </c>
      <c r="B19" s="26">
        <f>COUNTIFS(Clean_Data!$L$2:$L$289,$A19)</f>
        <v>49</v>
      </c>
      <c r="C19" s="26">
        <f>COUNTIFS(Clean_Data!$L$2:$L$289,$A19,Clean_Data!$F$2:$F$289,"Student")</f>
        <v>29</v>
      </c>
      <c r="D19" s="26">
        <f>COUNTIFS(Clean_Data!$L$2:$L$289,$A19,Clean_Data!$F$2:$F$289,"Professional")</f>
        <v>20</v>
      </c>
      <c r="E19" s="28">
        <f>IFERROR(AVERAGEIFS(Clean_Data!$R$2:$R$289,Clean_Data!$L$2:$L$289,$A19),"")</f>
        <v>5.542553191489362</v>
      </c>
      <c r="F19" s="28">
        <f>IFERROR(AVERAGEIFS(Clean_Data!$U$2:$U$289,Clean_Data!$L$2:$L$289,$A19),"")</f>
        <v>7.0234042553191509</v>
      </c>
    </row>
    <row r="20" spans="1:6" x14ac:dyDescent="0.3">
      <c r="A20" s="25" t="s">
        <v>38</v>
      </c>
      <c r="B20" s="26">
        <f>COUNTIFS(Clean_Data!$L$2:$L$289,$A20)</f>
        <v>39</v>
      </c>
      <c r="C20" s="26">
        <f>COUNTIFS(Clean_Data!$L$2:$L$289,$A20,Clean_Data!$F$2:$F$289,"Student")</f>
        <v>39</v>
      </c>
      <c r="D20" s="26">
        <f>COUNTIFS(Clean_Data!$L$2:$L$289,$A20,Clean_Data!$F$2:$F$289,"Professional")</f>
        <v>0</v>
      </c>
      <c r="E20" s="28">
        <f>IFERROR(AVERAGEIFS(Clean_Data!$R$2:$R$289,Clean_Data!$L$2:$L$289,$A20),"")</f>
        <v>5.0447368421052641</v>
      </c>
      <c r="F20" s="28">
        <f>IFERROR(AVERAGEIFS(Clean_Data!$U$2:$U$289,Clean_Data!$L$2:$L$289,$A20),"")</f>
        <v>5.2461538461538462</v>
      </c>
    </row>
    <row r="21" spans="1:6" x14ac:dyDescent="0.3">
      <c r="A21" s="25" t="s">
        <v>39</v>
      </c>
      <c r="B21" s="26">
        <f>COUNTIFS(Clean_Data!$L$2:$L$289,$A21)</f>
        <v>38</v>
      </c>
      <c r="C21" s="26">
        <f>COUNTIFS(Clean_Data!$L$2:$L$289,$A21,Clean_Data!$F$2:$F$289,"Student")</f>
        <v>27</v>
      </c>
      <c r="D21" s="26">
        <f>COUNTIFS(Clean_Data!$L$2:$L$289,$A21,Clean_Data!$F$2:$F$289,"Professional")</f>
        <v>11</v>
      </c>
      <c r="E21" s="28">
        <f>IFERROR(AVERAGEIFS(Clean_Data!$R$2:$R$289,Clean_Data!$L$2:$L$289,$A21),"")</f>
        <v>5.3514285714285723</v>
      </c>
      <c r="F21" s="28">
        <f>IFERROR(AVERAGEIFS(Clean_Data!$U$2:$U$289,Clean_Data!$L$2:$L$289,$A21),"")</f>
        <v>6.2973684210526315</v>
      </c>
    </row>
    <row r="22" spans="1:6" x14ac:dyDescent="0.3">
      <c r="A22" s="25" t="s">
        <v>40</v>
      </c>
      <c r="B22" s="26">
        <f>COUNTIFS(Clean_Data!$L$2:$L$289,$A22)</f>
        <v>28</v>
      </c>
      <c r="C22" s="26">
        <f>COUNTIFS(Clean_Data!$L$2:$L$289,$A22,Clean_Data!$F$2:$F$289,"Student")</f>
        <v>13</v>
      </c>
      <c r="D22" s="26">
        <f>COUNTIFS(Clean_Data!$L$2:$L$289,$A22,Clean_Data!$F$2:$F$289,"Professional")</f>
        <v>15</v>
      </c>
      <c r="E22" s="28">
        <f>IFERROR(AVERAGEIFS(Clean_Data!$R$2:$R$289,Clean_Data!$L$2:$L$289,$A22),"")</f>
        <v>5.0999999999999988</v>
      </c>
      <c r="F22" s="28">
        <f>IFERROR(AVERAGEIFS(Clean_Data!$U$2:$U$289,Clean_Data!$L$2:$L$289,$A22),"")</f>
        <v>5.4464285714285703</v>
      </c>
    </row>
    <row r="23" spans="1:6" x14ac:dyDescent="0.3">
      <c r="A23" s="25" t="s">
        <v>41</v>
      </c>
      <c r="B23" s="26">
        <f>COUNTIFS(Clean_Data!$L$2:$L$289,$A23)</f>
        <v>25</v>
      </c>
      <c r="C23" s="26">
        <f>COUNTIFS(Clean_Data!$L$2:$L$289,$A23,Clean_Data!$F$2:$F$289,"Student")</f>
        <v>7</v>
      </c>
      <c r="D23" s="26">
        <f>COUNTIFS(Clean_Data!$L$2:$L$289,$A23,Clean_Data!$F$2:$F$289,"Professional")</f>
        <v>18</v>
      </c>
      <c r="E23" s="28">
        <f>IFERROR(AVERAGEIFS(Clean_Data!$R$2:$R$289,Clean_Data!$L$2:$L$289,$A23),"")</f>
        <v>5.3954545454545446</v>
      </c>
      <c r="F23" s="28">
        <f>IFERROR(AVERAGEIFS(Clean_Data!$U$2:$U$289,Clean_Data!$L$2:$L$289,$A23),"")</f>
        <v>5.1916666666666682</v>
      </c>
    </row>
    <row r="24" spans="1:6" x14ac:dyDescent="0.3">
      <c r="A24" s="25" t="s">
        <v>42</v>
      </c>
      <c r="B24" s="26">
        <f>COUNTIFS(Clean_Data!$L$2:$L$289,$A24)</f>
        <v>20</v>
      </c>
      <c r="C24" s="26">
        <f>COUNTIFS(Clean_Data!$L$2:$L$289,$A24,Clean_Data!$F$2:$F$289,"Student")</f>
        <v>0</v>
      </c>
      <c r="D24" s="26">
        <f>COUNTIFS(Clean_Data!$L$2:$L$289,$A24,Clean_Data!$F$2:$F$289,"Professional")</f>
        <v>20</v>
      </c>
      <c r="E24" s="28">
        <f>IFERROR(AVERAGEIFS(Clean_Data!$R$2:$R$289,Clean_Data!$L$2:$L$289,$A24),"")</f>
        <v>5.56</v>
      </c>
      <c r="F24" s="28">
        <f>IFERROR(AVERAGEIFS(Clean_Data!$U$2:$U$289,Clean_Data!$L$2:$L$289,$A24),"")</f>
        <v>4.8235294117647056</v>
      </c>
    </row>
    <row r="25" spans="1:6" x14ac:dyDescent="0.3">
      <c r="A25" s="25" t="s">
        <v>43</v>
      </c>
      <c r="B25" s="26">
        <f>COUNTIFS(Clean_Data!$L$2:$L$289,$A25)</f>
        <v>11</v>
      </c>
      <c r="C25" s="26">
        <f>COUNTIFS(Clean_Data!$L$2:$L$289,$A25,Clean_Data!$F$2:$F$289,"Student")</f>
        <v>0</v>
      </c>
      <c r="D25" s="26">
        <f>COUNTIFS(Clean_Data!$L$2:$L$289,$A25,Clean_Data!$F$2:$F$289,"Professional")</f>
        <v>11</v>
      </c>
      <c r="E25" s="28">
        <f>IFERROR(AVERAGEIFS(Clean_Data!$R$2:$R$289,Clean_Data!$L$2:$L$289,$A25),"")</f>
        <v>5.9454545454545462</v>
      </c>
      <c r="F25" s="28">
        <f>IFERROR(AVERAGEIFS(Clean_Data!$U$2:$U$289,Clean_Data!$L$2:$L$289,$A25),"")</f>
        <v>7.2555555555555555</v>
      </c>
    </row>
    <row r="28" spans="1:6" ht="15.6" x14ac:dyDescent="0.3">
      <c r="A28" s="22" t="s">
        <v>44</v>
      </c>
    </row>
    <row r="29" spans="1:6" x14ac:dyDescent="0.3">
      <c r="A29" s="29" t="s">
        <v>45</v>
      </c>
      <c r="B29" s="30" t="s">
        <v>46</v>
      </c>
      <c r="C29" s="30" t="s">
        <v>47</v>
      </c>
      <c r="D29" s="30" t="s">
        <v>48</v>
      </c>
    </row>
    <row r="30" spans="1:6" x14ac:dyDescent="0.3">
      <c r="A30" s="25" t="s">
        <v>17</v>
      </c>
      <c r="B30" s="26">
        <f>COUNTIFS(Clean_Data!$F$2:$F$289,"Student")</f>
        <v>151</v>
      </c>
      <c r="C30" s="26">
        <f>COUNTIFS(Clean_Data!$F$2:$F$289,"Professional")</f>
        <v>137</v>
      </c>
      <c r="D30" s="26">
        <f>COUNTA(Clean_Data!$A$2:$A$289)</f>
        <v>288</v>
      </c>
    </row>
    <row r="31" spans="1:6" x14ac:dyDescent="0.3">
      <c r="A31" s="25" t="s">
        <v>49</v>
      </c>
      <c r="B31" s="28">
        <f>IFERROR(AVERAGEIFS(Clean_Data!$B$2:$B$289,Clean_Data!$F$2:$F$289,"Student"),"")</f>
        <v>22.191176470588236</v>
      </c>
      <c r="C31" s="28">
        <f>IFERROR(AVERAGEIFS(Clean_Data!$B$2:$B$289,Clean_Data!$F$2:$F$289,"Professional"),"")</f>
        <v>37.566929133858267</v>
      </c>
      <c r="D31" s="28">
        <f>IFERROR(AVERAGE(Clean_Data!$B$2:$B$289),"")</f>
        <v>29.615969581749049</v>
      </c>
    </row>
    <row r="32" spans="1:6" x14ac:dyDescent="0.3">
      <c r="A32" s="25" t="s">
        <v>50</v>
      </c>
      <c r="B32" s="31">
        <f>IFERROR(AVERAGEIFS(Clean_Data!$J$2:$J$289,Clean_Data!$F$2:$F$289,"Student"),"")</f>
        <v>211.86986301369862</v>
      </c>
      <c r="C32" s="31">
        <f>IFERROR(AVERAGEIFS(Clean_Data!$J$2:$J$289,Clean_Data!$F$2:$F$289,"Professional"),"")</f>
        <v>2828.1603053435115</v>
      </c>
      <c r="D32" s="31">
        <f>IFERROR(AVERAGE(Clean_Data!$J$2:$J$289),"")</f>
        <v>1449.1768953068593</v>
      </c>
    </row>
    <row r="33" spans="1:4" x14ac:dyDescent="0.3">
      <c r="A33" s="25" t="s">
        <v>51</v>
      </c>
      <c r="B33" s="28">
        <f>IFERROR(AVERAGEIFS(Clean_Data!$M$2:$M$289,Clean_Data!$F$2:$F$289,"Student"),"")</f>
        <v>3.006849315068493</v>
      </c>
      <c r="C33" s="28">
        <f>IFERROR(AVERAGEIFS(Clean_Data!$M$2:$M$289,Clean_Data!$F$2:$F$289,"Professional"),"")</f>
        <v>2.7208955223880587</v>
      </c>
      <c r="D33" s="28">
        <f>IFERROR(AVERAGE(Clean_Data!$M$2:$M$289),"")</f>
        <v>2.8699999999999983</v>
      </c>
    </row>
    <row r="34" spans="1:4" x14ac:dyDescent="0.3">
      <c r="A34" s="25" t="s">
        <v>52</v>
      </c>
      <c r="B34" s="28">
        <f>IFERROR(AVERAGEIFS(Clean_Data!$N$2:$N$289,Clean_Data!$F$2:$F$289,"Student"),"")</f>
        <v>6.2312499999999993</v>
      </c>
      <c r="C34" s="28">
        <f>IFERROR(AVERAGEIFS(Clean_Data!$N$2:$N$289,Clean_Data!$F$2:$F$289,"Professional"),"")</f>
        <v>8.3437037037037047</v>
      </c>
      <c r="D34" s="28">
        <f>IFERROR(AVERAGE(Clean_Data!$N$2:$N$289),"")</f>
        <v>7.2534050179211498</v>
      </c>
    </row>
    <row r="35" spans="1:4" x14ac:dyDescent="0.3">
      <c r="A35" s="25" t="s">
        <v>53</v>
      </c>
      <c r="B35" s="28">
        <f>IFERROR(AVERAGEIFS(Clean_Data!$R$2:$R$289,Clean_Data!$F$2:$F$289,"Student"),"")</f>
        <v>5.1923076923076907</v>
      </c>
      <c r="C35" s="28">
        <f>IFERROR(AVERAGEIFS(Clean_Data!$R$2:$R$289,Clean_Data!$F$2:$F$289,"Professional"),"")</f>
        <v>5.2816793893129752</v>
      </c>
      <c r="D35" s="28">
        <f>IFERROR(AVERAGE(Clean_Data!$R$2:$R$289),"")</f>
        <v>5.2350364963503653</v>
      </c>
    </row>
    <row r="36" spans="1:4" x14ac:dyDescent="0.3">
      <c r="A36" s="25" t="s">
        <v>54</v>
      </c>
      <c r="B36" s="28">
        <f>IFERROR(AVERAGEIFS(Clean_Data!$S$2:$S$289,Clean_Data!$F$2:$F$289,"Student"),"")</f>
        <v>3.3661971830985915</v>
      </c>
      <c r="C36" s="28">
        <f>IFERROR(AVERAGEIFS(Clean_Data!$S$2:$S$289,Clean_Data!$F$2:$F$289,"Professional"),"")</f>
        <v>3.4696969696969697</v>
      </c>
      <c r="D36" s="28">
        <f>IFERROR(AVERAGE(Clean_Data!$S$2:$S$289),"")</f>
        <v>3.4160583941605838</v>
      </c>
    </row>
    <row r="37" spans="1:4" x14ac:dyDescent="0.3">
      <c r="A37" s="25" t="s">
        <v>55</v>
      </c>
      <c r="B37" s="28">
        <f>IFERROR(AVERAGEIFS(Clean_Data!$T$2:$T$289,Clean_Data!$F$2:$F$289,"Student"),"")</f>
        <v>6.1866666666666665</v>
      </c>
      <c r="C37" s="28">
        <f>IFERROR(AVERAGEIFS(Clean_Data!$T$2:$T$289,Clean_Data!$F$2:$F$289,"Professional"),"")</f>
        <v>6.0687022900763354</v>
      </c>
      <c r="D37" s="28">
        <f>IFERROR(AVERAGE(Clean_Data!$T$2:$T$289),"")</f>
        <v>6.1316725978647684</v>
      </c>
    </row>
    <row r="38" spans="1:4" x14ac:dyDescent="0.3">
      <c r="A38" s="25" t="s">
        <v>56</v>
      </c>
      <c r="B38" s="28">
        <f>IFERROR(AVERAGEIFS(Clean_Data!$U$2:$U$289,Clean_Data!$F$2:$F$289,"Student"),"")</f>
        <v>6.0351351351351346</v>
      </c>
      <c r="C38" s="28">
        <f>IFERROR(AVERAGEIFS(Clean_Data!$U$2:$U$289,Clean_Data!$F$2:$F$289,"Professional"),"")</f>
        <v>5.5538461538461537</v>
      </c>
      <c r="D38" s="28">
        <f>IFERROR(AVERAGE(Clean_Data!$U$2:$U$289),"")</f>
        <v>5.8100719424460445</v>
      </c>
    </row>
    <row r="39" spans="1:4" x14ac:dyDescent="0.3">
      <c r="A39" s="25" t="s">
        <v>57</v>
      </c>
      <c r="B39" s="27">
        <f>IFERROR(COUNTIFS(Clean_Data!$Q$2:$Q$289,"Paid",Clean_Data!$F$2:$F$289,"Student")/(COUNTIFS(Clean_Data!$Q$2:$Q$289,"Paid",Clean_Data!$F$2:$F$289,"Student")+COUNTIFS(Clean_Data!$Q$2:$Q$289,"Free",Clean_Data!$F$2:$F$289,"Student")),"")</f>
        <v>0.47651006711409394</v>
      </c>
      <c r="C39" s="27">
        <f>IFERROR(COUNTIFS(Clean_Data!$Q$2:$Q$289,"Paid",Clean_Data!$F$2:$F$289,"Professional")/(COUNTIFS(Clean_Data!$Q$2:$Q$289,"Paid",Clean_Data!$F$2:$F$289,"Professional")+COUNTIFS(Clean_Data!$Q$2:$Q$289,"Free",Clean_Data!$F$2:$F$289,"Professional")),"")</f>
        <v>0.45669291338582679</v>
      </c>
      <c r="D39" s="27">
        <f>IFERROR(COUNTIFS(Clean_Data!$Q$2:$Q$289,"Paid")/(COUNTIFS(Clean_Data!$Q$2:$Q$289,"Paid")+COUNTIFS(Clean_Data!$Q$2:$Q$289,"Free")),"")</f>
        <v>0.46739130434782611</v>
      </c>
    </row>
    <row r="40" spans="1:4" x14ac:dyDescent="0.3">
      <c r="A40" s="25" t="s">
        <v>58</v>
      </c>
      <c r="B40" s="27">
        <f>IFERROR(COUNTIFS(Clean_Data!$W$2:$W$289,"Yes",Clean_Data!$F$2:$F$289,"Student")/(COUNTIFS(Clean_Data!$W$2:$W$289,"Yes",Clean_Data!$F$2:$F$289,"Student")+COUNTIFS(Clean_Data!$W$2:$W$289,"Maybe",Clean_Data!$F$2:$F$289,"Student")+COUNTIFS(Clean_Data!$W$2:$W$289,"No",Clean_Data!$F$2:$F$289,"Student")),"")</f>
        <v>0.61073825503355705</v>
      </c>
      <c r="C40" s="27">
        <f>IFERROR(COUNTIFS(Clean_Data!$W$2:$W$289,"Yes",Clean_Data!$F$2:$F$289,"Professional")/(COUNTIFS(Clean_Data!$W$2:$W$289,"Yes",Clean_Data!$F$2:$F$289,"Professional")+COUNTIFS(Clean_Data!$W$2:$W$289,"Maybe",Clean_Data!$F$2:$F$289,"Professional")+COUNTIFS(Clean_Data!$W$2:$W$289,"No",Clean_Data!$F$2:$F$289,"Professional")),"")</f>
        <v>0.58955223880597019</v>
      </c>
      <c r="D40" s="27">
        <f>IFERROR(COUNTIFS(Clean_Data!$W$2:$W$289,"Yes")/(COUNTIFS(Clean_Data!$W$2:$W$289,"Yes")+COUNTIFS(Clean_Data!$W$2:$W$289,"Maybe")+COUNTIFS(Clean_Data!$W$2:$W$289,"No")),"")</f>
        <v>0.60070671378091878</v>
      </c>
    </row>
    <row r="43" spans="1:4" ht="15.6" x14ac:dyDescent="0.3">
      <c r="A43" s="22" t="s">
        <v>59</v>
      </c>
    </row>
    <row r="44" spans="1:4" ht="30" customHeight="1" x14ac:dyDescent="0.3">
      <c r="A44" s="23" t="s">
        <v>60</v>
      </c>
      <c r="B44" s="24" t="s">
        <v>17</v>
      </c>
      <c r="C44" s="24" t="s">
        <v>19</v>
      </c>
      <c r="D44" s="24" t="s">
        <v>23</v>
      </c>
    </row>
    <row r="45" spans="1:4" x14ac:dyDescent="0.3">
      <c r="A45" s="25" t="s">
        <v>61</v>
      </c>
      <c r="B45" s="26">
        <f>COUNTIFS(Clean_Data!$E$2:$E$289,$A45)</f>
        <v>43</v>
      </c>
      <c r="C45" s="28">
        <f>IFERROR(AVERAGEIFS(Clean_Data!$T$2:$T$289,Clean_Data!$E$2:$E$289,$A45),"")</f>
        <v>6.3571428571428568</v>
      </c>
      <c r="D45" s="28">
        <f>IFERROR(AVERAGEIFS(Clean_Data!$U$2:$U$289,Clean_Data!$E$2:$E$289,$A45),"")</f>
        <v>5.2547619047619047</v>
      </c>
    </row>
    <row r="46" spans="1:4" x14ac:dyDescent="0.3">
      <c r="A46" s="25" t="s">
        <v>62</v>
      </c>
      <c r="B46" s="26">
        <f>COUNTIFS(Clean_Data!$E$2:$E$289,$A46)</f>
        <v>34</v>
      </c>
      <c r="C46" s="28">
        <f>IFERROR(AVERAGEIFS(Clean_Data!$T$2:$T$289,Clean_Data!$E$2:$E$289,$A46),"")</f>
        <v>6.0588235294117645</v>
      </c>
      <c r="D46" s="28">
        <f>IFERROR(AVERAGEIFS(Clean_Data!$U$2:$U$289,Clean_Data!$E$2:$E$289,$A46),"")</f>
        <v>6.4124999999999988</v>
      </c>
    </row>
    <row r="47" spans="1:4" x14ac:dyDescent="0.3">
      <c r="A47" s="25" t="s">
        <v>63</v>
      </c>
      <c r="B47" s="26">
        <f>COUNTIFS(Clean_Data!$E$2:$E$289,$A47)</f>
        <v>31</v>
      </c>
      <c r="C47" s="28">
        <f>IFERROR(AVERAGEIFS(Clean_Data!$T$2:$T$289,Clean_Data!$E$2:$E$289,$A47),"")</f>
        <v>6.32258064516129</v>
      </c>
      <c r="D47" s="28">
        <f>IFERROR(AVERAGEIFS(Clean_Data!$U$2:$U$289,Clean_Data!$E$2:$E$289,$A47),"")</f>
        <v>6.4933333333333341</v>
      </c>
    </row>
    <row r="48" spans="1:4" x14ac:dyDescent="0.3">
      <c r="A48" s="25" t="s">
        <v>64</v>
      </c>
      <c r="B48" s="26">
        <f>COUNTIFS(Clean_Data!$E$2:$E$289,$A48)</f>
        <v>28</v>
      </c>
      <c r="C48" s="28">
        <f>IFERROR(AVERAGEIFS(Clean_Data!$T$2:$T$289,Clean_Data!$E$2:$E$289,$A48),"")</f>
        <v>5.8214285714285712</v>
      </c>
      <c r="D48" s="28">
        <f>IFERROR(AVERAGEIFS(Clean_Data!$U$2:$U$289,Clean_Data!$E$2:$E$289,$A48),"")</f>
        <v>6.48</v>
      </c>
    </row>
    <row r="49" spans="1:5" x14ac:dyDescent="0.3">
      <c r="A49" s="25" t="s">
        <v>65</v>
      </c>
      <c r="B49" s="26">
        <f>COUNTIFS(Clean_Data!$E$2:$E$289,$A49)</f>
        <v>26</v>
      </c>
      <c r="C49" s="28">
        <f>IFERROR(AVERAGEIFS(Clean_Data!$T$2:$T$289,Clean_Data!$E$2:$E$289,$A49),"")</f>
        <v>6.5384615384615383</v>
      </c>
      <c r="D49" s="28">
        <f>IFERROR(AVERAGEIFS(Clean_Data!$U$2:$U$289,Clean_Data!$E$2:$E$289,$A49),"")</f>
        <v>5.7846153846153845</v>
      </c>
    </row>
    <row r="50" spans="1:5" x14ac:dyDescent="0.3">
      <c r="A50" s="25" t="s">
        <v>66</v>
      </c>
      <c r="B50" s="26">
        <f>COUNTIFS(Clean_Data!$E$2:$E$289,$A50)</f>
        <v>26</v>
      </c>
      <c r="C50" s="28">
        <f>IFERROR(AVERAGEIFS(Clean_Data!$T$2:$T$289,Clean_Data!$E$2:$E$289,$A50),"")</f>
        <v>6</v>
      </c>
      <c r="D50" s="28">
        <f>IFERROR(AVERAGEIFS(Clean_Data!$U$2:$U$289,Clean_Data!$E$2:$E$289,$A50),"")</f>
        <v>4.0680000000000005</v>
      </c>
    </row>
    <row r="51" spans="1:5" x14ac:dyDescent="0.3">
      <c r="A51" s="25" t="s">
        <v>67</v>
      </c>
      <c r="B51" s="26">
        <f>COUNTIFS(Clean_Data!$E$2:$E$289,$A51)</f>
        <v>24</v>
      </c>
      <c r="C51" s="28">
        <f>IFERROR(AVERAGEIFS(Clean_Data!$T$2:$T$289,Clean_Data!$E$2:$E$289,$A51),"")</f>
        <v>6.25</v>
      </c>
      <c r="D51" s="28">
        <f>IFERROR(AVERAGEIFS(Clean_Data!$U$2:$U$289,Clean_Data!$E$2:$E$289,$A51),"")</f>
        <v>6.0750000000000002</v>
      </c>
    </row>
    <row r="52" spans="1:5" x14ac:dyDescent="0.3">
      <c r="A52" s="25" t="s">
        <v>68</v>
      </c>
      <c r="B52" s="26">
        <f>COUNTIFS(Clean_Data!$E$2:$E$289,$A52)</f>
        <v>20</v>
      </c>
      <c r="C52" s="28">
        <f>IFERROR(AVERAGEIFS(Clean_Data!$T$2:$T$289,Clean_Data!$E$2:$E$289,$A52),"")</f>
        <v>6</v>
      </c>
      <c r="D52" s="28">
        <f>IFERROR(AVERAGEIFS(Clean_Data!$U$2:$U$289,Clean_Data!$E$2:$E$289,$A52),"")</f>
        <v>6.4450000000000003</v>
      </c>
    </row>
    <row r="53" spans="1:5" x14ac:dyDescent="0.3">
      <c r="A53" s="25" t="s">
        <v>69</v>
      </c>
      <c r="B53" s="26">
        <f>COUNTIFS(Clean_Data!$E$2:$E$289,$A53)</f>
        <v>17</v>
      </c>
      <c r="C53" s="28">
        <f>IFERROR(AVERAGEIFS(Clean_Data!$T$2:$T$289,Clean_Data!$E$2:$E$289,$A53),"")</f>
        <v>5.8666666666666663</v>
      </c>
      <c r="D53" s="28">
        <f>IFERROR(AVERAGEIFS(Clean_Data!$U$2:$U$289,Clean_Data!$E$2:$E$289,$A53),"")</f>
        <v>5.4375000000000009</v>
      </c>
    </row>
    <row r="54" spans="1:5" x14ac:dyDescent="0.3">
      <c r="A54" s="25" t="s">
        <v>70</v>
      </c>
      <c r="B54" s="26">
        <f>COUNTIFS(Clean_Data!$E$2:$E$289,$A54)</f>
        <v>13</v>
      </c>
      <c r="C54" s="28">
        <f>IFERROR(AVERAGEIFS(Clean_Data!$T$2:$T$289,Clean_Data!$E$2:$E$289,$A54),"")</f>
        <v>5.416666666666667</v>
      </c>
      <c r="D54" s="28">
        <f>IFERROR(AVERAGEIFS(Clean_Data!$U$2:$U$289,Clean_Data!$E$2:$E$289,$A54),"")</f>
        <v>4.5384615384615383</v>
      </c>
    </row>
    <row r="57" spans="1:5" ht="15.6" x14ac:dyDescent="0.3">
      <c r="A57" s="22" t="s">
        <v>71</v>
      </c>
    </row>
    <row r="58" spans="1:5" ht="30" customHeight="1" x14ac:dyDescent="0.3">
      <c r="A58" s="23" t="s">
        <v>72</v>
      </c>
      <c r="B58" s="24" t="s">
        <v>17</v>
      </c>
      <c r="C58" s="24" t="s">
        <v>73</v>
      </c>
      <c r="D58" s="24" t="s">
        <v>23</v>
      </c>
      <c r="E58" s="24" t="s">
        <v>20</v>
      </c>
    </row>
    <row r="59" spans="1:5" x14ac:dyDescent="0.3">
      <c r="A59" s="25" t="s">
        <v>74</v>
      </c>
      <c r="B59" s="26">
        <f>COUNTIFS(Clean_Data!$C$2:$C$289,$A59)</f>
        <v>19</v>
      </c>
      <c r="C59" s="28">
        <f>IFERROR(AVERAGEIFS(Clean_Data!$M$2:$M$289,Clean_Data!$C$2:$C$289,$A59),"")</f>
        <v>3.4842105263157896</v>
      </c>
      <c r="D59" s="28">
        <f>IFERROR(AVERAGEIFS(Clean_Data!$U$2:$U$289,Clean_Data!$C$2:$C$289,$A59),"")</f>
        <v>6.9526315789473685</v>
      </c>
      <c r="E59" s="28">
        <f>IFERROR(AVERAGEIFS(Clean_Data!$R$2:$R$289,Clean_Data!$C$2:$C$289,$A59),"")</f>
        <v>5.6722222222222225</v>
      </c>
    </row>
    <row r="60" spans="1:5" x14ac:dyDescent="0.3">
      <c r="A60" s="25" t="s">
        <v>75</v>
      </c>
      <c r="B60" s="26">
        <f>COUNTIFS(Clean_Data!$C$2:$C$289,$A60)</f>
        <v>100</v>
      </c>
      <c r="C60" s="28">
        <f>IFERROR(AVERAGEIFS(Clean_Data!$M$2:$M$289,Clean_Data!$C$2:$C$289,$A60),"")</f>
        <v>2.9812499999999993</v>
      </c>
      <c r="D60" s="28">
        <f>IFERROR(AVERAGEIFS(Clean_Data!$U$2:$U$289,Clean_Data!$C$2:$C$289,$A60),"")</f>
        <v>5.978787878787875</v>
      </c>
      <c r="E60" s="28">
        <f>IFERROR(AVERAGEIFS(Clean_Data!$R$2:$R$289,Clean_Data!$C$2:$C$289,$A60),"")</f>
        <v>5.1659793814432984</v>
      </c>
    </row>
    <row r="61" spans="1:5" x14ac:dyDescent="0.3">
      <c r="A61" s="25" t="s">
        <v>76</v>
      </c>
      <c r="B61" s="26">
        <f>COUNTIFS(Clean_Data!$C$2:$C$289,$A61)</f>
        <v>74</v>
      </c>
      <c r="C61" s="28">
        <f>IFERROR(AVERAGEIFS(Clean_Data!$M$2:$M$289,Clean_Data!$C$2:$C$289,$A61),"")</f>
        <v>2.5444444444444456</v>
      </c>
      <c r="D61" s="28">
        <f>IFERROR(AVERAGEIFS(Clean_Data!$U$2:$U$289,Clean_Data!$C$2:$C$289,$A61),"")</f>
        <v>5.2273972602739729</v>
      </c>
      <c r="E61" s="28">
        <f>IFERROR(AVERAGEIFS(Clean_Data!$R$2:$R$289,Clean_Data!$C$2:$C$289,$A61),"")</f>
        <v>5.1739130434782608</v>
      </c>
    </row>
    <row r="62" spans="1:5" x14ac:dyDescent="0.3">
      <c r="A62" s="25" t="s">
        <v>77</v>
      </c>
      <c r="B62" s="26">
        <f>COUNTIFS(Clean_Data!$C$2:$C$289,$A62)</f>
        <v>42</v>
      </c>
      <c r="C62" s="28">
        <f>IFERROR(AVERAGEIFS(Clean_Data!$M$2:$M$289,Clean_Data!$C$2:$C$289,$A62),"")</f>
        <v>2.639024390243903</v>
      </c>
      <c r="D62" s="28">
        <f>IFERROR(AVERAGEIFS(Clean_Data!$U$2:$U$289,Clean_Data!$C$2:$C$289,$A62),"")</f>
        <v>5.3463414634146336</v>
      </c>
      <c r="E62" s="28">
        <f>IFERROR(AVERAGEIFS(Clean_Data!$R$2:$R$289,Clean_Data!$C$2:$C$289,$A62),"")</f>
        <v>5.1789473684210536</v>
      </c>
    </row>
    <row r="63" spans="1:5" x14ac:dyDescent="0.3">
      <c r="A63" s="25" t="s">
        <v>78</v>
      </c>
      <c r="B63" s="26">
        <f>COUNTIFS(Clean_Data!$C$2:$C$289,$A63)</f>
        <v>28</v>
      </c>
      <c r="C63" s="28">
        <f>IFERROR(AVERAGEIFS(Clean_Data!$M$2:$M$289,Clean_Data!$C$2:$C$289,$A63),"")</f>
        <v>2.5074074074074075</v>
      </c>
      <c r="D63" s="28">
        <f>IFERROR(AVERAGEIFS(Clean_Data!$U$2:$U$289,Clean_Data!$C$2:$C$289,$A63),"")</f>
        <v>5.62</v>
      </c>
      <c r="E63" s="28">
        <f>IFERROR(AVERAGEIFS(Clean_Data!$R$2:$R$289,Clean_Data!$C$2:$C$289,$A63),"")</f>
        <v>5.1333333333333329</v>
      </c>
    </row>
    <row r="66" spans="1:6" ht="15.6" x14ac:dyDescent="0.3">
      <c r="A66" s="22" t="s">
        <v>79</v>
      </c>
    </row>
    <row r="67" spans="1:6" ht="30" customHeight="1" x14ac:dyDescent="0.3">
      <c r="A67" s="23" t="s">
        <v>80</v>
      </c>
      <c r="B67" s="24" t="s">
        <v>17</v>
      </c>
      <c r="C67" s="24" t="s">
        <v>20</v>
      </c>
      <c r="D67" s="24" t="s">
        <v>19</v>
      </c>
      <c r="E67" s="24" t="s">
        <v>23</v>
      </c>
      <c r="F67" s="24" t="s">
        <v>22</v>
      </c>
    </row>
    <row r="68" spans="1:6" x14ac:dyDescent="0.3">
      <c r="A68" s="25" t="s">
        <v>81</v>
      </c>
      <c r="B68" s="26">
        <f>COUNTIFS(Clean_Data!$Q$2:$Q$289,$A68)</f>
        <v>147</v>
      </c>
      <c r="C68" s="28">
        <f>IFERROR(AVERAGEIFS(Clean_Data!$R$2:$R$289,Clean_Data!$Q$2:$Q$289,$A68),"")</f>
        <v>5.3985714285714259</v>
      </c>
      <c r="D68" s="28">
        <f>IFERROR(AVERAGEIFS(Clean_Data!$T$2:$T$289,Clean_Data!$Q$2:$Q$289,$A68),"")</f>
        <v>6.23943661971831</v>
      </c>
      <c r="E68" s="28">
        <f>IFERROR(AVERAGEIFS(Clean_Data!$U$2:$U$289,Clean_Data!$Q$2:$Q$289,$A68),"")</f>
        <v>5.8381944444444445</v>
      </c>
      <c r="F68" s="27">
        <f>IFERROR(COUNTIFS(Clean_Data!$Q$2:$Q$289,$A68,Clean_Data!$W$2:$W$289,"Yes")/(COUNTIFS(Clean_Data!$Q$2:$Q$289,$A68,Clean_Data!$W$2:$W$289,"Yes")+COUNTIFS(Clean_Data!$Q$2:$Q$289,$A68,Clean_Data!$W$2:$W$289,"Maybe")+COUNTIFS(Clean_Data!$Q$2:$Q$289,$A68,Clean_Data!$W$2:$W$289,"No")),"")</f>
        <v>0.66206896551724137</v>
      </c>
    </row>
    <row r="69" spans="1:6" x14ac:dyDescent="0.3">
      <c r="A69" s="25" t="s">
        <v>82</v>
      </c>
      <c r="B69" s="26">
        <f>COUNTIFS(Clean_Data!$Q$2:$Q$289,$A69)</f>
        <v>129</v>
      </c>
      <c r="C69" s="28">
        <f>IFERROR(AVERAGEIFS(Clean_Data!$R$2:$R$289,Clean_Data!$Q$2:$Q$289,$A69),"")</f>
        <v>5.0499999999999989</v>
      </c>
      <c r="D69" s="28">
        <f>IFERROR(AVERAGEIFS(Clean_Data!$T$2:$T$289,Clean_Data!$Q$2:$Q$289,$A69),"")</f>
        <v>5.9763779527559056</v>
      </c>
      <c r="E69" s="28">
        <f>IFERROR(AVERAGEIFS(Clean_Data!$U$2:$U$289,Clean_Data!$Q$2:$Q$289,$A69),"")</f>
        <v>5.8950819672131125</v>
      </c>
      <c r="F69" s="27">
        <f>IFERROR(COUNTIFS(Clean_Data!$Q$2:$Q$289,$A69,Clean_Data!$W$2:$W$289,"Yes")/(COUNTIFS(Clean_Data!$Q$2:$Q$289,$A69,Clean_Data!$W$2:$W$289,"Yes")+COUNTIFS(Clean_Data!$Q$2:$Q$289,$A69,Clean_Data!$W$2:$W$289,"Maybe")+COUNTIFS(Clean_Data!$Q$2:$Q$289,$A69,Clean_Data!$W$2:$W$289,"No")),"")</f>
        <v>0.54761904761904767</v>
      </c>
    </row>
    <row r="72" spans="1:6" ht="15.6" x14ac:dyDescent="0.3">
      <c r="A72" s="22" t="s">
        <v>83</v>
      </c>
    </row>
    <row r="73" spans="1:6" ht="30" customHeight="1" x14ac:dyDescent="0.3">
      <c r="A73" s="23" t="s">
        <v>84</v>
      </c>
      <c r="B73" s="24" t="s">
        <v>17</v>
      </c>
      <c r="C73" s="24" t="s">
        <v>85</v>
      </c>
    </row>
    <row r="74" spans="1:6" x14ac:dyDescent="0.3">
      <c r="A74" s="25" t="s">
        <v>86</v>
      </c>
      <c r="B74" s="26">
        <f>COUNTIFS(Clean_Data!$W$2:$W$289,$A74)</f>
        <v>170</v>
      </c>
      <c r="C74" s="27">
        <f>B74/SUM(B$74:B$76)</f>
        <v>0.60070671378091878</v>
      </c>
    </row>
    <row r="75" spans="1:6" x14ac:dyDescent="0.3">
      <c r="A75" s="25" t="s">
        <v>87</v>
      </c>
      <c r="B75" s="26">
        <f>COUNTIFS(Clean_Data!$W$2:$W$289,$A75)</f>
        <v>42</v>
      </c>
      <c r="C75" s="27">
        <f>B75/SUM(B$74:B$76)</f>
        <v>0.14840989399293286</v>
      </c>
    </row>
    <row r="76" spans="1:6" x14ac:dyDescent="0.3">
      <c r="A76" s="25" t="s">
        <v>88</v>
      </c>
      <c r="B76" s="26">
        <f>COUNTIFS(Clean_Data!$W$2:$W$289,$A76)</f>
        <v>71</v>
      </c>
      <c r="C76" s="27">
        <f>B76/SUM(B$74:B$76)</f>
        <v>0.25088339222614842</v>
      </c>
    </row>
    <row r="79" spans="1:6" ht="15.6" x14ac:dyDescent="0.3">
      <c r="A79" s="22" t="s">
        <v>89</v>
      </c>
    </row>
    <row r="80" spans="1:6" ht="30" customHeight="1" x14ac:dyDescent="0.3">
      <c r="A80" s="23" t="s">
        <v>90</v>
      </c>
      <c r="B80" s="24" t="s">
        <v>17</v>
      </c>
      <c r="C80" s="24" t="s">
        <v>73</v>
      </c>
      <c r="D80" s="24" t="s">
        <v>23</v>
      </c>
      <c r="E80" s="24" t="s">
        <v>20</v>
      </c>
      <c r="F80" s="24" t="s">
        <v>19</v>
      </c>
    </row>
    <row r="81" spans="1:6" x14ac:dyDescent="0.3">
      <c r="A81" s="25" t="s">
        <v>91</v>
      </c>
      <c r="B81" s="26">
        <f>COUNTIFS(Clean_Data!$I$2:$I$289,$A81)</f>
        <v>77</v>
      </c>
      <c r="C81" s="28">
        <f>IFERROR(AVERAGEIFS(Clean_Data!$M$2:$M$289,Clean_Data!$I$2:$I$289,$A81),"")</f>
        <v>3.1616438356164389</v>
      </c>
      <c r="D81" s="28">
        <f>IFERROR(AVERAGEIFS(Clean_Data!$U$2:$U$289,Clean_Data!$I$2:$I$289,$A81),"")</f>
        <v>6.4106666666666658</v>
      </c>
      <c r="E81" s="28">
        <f>IFERROR(AVERAGEIFS(Clean_Data!$R$2:$R$289,Clean_Data!$I$2:$I$289,$A81),"")</f>
        <v>5.3666666666666663</v>
      </c>
      <c r="F81" s="28">
        <f>IFERROR(AVERAGEIFS(Clean_Data!$T$2:$T$289,Clean_Data!$I$2:$I$289,$A81),"")</f>
        <v>6.2638888888888893</v>
      </c>
    </row>
    <row r="82" spans="1:6" x14ac:dyDescent="0.3">
      <c r="A82" s="25" t="s">
        <v>92</v>
      </c>
      <c r="B82" s="26">
        <f>COUNTIFS(Clean_Data!$I$2:$I$289,$A82)</f>
        <v>74</v>
      </c>
      <c r="C82" s="28">
        <f>IFERROR(AVERAGEIFS(Clean_Data!$M$2:$M$289,Clean_Data!$I$2:$I$289,$A82),"")</f>
        <v>2.5597222222222222</v>
      </c>
      <c r="D82" s="28">
        <f>IFERROR(AVERAGEIFS(Clean_Data!$U$2:$U$289,Clean_Data!$I$2:$I$289,$A82),"")</f>
        <v>5.461643835616437</v>
      </c>
      <c r="E82" s="28">
        <f>IFERROR(AVERAGEIFS(Clean_Data!$R$2:$R$289,Clean_Data!$I$2:$I$289,$A82),"")</f>
        <v>4.9887323943661972</v>
      </c>
      <c r="F82" s="28">
        <f>IFERROR(AVERAGEIFS(Clean_Data!$T$2:$T$289,Clean_Data!$I$2:$I$289,$A82),"")</f>
        <v>5.8378378378378377</v>
      </c>
    </row>
    <row r="83" spans="1:6" x14ac:dyDescent="0.3">
      <c r="A83" s="25" t="s">
        <v>93</v>
      </c>
      <c r="B83" s="26">
        <f>COUNTIFS(Clean_Data!$I$2:$I$289,$A83)</f>
        <v>38</v>
      </c>
      <c r="C83" s="28">
        <f>IFERROR(AVERAGEIFS(Clean_Data!$M$2:$M$289,Clean_Data!$I$2:$I$289,$A83),"")</f>
        <v>2.5289473684210524</v>
      </c>
      <c r="D83" s="28">
        <f>IFERROR(AVERAGEIFS(Clean_Data!$U$2:$U$289,Clean_Data!$I$2:$I$289,$A83),"")</f>
        <v>5.0171428571428578</v>
      </c>
      <c r="E83" s="28">
        <f>IFERROR(AVERAGEIFS(Clean_Data!$R$2:$R$289,Clean_Data!$I$2:$I$289,$A83),"")</f>
        <v>5.2624999999999993</v>
      </c>
      <c r="F83" s="28">
        <f>IFERROR(AVERAGEIFS(Clean_Data!$T$2:$T$289,Clean_Data!$I$2:$I$289,$A83),"")</f>
        <v>6</v>
      </c>
    </row>
    <row r="84" spans="1:6" x14ac:dyDescent="0.3">
      <c r="A84" s="25" t="s">
        <v>94</v>
      </c>
      <c r="B84" s="26">
        <f>COUNTIFS(Clean_Data!$I$2:$I$289,$A84)</f>
        <v>38</v>
      </c>
      <c r="C84" s="28">
        <f>IFERROR(AVERAGEIFS(Clean_Data!$M$2:$M$289,Clean_Data!$I$2:$I$289,$A84),"")</f>
        <v>2.9111111111111105</v>
      </c>
      <c r="D84" s="28">
        <f>IFERROR(AVERAGEIFS(Clean_Data!$U$2:$U$289,Clean_Data!$I$2:$I$289,$A84),"")</f>
        <v>5.802631578947369</v>
      </c>
      <c r="E84" s="28">
        <f>IFERROR(AVERAGEIFS(Clean_Data!$R$2:$R$289,Clean_Data!$I$2:$I$289,$A84),"")</f>
        <v>5.165789473684212</v>
      </c>
      <c r="F84" s="28">
        <f>IFERROR(AVERAGEIFS(Clean_Data!$T$2:$T$289,Clean_Data!$I$2:$I$289,$A84),"")</f>
        <v>6.7297297297297298</v>
      </c>
    </row>
    <row r="85" spans="1:6" x14ac:dyDescent="0.3">
      <c r="A85" s="25" t="s">
        <v>42</v>
      </c>
      <c r="B85" s="26">
        <f>COUNTIFS(Clean_Data!$I$2:$I$289,$A85)</f>
        <v>21</v>
      </c>
      <c r="C85" s="28">
        <f>IFERROR(AVERAGEIFS(Clean_Data!$M$2:$M$289,Clean_Data!$I$2:$I$289,$A85),"")</f>
        <v>2.8380952380952382</v>
      </c>
      <c r="D85" s="28">
        <f>IFERROR(AVERAGEIFS(Clean_Data!$U$2:$U$289,Clean_Data!$I$2:$I$289,$A85),"")</f>
        <v>4.9055555555555559</v>
      </c>
      <c r="E85" s="28">
        <f>IFERROR(AVERAGEIFS(Clean_Data!$R$2:$R$289,Clean_Data!$I$2:$I$289,$A85),"")</f>
        <v>5.538095238095238</v>
      </c>
      <c r="F85" s="28">
        <f>IFERROR(AVERAGEIFS(Clean_Data!$T$2:$T$289,Clean_Data!$I$2:$I$289,$A85),"")</f>
        <v>6.1</v>
      </c>
    </row>
    <row r="86" spans="1:6" x14ac:dyDescent="0.3">
      <c r="A86" s="25" t="s">
        <v>95</v>
      </c>
      <c r="B86" s="26">
        <f>COUNTIFS(Clean_Data!$I$2:$I$289,$A86)</f>
        <v>13</v>
      </c>
      <c r="C86" s="28">
        <f>IFERROR(AVERAGEIFS(Clean_Data!$M$2:$M$289,Clean_Data!$I$2:$I$289,$A86),"")</f>
        <v>2.9000000000000004</v>
      </c>
      <c r="D86" s="28">
        <f>IFERROR(AVERAGEIFS(Clean_Data!$U$2:$U$289,Clean_Data!$I$2:$I$289,$A86),"")</f>
        <v>5.4846153846153847</v>
      </c>
      <c r="E86" s="28">
        <f>IFERROR(AVERAGEIFS(Clean_Data!$R$2:$R$289,Clean_Data!$I$2:$I$289,$A86),"")</f>
        <v>4.9750000000000005</v>
      </c>
      <c r="F86" s="28">
        <f>IFERROR(AVERAGEIFS(Clean_Data!$T$2:$T$289,Clean_Data!$I$2:$I$289,$A86),"")</f>
        <v>5.6923076923076925</v>
      </c>
    </row>
    <row r="87" spans="1:6" x14ac:dyDescent="0.3">
      <c r="A87" s="25" t="s">
        <v>96</v>
      </c>
      <c r="B87" s="26">
        <f>COUNTIFS(Clean_Data!$I$2:$I$289,$A87)</f>
        <v>13</v>
      </c>
      <c r="C87" s="28">
        <f>IFERROR(AVERAGEIFS(Clean_Data!$M$2:$M$289,Clean_Data!$I$2:$I$289,$A87),"")</f>
        <v>3.9000000000000004</v>
      </c>
      <c r="D87" s="28">
        <f>IFERROR(AVERAGEIFS(Clean_Data!$U$2:$U$289,Clean_Data!$I$2:$I$289,$A87),"")</f>
        <v>7.6076923076923055</v>
      </c>
      <c r="E87" s="28">
        <f>IFERROR(AVERAGEIFS(Clean_Data!$R$2:$R$289,Clean_Data!$I$2:$I$289,$A87),"")</f>
        <v>6.0076923076923094</v>
      </c>
      <c r="F87" s="28">
        <f>IFERROR(AVERAGEIFS(Clean_Data!$T$2:$T$289,Clean_Data!$I$2:$I$289,$A87),"")</f>
        <v>6.384615384615385</v>
      </c>
    </row>
    <row r="90" spans="1:6" ht="15.6" x14ac:dyDescent="0.3">
      <c r="A90" s="22" t="s">
        <v>97</v>
      </c>
      <c r="E90" s="32" t="s">
        <v>98</v>
      </c>
    </row>
    <row r="91" spans="1:6" x14ac:dyDescent="0.3">
      <c r="A91" s="29" t="s">
        <v>99</v>
      </c>
      <c r="B91" s="30" t="s">
        <v>100</v>
      </c>
      <c r="C91" s="30" t="s">
        <v>101</v>
      </c>
    </row>
    <row r="92" spans="1:6" x14ac:dyDescent="0.3">
      <c r="A92" s="25" t="s">
        <v>102</v>
      </c>
      <c r="B92" s="33">
        <f>IFERROR(CORREL(Clean_Data!$M$2:$M$289,Clean_Data!$U$2:$U$289),"")</f>
        <v>0.89790322717845894</v>
      </c>
      <c r="C92" s="34" t="str">
        <f t="shared" ref="C92:C97" si="1">IF(B92="","",IF(ABS(B92)&gt;=0.5,"Strong",IF(ABS(B92)&gt;=0.3,"Moderate",IF(ABS(B92)&gt;=0.1,"Weak","Negligible")))&amp;IF(B92&gt;=0," positive"," negative"))</f>
        <v>Strong positive</v>
      </c>
    </row>
    <row r="93" spans="1:6" x14ac:dyDescent="0.3">
      <c r="A93" s="25" t="s">
        <v>103</v>
      </c>
      <c r="B93" s="33">
        <f>IFERROR(CORREL(Clean_Data!$M$2:$M$289,Clean_Data!$R$2:$R$289),"")</f>
        <v>0.78054401952209873</v>
      </c>
      <c r="C93" s="34" t="str">
        <f t="shared" si="1"/>
        <v>Strong positive</v>
      </c>
    </row>
    <row r="94" spans="1:6" x14ac:dyDescent="0.3">
      <c r="A94" s="25" t="s">
        <v>104</v>
      </c>
      <c r="B94" s="33">
        <f>IFERROR(CORREL(Clean_Data!$R$2:$R$289,Clean_Data!$T$2:$T$289),"")</f>
        <v>0.65635201383533903</v>
      </c>
      <c r="C94" s="34" t="str">
        <f t="shared" si="1"/>
        <v>Strong positive</v>
      </c>
    </row>
    <row r="95" spans="1:6" x14ac:dyDescent="0.3">
      <c r="A95" s="25" t="s">
        <v>105</v>
      </c>
      <c r="B95" s="33">
        <f>IFERROR(CORREL(Clean_Data!$S$2:$S$289,Clean_Data!$T$2:$T$289),"")</f>
        <v>0.52193447644805813</v>
      </c>
      <c r="C95" s="34" t="str">
        <f t="shared" si="1"/>
        <v>Strong positive</v>
      </c>
    </row>
    <row r="96" spans="1:6" x14ac:dyDescent="0.3">
      <c r="A96" s="25" t="s">
        <v>106</v>
      </c>
      <c r="B96" s="33">
        <f>IFERROR(CORREL(Clean_Data!$P$2:$P$289,Clean_Data!$T$2:$T$289),"")</f>
        <v>2.2945908562180459E-2</v>
      </c>
      <c r="C96" s="34" t="str">
        <f t="shared" si="1"/>
        <v>Negligible positive</v>
      </c>
    </row>
    <row r="97" spans="1:3" x14ac:dyDescent="0.3">
      <c r="A97" s="25" t="s">
        <v>107</v>
      </c>
      <c r="B97" s="33">
        <f>IFERROR(CORREL(Clean_Data!$B$2:$B$289,Clean_Data!$M$2:$M$289),"")</f>
        <v>-9.7281704683705089E-2</v>
      </c>
      <c r="C97" s="34" t="str">
        <f t="shared" si="1"/>
        <v>Negligible negative</v>
      </c>
    </row>
  </sheetData>
  <conditionalFormatting sqref="B92:B97">
    <cfRule type="colorScale" priority="2">
      <colorScale>
        <cfvo type="num" val="-1"/>
        <cfvo type="num" val="0"/>
        <cfvo type="num" val="1"/>
        <color rgb="FFF8B4B4"/>
        <color rgb="FFFFFFFF"/>
        <color rgb="FF7DDBC9"/>
      </colorScale>
    </cfRule>
  </conditionalFormatting>
  <conditionalFormatting sqref="B6:B13">
    <cfRule type="dataBar" priority="3">
      <dataBar>
        <cfvo type="num" val="0"/>
        <cfvo type="max"/>
        <color rgb="FF38BDF8"/>
      </dataBar>
      <extLst>
        <ext xmlns:x14="http://schemas.microsoft.com/office/spreadsheetml/2009/9/main" uri="{B025F937-C7B1-47D3-B67F-A62EFF666E3E}">
          <x14:id>{3BEEDFEE-7F30-475D-B2DC-154B00CE60B2}</x14:id>
        </ext>
      </extLst>
    </cfRule>
  </conditionalFormatting>
  <conditionalFormatting sqref="B18:B25">
    <cfRule type="dataBar" priority="4">
      <dataBar>
        <cfvo type="num" val="0"/>
        <cfvo type="max"/>
        <color rgb="FF38BDF8"/>
      </dataBar>
      <extLst>
        <ext xmlns:x14="http://schemas.microsoft.com/office/spreadsheetml/2009/9/main" uri="{B025F937-C7B1-47D3-B67F-A62EFF666E3E}">
          <x14:id>{A57265C5-F39F-498A-B0DA-5B3E6CD2115E}</x14:id>
        </ext>
      </extLst>
    </cfRule>
  </conditionalFormatting>
  <conditionalFormatting sqref="B45:B54">
    <cfRule type="dataBar" priority="5">
      <dataBar>
        <cfvo type="num" val="0"/>
        <cfvo type="max"/>
        <color rgb="FF38BDF8"/>
      </dataBar>
      <extLst>
        <ext xmlns:x14="http://schemas.microsoft.com/office/spreadsheetml/2009/9/main" uri="{B025F937-C7B1-47D3-B67F-A62EFF666E3E}">
          <x14:id>{2B719F6B-284B-4F32-9562-11E2179F34D5}</x14:id>
        </ext>
      </extLst>
    </cfRule>
  </conditionalFormatting>
  <conditionalFormatting sqref="B59:B63">
    <cfRule type="dataBar" priority="6">
      <dataBar>
        <cfvo type="num" val="0"/>
        <cfvo type="max"/>
        <color rgb="FF38BDF8"/>
      </dataBar>
      <extLst>
        <ext xmlns:x14="http://schemas.microsoft.com/office/spreadsheetml/2009/9/main" uri="{B025F937-C7B1-47D3-B67F-A62EFF666E3E}">
          <x14:id>{838FEE48-1D8A-49F8-AEE4-82F3B93563C8}</x14:id>
        </ext>
      </extLst>
    </cfRule>
  </conditionalFormatting>
  <conditionalFormatting sqref="B81:B87">
    <cfRule type="dataBar" priority="7">
      <dataBar>
        <cfvo type="num" val="0"/>
        <cfvo type="max"/>
        <color rgb="FF38BDF8"/>
      </dataBar>
      <extLst>
        <ext xmlns:x14="http://schemas.microsoft.com/office/spreadsheetml/2009/9/main" uri="{B025F937-C7B1-47D3-B67F-A62EFF666E3E}">
          <x14:id>{A265B827-70D0-4BAF-8459-AA80271071D7}</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3BEEDFEE-7F30-475D-B2DC-154B00CE60B2}">
            <x14:dataBar axisPosition="none">
              <x14:cfvo type="num">
                <xm:f>0</xm:f>
              </x14:cfvo>
              <x14:cfvo type="max"/>
              <x14:negativeFillColor rgb="FF38BDF8"/>
            </x14:dataBar>
          </x14:cfRule>
          <xm:sqref>B6:B13</xm:sqref>
        </x14:conditionalFormatting>
        <x14:conditionalFormatting xmlns:xm="http://schemas.microsoft.com/office/excel/2006/main">
          <x14:cfRule type="dataBar" id="{A57265C5-F39F-498A-B0DA-5B3E6CD2115E}">
            <x14:dataBar axisPosition="none">
              <x14:cfvo type="num">
                <xm:f>0</xm:f>
              </x14:cfvo>
              <x14:cfvo type="max"/>
              <x14:negativeFillColor rgb="FF38BDF8"/>
            </x14:dataBar>
          </x14:cfRule>
          <xm:sqref>B18:B25</xm:sqref>
        </x14:conditionalFormatting>
        <x14:conditionalFormatting xmlns:xm="http://schemas.microsoft.com/office/excel/2006/main">
          <x14:cfRule type="dataBar" id="{2B719F6B-284B-4F32-9562-11E2179F34D5}">
            <x14:dataBar axisPosition="none">
              <x14:cfvo type="num">
                <xm:f>0</xm:f>
              </x14:cfvo>
              <x14:cfvo type="max"/>
              <x14:negativeFillColor rgb="FF38BDF8"/>
            </x14:dataBar>
          </x14:cfRule>
          <xm:sqref>B45:B54</xm:sqref>
        </x14:conditionalFormatting>
        <x14:conditionalFormatting xmlns:xm="http://schemas.microsoft.com/office/excel/2006/main">
          <x14:cfRule type="dataBar" id="{838FEE48-1D8A-49F8-AEE4-82F3B93563C8}">
            <x14:dataBar axisPosition="none">
              <x14:cfvo type="num">
                <xm:f>0</xm:f>
              </x14:cfvo>
              <x14:cfvo type="max"/>
              <x14:negativeFillColor rgb="FF38BDF8"/>
            </x14:dataBar>
          </x14:cfRule>
          <xm:sqref>B59:B63</xm:sqref>
        </x14:conditionalFormatting>
        <x14:conditionalFormatting xmlns:xm="http://schemas.microsoft.com/office/excel/2006/main">
          <x14:cfRule type="dataBar" id="{A265B827-70D0-4BAF-8459-AA80271071D7}">
            <x14:dataBar axisPosition="none">
              <x14:cfvo type="num">
                <xm:f>0</xm:f>
              </x14:cfvo>
              <x14:cfvo type="max"/>
              <x14:negativeFillColor rgb="FF38BDF8"/>
            </x14:dataBar>
          </x14:cfRule>
          <xm:sqref>B81:B87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97316"/>
  </sheetPr>
  <dimension ref="A1:Y28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6" customWidth="1"/>
    <col min="3" max="3" width="10" customWidth="1"/>
    <col min="4" max="5" width="16" customWidth="1"/>
    <col min="6" max="6" width="12" customWidth="1"/>
    <col min="7" max="7" width="14" customWidth="1"/>
    <col min="8" max="8" width="30" customWidth="1"/>
    <col min="9" max="9" width="24" customWidth="1"/>
    <col min="10" max="10" width="11" customWidth="1"/>
    <col min="11" max="12" width="16" customWidth="1"/>
    <col min="13" max="13" width="10" customWidth="1"/>
    <col min="14" max="14" width="12" customWidth="1"/>
    <col min="15" max="16" width="10" customWidth="1"/>
    <col min="17" max="17" width="9" customWidth="1"/>
    <col min="18" max="18" width="11" customWidth="1"/>
    <col min="19" max="19" width="10" customWidth="1"/>
    <col min="20" max="20" width="11" customWidth="1"/>
    <col min="21" max="22" width="12" customWidth="1"/>
    <col min="23" max="23" width="11" customWidth="1"/>
    <col min="24" max="24" width="34" customWidth="1"/>
    <col min="25" max="25" width="60" customWidth="1"/>
  </cols>
  <sheetData>
    <row r="1" spans="1:25" ht="31.5" customHeight="1" x14ac:dyDescent="0.3">
      <c r="A1" s="35" t="s">
        <v>108</v>
      </c>
      <c r="B1" s="35" t="s">
        <v>109</v>
      </c>
      <c r="C1" s="35" t="s">
        <v>110</v>
      </c>
      <c r="D1" s="35" t="s">
        <v>111</v>
      </c>
      <c r="E1" s="35" t="s">
        <v>60</v>
      </c>
      <c r="F1" s="35" t="s">
        <v>112</v>
      </c>
      <c r="G1" s="35" t="s">
        <v>113</v>
      </c>
      <c r="H1" s="35" t="s">
        <v>114</v>
      </c>
      <c r="I1" s="35" t="s">
        <v>115</v>
      </c>
      <c r="J1" s="35" t="s">
        <v>116</v>
      </c>
      <c r="K1" s="35" t="s">
        <v>117</v>
      </c>
      <c r="L1" s="35" t="s">
        <v>118</v>
      </c>
      <c r="M1" s="35" t="s">
        <v>119</v>
      </c>
      <c r="N1" s="35" t="s">
        <v>120</v>
      </c>
      <c r="O1" s="35" t="s">
        <v>121</v>
      </c>
      <c r="P1" s="35" t="s">
        <v>122</v>
      </c>
      <c r="Q1" s="35" t="s">
        <v>123</v>
      </c>
      <c r="R1" s="35" t="s">
        <v>124</v>
      </c>
      <c r="S1" s="35" t="s">
        <v>125</v>
      </c>
      <c r="T1" s="35" t="s">
        <v>126</v>
      </c>
      <c r="U1" s="35" t="s">
        <v>127</v>
      </c>
      <c r="V1" s="35" t="s">
        <v>128</v>
      </c>
      <c r="W1" s="35" t="s">
        <v>129</v>
      </c>
      <c r="X1" s="35" t="s">
        <v>130</v>
      </c>
      <c r="Y1" s="35" t="s">
        <v>131</v>
      </c>
    </row>
    <row r="2" spans="1:25" x14ac:dyDescent="0.3">
      <c r="A2" s="36" t="s">
        <v>132</v>
      </c>
      <c r="B2" s="36">
        <v>30</v>
      </c>
      <c r="C2" s="36" t="str">
        <f t="shared" ref="C2:C65" si="0">IF(B2="","",IF(B2&lt;18,"Under 18",IF(B2&lt;25,"18-24",IF(B2&lt;35,"25-34",IF(B2&lt;45,"35-44","45+")))))</f>
        <v>25-34</v>
      </c>
      <c r="D2" s="36" t="s">
        <v>133</v>
      </c>
      <c r="E2" s="36" t="s">
        <v>65</v>
      </c>
      <c r="F2" s="36" t="s">
        <v>47</v>
      </c>
      <c r="G2" s="36" t="s">
        <v>134</v>
      </c>
      <c r="H2" s="36" t="s">
        <v>135</v>
      </c>
      <c r="I2" s="36" t="s">
        <v>93</v>
      </c>
      <c r="J2" s="37">
        <v>5421</v>
      </c>
      <c r="K2" s="36" t="s">
        <v>24</v>
      </c>
      <c r="L2" s="36" t="s">
        <v>43</v>
      </c>
      <c r="M2" s="38">
        <v>2</v>
      </c>
      <c r="N2" s="38">
        <v>7.3</v>
      </c>
      <c r="O2" s="39">
        <f t="shared" ref="O2:O65" si="1">IF(OR(M2="",N2=""),"",M2/N2)</f>
        <v>0.27397260273972601</v>
      </c>
      <c r="P2" s="40"/>
      <c r="Q2" s="36" t="str">
        <f t="shared" ref="Q2:Q65" si="2">IF(P2="","",IF(P2=0,"Free","Paid"))</f>
        <v/>
      </c>
      <c r="R2" s="38">
        <v>5.3</v>
      </c>
      <c r="S2" s="36">
        <v>4</v>
      </c>
      <c r="T2" s="36">
        <v>7</v>
      </c>
      <c r="U2" s="38">
        <v>3.9</v>
      </c>
      <c r="V2" s="41">
        <f t="shared" ref="V2:V65" si="3">IF(OR(U2="",M2="",M2=0),"",U2/(M2*7))</f>
        <v>0.27857142857142858</v>
      </c>
      <c r="W2" s="36" t="s">
        <v>86</v>
      </c>
      <c r="X2" s="36"/>
      <c r="Y2" s="36" t="s">
        <v>136</v>
      </c>
    </row>
    <row r="3" spans="1:25" x14ac:dyDescent="0.3">
      <c r="A3" s="36" t="s">
        <v>137</v>
      </c>
      <c r="B3" s="36">
        <v>30</v>
      </c>
      <c r="C3" s="36" t="str">
        <f t="shared" si="0"/>
        <v>25-34</v>
      </c>
      <c r="D3" s="36" t="s">
        <v>133</v>
      </c>
      <c r="E3" s="36" t="s">
        <v>62</v>
      </c>
      <c r="F3" s="36" t="s">
        <v>47</v>
      </c>
      <c r="G3" s="36" t="s">
        <v>138</v>
      </c>
      <c r="H3" s="36" t="s">
        <v>139</v>
      </c>
      <c r="I3" s="36" t="s">
        <v>42</v>
      </c>
      <c r="J3" s="37">
        <v>8903</v>
      </c>
      <c r="K3" s="36" t="s">
        <v>24</v>
      </c>
      <c r="L3" s="36" t="s">
        <v>42</v>
      </c>
      <c r="M3" s="38">
        <v>5.7</v>
      </c>
      <c r="N3" s="38">
        <v>8.4</v>
      </c>
      <c r="O3" s="39">
        <f t="shared" si="1"/>
        <v>0.6785714285714286</v>
      </c>
      <c r="P3" s="40">
        <v>0</v>
      </c>
      <c r="Q3" s="36" t="str">
        <f t="shared" si="2"/>
        <v>Free</v>
      </c>
      <c r="R3" s="38">
        <v>9.9</v>
      </c>
      <c r="S3" s="36">
        <v>3</v>
      </c>
      <c r="T3" s="36">
        <v>9</v>
      </c>
      <c r="U3" s="38">
        <v>11.4</v>
      </c>
      <c r="V3" s="41">
        <f t="shared" si="3"/>
        <v>0.28571428571428575</v>
      </c>
      <c r="W3" s="36" t="s">
        <v>86</v>
      </c>
      <c r="X3" s="36"/>
      <c r="Y3" s="36" t="s">
        <v>140</v>
      </c>
    </row>
    <row r="4" spans="1:25" x14ac:dyDescent="0.3">
      <c r="A4" s="36" t="s">
        <v>141</v>
      </c>
      <c r="B4" s="36">
        <v>17</v>
      </c>
      <c r="C4" s="36" t="str">
        <f t="shared" si="0"/>
        <v>Under 18</v>
      </c>
      <c r="D4" s="36" t="s">
        <v>133</v>
      </c>
      <c r="E4" s="36" t="s">
        <v>63</v>
      </c>
      <c r="F4" s="36" t="s">
        <v>46</v>
      </c>
      <c r="G4" s="36"/>
      <c r="H4" s="36" t="s">
        <v>142</v>
      </c>
      <c r="I4" s="36" t="s">
        <v>92</v>
      </c>
      <c r="J4" s="37">
        <v>402</v>
      </c>
      <c r="K4" s="36" t="s">
        <v>24</v>
      </c>
      <c r="L4" s="36" t="s">
        <v>36</v>
      </c>
      <c r="M4" s="38">
        <v>1</v>
      </c>
      <c r="N4" s="38">
        <v>6.7</v>
      </c>
      <c r="O4" s="39">
        <f t="shared" si="1"/>
        <v>0.14925373134328357</v>
      </c>
      <c r="P4" s="40">
        <v>20</v>
      </c>
      <c r="Q4" s="36" t="str">
        <f t="shared" si="2"/>
        <v>Paid</v>
      </c>
      <c r="R4" s="38">
        <v>3.2</v>
      </c>
      <c r="S4" s="36">
        <v>2</v>
      </c>
      <c r="T4" s="36">
        <v>4</v>
      </c>
      <c r="U4" s="38">
        <v>5.2</v>
      </c>
      <c r="V4" s="41">
        <f t="shared" si="3"/>
        <v>0.74285714285714288</v>
      </c>
      <c r="W4" s="36" t="s">
        <v>88</v>
      </c>
      <c r="X4" s="36"/>
      <c r="Y4" s="36"/>
    </row>
    <row r="5" spans="1:25" x14ac:dyDescent="0.3">
      <c r="A5" s="36" t="s">
        <v>143</v>
      </c>
      <c r="B5" s="36">
        <v>35</v>
      </c>
      <c r="C5" s="36" t="str">
        <f t="shared" si="0"/>
        <v>35-44</v>
      </c>
      <c r="D5" s="36" t="s">
        <v>144</v>
      </c>
      <c r="E5" s="36" t="s">
        <v>66</v>
      </c>
      <c r="F5" s="36" t="s">
        <v>47</v>
      </c>
      <c r="G5" s="36" t="s">
        <v>138</v>
      </c>
      <c r="H5" s="36" t="s">
        <v>145</v>
      </c>
      <c r="I5" s="36" t="s">
        <v>92</v>
      </c>
      <c r="J5" s="37">
        <v>1367</v>
      </c>
      <c r="K5" s="36" t="s">
        <v>30</v>
      </c>
      <c r="L5" s="36" t="s">
        <v>36</v>
      </c>
      <c r="M5" s="38">
        <v>1.7</v>
      </c>
      <c r="N5" s="38">
        <v>9.6</v>
      </c>
      <c r="O5" s="39">
        <f t="shared" si="1"/>
        <v>0.17708333333333334</v>
      </c>
      <c r="P5" s="40">
        <v>20</v>
      </c>
      <c r="Q5" s="36" t="str">
        <f t="shared" si="2"/>
        <v>Paid</v>
      </c>
      <c r="R5" s="38">
        <v>5.6</v>
      </c>
      <c r="S5" s="36">
        <v>4</v>
      </c>
      <c r="T5" s="36">
        <v>5</v>
      </c>
      <c r="U5" s="38">
        <v>6.4</v>
      </c>
      <c r="V5" s="41">
        <f t="shared" si="3"/>
        <v>0.53781512605042014</v>
      </c>
      <c r="W5" s="36" t="s">
        <v>87</v>
      </c>
      <c r="X5" s="36"/>
      <c r="Y5" s="36" t="s">
        <v>146</v>
      </c>
    </row>
    <row r="6" spans="1:25" x14ac:dyDescent="0.3">
      <c r="A6" s="36" t="s">
        <v>147</v>
      </c>
      <c r="B6" s="36">
        <v>19</v>
      </c>
      <c r="C6" s="36" t="str">
        <f t="shared" si="0"/>
        <v>18-24</v>
      </c>
      <c r="D6" s="36" t="s">
        <v>144</v>
      </c>
      <c r="E6" s="36" t="s">
        <v>63</v>
      </c>
      <c r="F6" s="36" t="s">
        <v>46</v>
      </c>
      <c r="G6" s="36" t="s">
        <v>148</v>
      </c>
      <c r="H6" s="36" t="s">
        <v>149</v>
      </c>
      <c r="I6" s="36" t="s">
        <v>94</v>
      </c>
      <c r="J6" s="37">
        <v>438</v>
      </c>
      <c r="K6" s="36" t="s">
        <v>28</v>
      </c>
      <c r="L6" s="36"/>
      <c r="M6" s="38">
        <v>4.0999999999999996</v>
      </c>
      <c r="N6" s="38">
        <v>6.2</v>
      </c>
      <c r="O6" s="39">
        <f t="shared" si="1"/>
        <v>0.66129032258064513</v>
      </c>
      <c r="P6" s="40">
        <v>0</v>
      </c>
      <c r="Q6" s="36" t="str">
        <f t="shared" si="2"/>
        <v>Free</v>
      </c>
      <c r="R6" s="38">
        <v>4.7</v>
      </c>
      <c r="S6" s="36">
        <v>4</v>
      </c>
      <c r="T6" s="36">
        <v>7</v>
      </c>
      <c r="U6" s="38">
        <v>9.1999999999999993</v>
      </c>
      <c r="V6" s="41">
        <f t="shared" si="3"/>
        <v>0.32055749128919864</v>
      </c>
      <c r="W6" s="36" t="s">
        <v>86</v>
      </c>
      <c r="X6" s="36"/>
      <c r="Y6" s="36" t="s">
        <v>150</v>
      </c>
    </row>
    <row r="7" spans="1:25" x14ac:dyDescent="0.3">
      <c r="A7" s="36" t="s">
        <v>151</v>
      </c>
      <c r="B7" s="36">
        <v>19</v>
      </c>
      <c r="C7" s="36" t="str">
        <f t="shared" si="0"/>
        <v>18-24</v>
      </c>
      <c r="D7" s="36"/>
      <c r="E7" s="36" t="s">
        <v>62</v>
      </c>
      <c r="F7" s="36" t="s">
        <v>46</v>
      </c>
      <c r="G7" s="36" t="s">
        <v>148</v>
      </c>
      <c r="H7" s="36" t="s">
        <v>152</v>
      </c>
      <c r="I7" s="36" t="s">
        <v>93</v>
      </c>
      <c r="J7" s="37">
        <v>774</v>
      </c>
      <c r="K7" s="36" t="s">
        <v>30</v>
      </c>
      <c r="L7" s="36" t="s">
        <v>41</v>
      </c>
      <c r="M7" s="38">
        <v>1.5</v>
      </c>
      <c r="N7" s="38">
        <v>7.4</v>
      </c>
      <c r="O7" s="39">
        <f t="shared" si="1"/>
        <v>0.20270270270270269</v>
      </c>
      <c r="P7" s="40">
        <v>0</v>
      </c>
      <c r="Q7" s="36" t="str">
        <f t="shared" si="2"/>
        <v>Free</v>
      </c>
      <c r="R7" s="38">
        <v>5</v>
      </c>
      <c r="S7" s="36">
        <v>3</v>
      </c>
      <c r="T7" s="36">
        <v>6</v>
      </c>
      <c r="U7" s="38">
        <v>2.9</v>
      </c>
      <c r="V7" s="41">
        <f t="shared" si="3"/>
        <v>0.27619047619047621</v>
      </c>
      <c r="W7" s="36" t="s">
        <v>88</v>
      </c>
      <c r="X7" s="36"/>
      <c r="Y7" s="36" t="s">
        <v>153</v>
      </c>
    </row>
    <row r="8" spans="1:25" x14ac:dyDescent="0.3">
      <c r="A8" s="36" t="s">
        <v>154</v>
      </c>
      <c r="B8" s="36">
        <v>32</v>
      </c>
      <c r="C8" s="36" t="str">
        <f t="shared" si="0"/>
        <v>25-34</v>
      </c>
      <c r="D8" s="36" t="s">
        <v>133</v>
      </c>
      <c r="E8" s="36" t="s">
        <v>155</v>
      </c>
      <c r="F8" s="36" t="s">
        <v>47</v>
      </c>
      <c r="G8" s="36" t="s">
        <v>138</v>
      </c>
      <c r="H8" s="36" t="s">
        <v>156</v>
      </c>
      <c r="I8" s="36" t="s">
        <v>92</v>
      </c>
      <c r="J8" s="37">
        <v>4466</v>
      </c>
      <c r="K8" s="36" t="s">
        <v>24</v>
      </c>
      <c r="L8" s="36" t="s">
        <v>36</v>
      </c>
      <c r="M8" s="38">
        <v>1.2</v>
      </c>
      <c r="N8" s="38">
        <v>6.4</v>
      </c>
      <c r="O8" s="39">
        <f t="shared" si="1"/>
        <v>0.18749999999999997</v>
      </c>
      <c r="P8" s="40">
        <v>20</v>
      </c>
      <c r="Q8" s="36" t="str">
        <f t="shared" si="2"/>
        <v>Paid</v>
      </c>
      <c r="R8" s="38">
        <v>3</v>
      </c>
      <c r="S8" s="36">
        <v>2</v>
      </c>
      <c r="T8" s="36">
        <v>5</v>
      </c>
      <c r="U8" s="38">
        <v>6.6</v>
      </c>
      <c r="V8" s="41">
        <f t="shared" si="3"/>
        <v>0.78571428571428559</v>
      </c>
      <c r="W8" s="36" t="s">
        <v>86</v>
      </c>
      <c r="X8" s="36"/>
      <c r="Y8" s="36" t="s">
        <v>157</v>
      </c>
    </row>
    <row r="9" spans="1:25" x14ac:dyDescent="0.3">
      <c r="A9" s="36" t="s">
        <v>158</v>
      </c>
      <c r="B9" s="36">
        <v>32</v>
      </c>
      <c r="C9" s="36" t="str">
        <f t="shared" si="0"/>
        <v>25-34</v>
      </c>
      <c r="D9" s="36" t="s">
        <v>133</v>
      </c>
      <c r="E9" s="36" t="s">
        <v>67</v>
      </c>
      <c r="F9" s="36" t="s">
        <v>47</v>
      </c>
      <c r="G9" s="36" t="s">
        <v>159</v>
      </c>
      <c r="H9" s="36" t="s">
        <v>160</v>
      </c>
      <c r="I9" s="36" t="s">
        <v>91</v>
      </c>
      <c r="J9" s="37">
        <v>486</v>
      </c>
      <c r="K9" s="36" t="s">
        <v>24</v>
      </c>
      <c r="L9" s="36" t="s">
        <v>40</v>
      </c>
      <c r="M9" s="38">
        <v>2</v>
      </c>
      <c r="N9" s="38">
        <v>6.4</v>
      </c>
      <c r="O9" s="39">
        <f t="shared" si="1"/>
        <v>0.3125</v>
      </c>
      <c r="P9" s="40">
        <v>0</v>
      </c>
      <c r="Q9" s="36" t="str">
        <f t="shared" si="2"/>
        <v>Free</v>
      </c>
      <c r="R9" s="38">
        <v>6.5</v>
      </c>
      <c r="S9" s="36">
        <v>2</v>
      </c>
      <c r="T9" s="36">
        <v>5</v>
      </c>
      <c r="U9" s="38">
        <v>3.2</v>
      </c>
      <c r="V9" s="41">
        <f t="shared" si="3"/>
        <v>0.22857142857142859</v>
      </c>
      <c r="W9" s="36" t="s">
        <v>86</v>
      </c>
      <c r="X9" s="36"/>
      <c r="Y9" s="36" t="s">
        <v>161</v>
      </c>
    </row>
    <row r="10" spans="1:25" x14ac:dyDescent="0.3">
      <c r="A10" s="36" t="s">
        <v>162</v>
      </c>
      <c r="B10" s="36">
        <v>16</v>
      </c>
      <c r="C10" s="36" t="str">
        <f t="shared" si="0"/>
        <v>Under 18</v>
      </c>
      <c r="D10" s="36" t="s">
        <v>133</v>
      </c>
      <c r="E10" s="36" t="s">
        <v>67</v>
      </c>
      <c r="F10" s="36" t="s">
        <v>46</v>
      </c>
      <c r="G10" s="36" t="s">
        <v>148</v>
      </c>
      <c r="H10" s="36" t="s">
        <v>163</v>
      </c>
      <c r="I10" s="36" t="s">
        <v>91</v>
      </c>
      <c r="J10" s="37">
        <v>132</v>
      </c>
      <c r="K10" s="36" t="s">
        <v>27</v>
      </c>
      <c r="L10" s="36" t="s">
        <v>40</v>
      </c>
      <c r="M10" s="38">
        <v>1.6</v>
      </c>
      <c r="N10" s="38">
        <v>3.8</v>
      </c>
      <c r="O10" s="39">
        <f t="shared" si="1"/>
        <v>0.4210526315789474</v>
      </c>
      <c r="P10" s="40">
        <v>30</v>
      </c>
      <c r="Q10" s="36" t="str">
        <f t="shared" si="2"/>
        <v>Paid</v>
      </c>
      <c r="R10" s="38">
        <v>4.7</v>
      </c>
      <c r="S10" s="36">
        <v>4</v>
      </c>
      <c r="T10" s="36">
        <v>6</v>
      </c>
      <c r="U10" s="38">
        <v>3.8</v>
      </c>
      <c r="V10" s="41">
        <f t="shared" si="3"/>
        <v>0.33928571428571425</v>
      </c>
      <c r="W10" s="36" t="s">
        <v>86</v>
      </c>
      <c r="X10" s="36"/>
      <c r="Y10" s="36" t="s">
        <v>164</v>
      </c>
    </row>
    <row r="11" spans="1:25" x14ac:dyDescent="0.3">
      <c r="A11" s="36" t="s">
        <v>165</v>
      </c>
      <c r="B11" s="36">
        <v>40</v>
      </c>
      <c r="C11" s="36" t="str">
        <f t="shared" si="0"/>
        <v>35-44</v>
      </c>
      <c r="D11" s="36" t="s">
        <v>133</v>
      </c>
      <c r="E11" s="36" t="s">
        <v>61</v>
      </c>
      <c r="F11" s="36" t="s">
        <v>47</v>
      </c>
      <c r="G11" s="36" t="s">
        <v>159</v>
      </c>
      <c r="H11" s="36"/>
      <c r="I11" s="36"/>
      <c r="J11" s="37">
        <v>1595</v>
      </c>
      <c r="K11" s="36" t="s">
        <v>24</v>
      </c>
      <c r="L11" s="36" t="s">
        <v>37</v>
      </c>
      <c r="M11" s="38">
        <v>1.7</v>
      </c>
      <c r="N11" s="38">
        <v>9.4</v>
      </c>
      <c r="O11" s="39">
        <f t="shared" si="1"/>
        <v>0.18085106382978722</v>
      </c>
      <c r="P11" s="40">
        <v>10</v>
      </c>
      <c r="Q11" s="36" t="str">
        <f t="shared" si="2"/>
        <v>Paid</v>
      </c>
      <c r="R11" s="38"/>
      <c r="S11" s="36">
        <v>2</v>
      </c>
      <c r="T11" s="36">
        <v>5</v>
      </c>
      <c r="U11" s="38">
        <v>7.5</v>
      </c>
      <c r="V11" s="41">
        <f t="shared" si="3"/>
        <v>0.63025210084033612</v>
      </c>
      <c r="W11" s="36" t="s">
        <v>87</v>
      </c>
      <c r="X11" s="36"/>
      <c r="Y11" s="36" t="s">
        <v>166</v>
      </c>
    </row>
    <row r="12" spans="1:25" x14ac:dyDescent="0.3">
      <c r="A12" s="36" t="s">
        <v>167</v>
      </c>
      <c r="B12" s="36">
        <v>36</v>
      </c>
      <c r="C12" s="36" t="str">
        <f t="shared" si="0"/>
        <v>35-44</v>
      </c>
      <c r="D12" s="36" t="s">
        <v>144</v>
      </c>
      <c r="E12" s="36" t="s">
        <v>64</v>
      </c>
      <c r="F12" s="36" t="s">
        <v>47</v>
      </c>
      <c r="G12" s="36" t="s">
        <v>134</v>
      </c>
      <c r="H12" s="36" t="s">
        <v>168</v>
      </c>
      <c r="I12" s="36" t="s">
        <v>93</v>
      </c>
      <c r="J12" s="37">
        <v>856</v>
      </c>
      <c r="K12" s="36" t="s">
        <v>24</v>
      </c>
      <c r="L12" s="36" t="s">
        <v>39</v>
      </c>
      <c r="M12" s="38">
        <v>2.7</v>
      </c>
      <c r="N12" s="38">
        <v>8.6999999999999993</v>
      </c>
      <c r="O12" s="39">
        <f t="shared" si="1"/>
        <v>0.31034482758620696</v>
      </c>
      <c r="P12" s="40">
        <v>0</v>
      </c>
      <c r="Q12" s="36" t="str">
        <f t="shared" si="2"/>
        <v>Free</v>
      </c>
      <c r="R12" s="38"/>
      <c r="S12" s="36">
        <v>4</v>
      </c>
      <c r="T12" s="36">
        <v>6</v>
      </c>
      <c r="U12" s="38">
        <v>5.7</v>
      </c>
      <c r="V12" s="41">
        <f t="shared" si="3"/>
        <v>0.30158730158730157</v>
      </c>
      <c r="W12" s="36" t="s">
        <v>86</v>
      </c>
      <c r="X12" s="36"/>
      <c r="Y12" s="36" t="s">
        <v>169</v>
      </c>
    </row>
    <row r="13" spans="1:25" x14ac:dyDescent="0.3">
      <c r="A13" s="36" t="s">
        <v>170</v>
      </c>
      <c r="B13" s="36">
        <v>22</v>
      </c>
      <c r="C13" s="36" t="str">
        <f t="shared" si="0"/>
        <v>18-24</v>
      </c>
      <c r="D13" s="36" t="s">
        <v>133</v>
      </c>
      <c r="E13" s="36" t="s">
        <v>63</v>
      </c>
      <c r="F13" s="36" t="s">
        <v>46</v>
      </c>
      <c r="G13" s="36" t="s">
        <v>148</v>
      </c>
      <c r="H13" s="36" t="s">
        <v>171</v>
      </c>
      <c r="I13" s="36" t="s">
        <v>95</v>
      </c>
      <c r="J13" s="37">
        <v>547</v>
      </c>
      <c r="K13" s="36" t="s">
        <v>27</v>
      </c>
      <c r="L13" s="36" t="s">
        <v>39</v>
      </c>
      <c r="M13" s="38">
        <v>5</v>
      </c>
      <c r="N13" s="38">
        <v>5.6</v>
      </c>
      <c r="O13" s="39">
        <f t="shared" si="1"/>
        <v>0.8928571428571429</v>
      </c>
      <c r="P13" s="40">
        <v>0</v>
      </c>
      <c r="Q13" s="36" t="str">
        <f t="shared" si="2"/>
        <v>Free</v>
      </c>
      <c r="R13" s="38">
        <v>6.6</v>
      </c>
      <c r="S13" s="36">
        <v>3</v>
      </c>
      <c r="T13" s="36">
        <v>6</v>
      </c>
      <c r="U13" s="38">
        <v>9.8000000000000007</v>
      </c>
      <c r="V13" s="41">
        <f t="shared" si="3"/>
        <v>0.28000000000000003</v>
      </c>
      <c r="W13" s="36" t="s">
        <v>88</v>
      </c>
      <c r="X13" s="36"/>
      <c r="Y13" s="36" t="s">
        <v>172</v>
      </c>
    </row>
    <row r="14" spans="1:25" x14ac:dyDescent="0.3">
      <c r="A14" s="36" t="s">
        <v>173</v>
      </c>
      <c r="B14" s="36">
        <v>30</v>
      </c>
      <c r="C14" s="36" t="str">
        <f t="shared" si="0"/>
        <v>25-34</v>
      </c>
      <c r="D14" s="36" t="s">
        <v>144</v>
      </c>
      <c r="E14" s="36" t="s">
        <v>68</v>
      </c>
      <c r="F14" s="36" t="s">
        <v>47</v>
      </c>
      <c r="G14" s="36" t="s">
        <v>138</v>
      </c>
      <c r="H14" s="36" t="s">
        <v>174</v>
      </c>
      <c r="I14" s="36" t="s">
        <v>92</v>
      </c>
      <c r="J14" s="37">
        <v>3307</v>
      </c>
      <c r="K14" s="36" t="s">
        <v>24</v>
      </c>
      <c r="L14" s="36" t="s">
        <v>36</v>
      </c>
      <c r="M14" s="38">
        <v>0.8</v>
      </c>
      <c r="N14" s="38">
        <v>8</v>
      </c>
      <c r="O14" s="39">
        <f t="shared" si="1"/>
        <v>0.1</v>
      </c>
      <c r="P14" s="40">
        <v>10</v>
      </c>
      <c r="Q14" s="36" t="str">
        <f t="shared" si="2"/>
        <v>Paid</v>
      </c>
      <c r="R14" s="38">
        <v>2.2999999999999998</v>
      </c>
      <c r="S14" s="36">
        <v>4</v>
      </c>
      <c r="T14" s="36">
        <v>4</v>
      </c>
      <c r="U14" s="38">
        <v>0.5</v>
      </c>
      <c r="V14" s="41">
        <f t="shared" si="3"/>
        <v>8.9285714285714274E-2</v>
      </c>
      <c r="W14" s="36" t="s">
        <v>88</v>
      </c>
      <c r="X14" s="36"/>
      <c r="Y14" s="36" t="s">
        <v>175</v>
      </c>
    </row>
    <row r="15" spans="1:25" x14ac:dyDescent="0.3">
      <c r="A15" s="36" t="s">
        <v>176</v>
      </c>
      <c r="B15" s="36">
        <v>21</v>
      </c>
      <c r="C15" s="36" t="str">
        <f t="shared" si="0"/>
        <v>18-24</v>
      </c>
      <c r="D15" s="36" t="s">
        <v>144</v>
      </c>
      <c r="E15" s="36" t="s">
        <v>63</v>
      </c>
      <c r="F15" s="36" t="s">
        <v>46</v>
      </c>
      <c r="G15" s="36" t="s">
        <v>148</v>
      </c>
      <c r="H15" s="36" t="s">
        <v>177</v>
      </c>
      <c r="I15" s="36" t="s">
        <v>92</v>
      </c>
      <c r="J15" s="37">
        <v>387</v>
      </c>
      <c r="K15" s="36" t="s">
        <v>24</v>
      </c>
      <c r="L15" s="36" t="s">
        <v>36</v>
      </c>
      <c r="M15" s="38">
        <v>5.8</v>
      </c>
      <c r="N15" s="38">
        <v>4.8</v>
      </c>
      <c r="O15" s="39">
        <f t="shared" si="1"/>
        <v>1.2083333333333333</v>
      </c>
      <c r="P15" s="40">
        <v>30</v>
      </c>
      <c r="Q15" s="36" t="str">
        <f t="shared" si="2"/>
        <v>Paid</v>
      </c>
      <c r="R15" s="38">
        <v>6.9</v>
      </c>
      <c r="S15" s="36">
        <v>4</v>
      </c>
      <c r="T15" s="36">
        <v>8</v>
      </c>
      <c r="U15" s="38">
        <v>10.199999999999999</v>
      </c>
      <c r="V15" s="41">
        <f t="shared" si="3"/>
        <v>0.25123152709359603</v>
      </c>
      <c r="W15" s="36" t="s">
        <v>86</v>
      </c>
      <c r="X15" s="36" t="s">
        <v>178</v>
      </c>
      <c r="Y15" s="36" t="s">
        <v>179</v>
      </c>
    </row>
    <row r="16" spans="1:25" x14ac:dyDescent="0.3">
      <c r="A16" s="36" t="s">
        <v>180</v>
      </c>
      <c r="B16" s="36">
        <v>28</v>
      </c>
      <c r="C16" s="36" t="str">
        <f t="shared" si="0"/>
        <v>25-34</v>
      </c>
      <c r="D16" s="36" t="s">
        <v>133</v>
      </c>
      <c r="E16" s="36" t="s">
        <v>65</v>
      </c>
      <c r="F16" s="36" t="s">
        <v>47</v>
      </c>
      <c r="G16" s="36" t="s">
        <v>138</v>
      </c>
      <c r="H16" s="36" t="s">
        <v>181</v>
      </c>
      <c r="I16" s="36" t="s">
        <v>93</v>
      </c>
      <c r="J16" s="37">
        <v>3117</v>
      </c>
      <c r="K16" s="36" t="s">
        <v>27</v>
      </c>
      <c r="L16" s="36" t="s">
        <v>41</v>
      </c>
      <c r="M16" s="38">
        <v>3.9</v>
      </c>
      <c r="N16" s="38">
        <v>7.6</v>
      </c>
      <c r="O16" s="39">
        <f t="shared" si="1"/>
        <v>0.51315789473684215</v>
      </c>
      <c r="P16" s="40">
        <v>10</v>
      </c>
      <c r="Q16" s="36" t="str">
        <f t="shared" si="2"/>
        <v>Paid</v>
      </c>
      <c r="R16" s="38">
        <v>8.6</v>
      </c>
      <c r="S16" s="36">
        <v>3</v>
      </c>
      <c r="T16" s="36">
        <v>8</v>
      </c>
      <c r="U16" s="38">
        <v>11.8</v>
      </c>
      <c r="V16" s="41">
        <f t="shared" si="3"/>
        <v>0.43223443223443225</v>
      </c>
      <c r="W16" s="36" t="s">
        <v>86</v>
      </c>
      <c r="X16" s="36"/>
      <c r="Y16" s="36" t="s">
        <v>182</v>
      </c>
    </row>
    <row r="17" spans="1:25" x14ac:dyDescent="0.3">
      <c r="A17" s="36" t="s">
        <v>183</v>
      </c>
      <c r="B17" s="36">
        <v>16</v>
      </c>
      <c r="C17" s="36" t="str">
        <f t="shared" si="0"/>
        <v>Under 18</v>
      </c>
      <c r="D17" s="36" t="s">
        <v>144</v>
      </c>
      <c r="E17" s="36" t="s">
        <v>63</v>
      </c>
      <c r="F17" s="36" t="s">
        <v>46</v>
      </c>
      <c r="G17" s="36" t="s">
        <v>134</v>
      </c>
      <c r="H17" s="36"/>
      <c r="I17" s="36"/>
      <c r="J17" s="37">
        <v>324</v>
      </c>
      <c r="K17" s="36" t="s">
        <v>26</v>
      </c>
      <c r="L17" s="36" t="s">
        <v>36</v>
      </c>
      <c r="M17" s="38">
        <v>7.1</v>
      </c>
      <c r="N17" s="38">
        <v>3</v>
      </c>
      <c r="O17" s="39">
        <f t="shared" si="1"/>
        <v>2.3666666666666667</v>
      </c>
      <c r="P17" s="40">
        <v>20</v>
      </c>
      <c r="Q17" s="36" t="str">
        <f t="shared" si="2"/>
        <v>Paid</v>
      </c>
      <c r="R17" s="38"/>
      <c r="S17" s="36">
        <v>2</v>
      </c>
      <c r="T17" s="36">
        <v>5</v>
      </c>
      <c r="U17" s="38">
        <v>11.6</v>
      </c>
      <c r="V17" s="41">
        <f t="shared" si="3"/>
        <v>0.23340040241448692</v>
      </c>
      <c r="W17" s="36" t="s">
        <v>88</v>
      </c>
      <c r="X17" s="36" t="s">
        <v>178</v>
      </c>
      <c r="Y17" s="36"/>
    </row>
    <row r="18" spans="1:25" x14ac:dyDescent="0.3">
      <c r="A18" s="36" t="s">
        <v>184</v>
      </c>
      <c r="B18" s="36">
        <v>22</v>
      </c>
      <c r="C18" s="36" t="str">
        <f t="shared" si="0"/>
        <v>18-24</v>
      </c>
      <c r="D18" s="36" t="s">
        <v>133</v>
      </c>
      <c r="E18" s="36" t="s">
        <v>63</v>
      </c>
      <c r="F18" s="36" t="s">
        <v>47</v>
      </c>
      <c r="G18" s="36" t="s">
        <v>159</v>
      </c>
      <c r="H18" s="36" t="s">
        <v>185</v>
      </c>
      <c r="I18" s="36" t="s">
        <v>42</v>
      </c>
      <c r="J18" s="37">
        <v>3546</v>
      </c>
      <c r="K18" s="36" t="s">
        <v>28</v>
      </c>
      <c r="L18" s="36" t="s">
        <v>42</v>
      </c>
      <c r="M18" s="38">
        <v>1.7</v>
      </c>
      <c r="N18" s="38">
        <v>6.7</v>
      </c>
      <c r="O18" s="39">
        <f t="shared" si="1"/>
        <v>0.2537313432835821</v>
      </c>
      <c r="P18" s="40">
        <v>0</v>
      </c>
      <c r="Q18" s="36" t="str">
        <f t="shared" si="2"/>
        <v>Free</v>
      </c>
      <c r="R18" s="38">
        <v>7</v>
      </c>
      <c r="S18" s="36">
        <v>4</v>
      </c>
      <c r="T18" s="36">
        <v>7</v>
      </c>
      <c r="U18" s="38">
        <v>3.4</v>
      </c>
      <c r="V18" s="41">
        <f t="shared" si="3"/>
        <v>0.2857142857142857</v>
      </c>
      <c r="W18" s="36" t="s">
        <v>86</v>
      </c>
      <c r="X18" s="36"/>
      <c r="Y18" s="36" t="s">
        <v>186</v>
      </c>
    </row>
    <row r="19" spans="1:25" x14ac:dyDescent="0.3">
      <c r="A19" s="36" t="s">
        <v>187</v>
      </c>
      <c r="B19" s="36">
        <v>23</v>
      </c>
      <c r="C19" s="36" t="str">
        <f t="shared" si="0"/>
        <v>18-24</v>
      </c>
      <c r="D19" s="36" t="s">
        <v>133</v>
      </c>
      <c r="E19" s="36" t="s">
        <v>61</v>
      </c>
      <c r="F19" s="36" t="s">
        <v>46</v>
      </c>
      <c r="G19" s="36" t="s">
        <v>134</v>
      </c>
      <c r="H19" s="36" t="s">
        <v>188</v>
      </c>
      <c r="I19" s="36" t="s">
        <v>91</v>
      </c>
      <c r="J19" s="37">
        <v>109</v>
      </c>
      <c r="K19" s="36" t="s">
        <v>25</v>
      </c>
      <c r="L19" s="36" t="s">
        <v>37</v>
      </c>
      <c r="M19" s="38">
        <v>1.5</v>
      </c>
      <c r="N19" s="38">
        <v>3.9</v>
      </c>
      <c r="O19" s="39">
        <f t="shared" si="1"/>
        <v>0.38461538461538464</v>
      </c>
      <c r="P19" s="40">
        <v>20</v>
      </c>
      <c r="Q19" s="36" t="str">
        <f t="shared" si="2"/>
        <v>Paid</v>
      </c>
      <c r="R19" s="38">
        <v>3.9</v>
      </c>
      <c r="S19" s="36">
        <v>3</v>
      </c>
      <c r="T19" s="36">
        <v>6</v>
      </c>
      <c r="U19" s="38">
        <v>3.7</v>
      </c>
      <c r="V19" s="41">
        <f t="shared" si="3"/>
        <v>0.35238095238095241</v>
      </c>
      <c r="W19" s="36" t="s">
        <v>86</v>
      </c>
      <c r="X19" s="36"/>
      <c r="Y19" s="36" t="s">
        <v>189</v>
      </c>
    </row>
    <row r="20" spans="1:25" x14ac:dyDescent="0.3">
      <c r="A20" s="36" t="s">
        <v>190</v>
      </c>
      <c r="B20" s="36">
        <v>22</v>
      </c>
      <c r="C20" s="36" t="str">
        <f t="shared" si="0"/>
        <v>18-24</v>
      </c>
      <c r="D20" s="36" t="s">
        <v>133</v>
      </c>
      <c r="E20" s="36" t="s">
        <v>191</v>
      </c>
      <c r="F20" s="36" t="s">
        <v>46</v>
      </c>
      <c r="G20" s="36" t="s">
        <v>159</v>
      </c>
      <c r="H20" s="36" t="s">
        <v>149</v>
      </c>
      <c r="I20" s="36" t="s">
        <v>94</v>
      </c>
      <c r="J20" s="37">
        <v>109</v>
      </c>
      <c r="K20" s="36" t="s">
        <v>24</v>
      </c>
      <c r="L20" s="36" t="s">
        <v>39</v>
      </c>
      <c r="M20" s="38">
        <v>9.6</v>
      </c>
      <c r="N20" s="38">
        <v>5.2</v>
      </c>
      <c r="O20" s="39">
        <f t="shared" si="1"/>
        <v>1.846153846153846</v>
      </c>
      <c r="P20" s="40">
        <v>20</v>
      </c>
      <c r="Q20" s="36" t="str">
        <f t="shared" si="2"/>
        <v>Paid</v>
      </c>
      <c r="R20" s="38">
        <v>7.3</v>
      </c>
      <c r="S20" s="36">
        <v>4</v>
      </c>
      <c r="T20" s="36">
        <v>9</v>
      </c>
      <c r="U20" s="38">
        <v>19.399999999999999</v>
      </c>
      <c r="V20" s="41">
        <f t="shared" si="3"/>
        <v>0.28869047619047616</v>
      </c>
      <c r="W20" s="36" t="s">
        <v>86</v>
      </c>
      <c r="X20" s="36" t="s">
        <v>178</v>
      </c>
      <c r="Y20" s="36" t="s">
        <v>192</v>
      </c>
    </row>
    <row r="21" spans="1:25" x14ac:dyDescent="0.3">
      <c r="A21" s="36" t="s">
        <v>193</v>
      </c>
      <c r="B21" s="36">
        <v>61</v>
      </c>
      <c r="C21" s="36" t="str">
        <f t="shared" si="0"/>
        <v>45+</v>
      </c>
      <c r="D21" s="36" t="s">
        <v>144</v>
      </c>
      <c r="E21" s="36" t="s">
        <v>69</v>
      </c>
      <c r="F21" s="36" t="s">
        <v>47</v>
      </c>
      <c r="G21" s="36" t="s">
        <v>194</v>
      </c>
      <c r="H21" s="36" t="s">
        <v>195</v>
      </c>
      <c r="I21" s="36" t="s">
        <v>94</v>
      </c>
      <c r="J21" s="37">
        <v>585</v>
      </c>
      <c r="K21" s="36" t="s">
        <v>25</v>
      </c>
      <c r="L21" s="36" t="s">
        <v>39</v>
      </c>
      <c r="M21" s="38"/>
      <c r="N21" s="38">
        <v>9.5</v>
      </c>
      <c r="O21" s="39" t="str">
        <f t="shared" si="1"/>
        <v/>
      </c>
      <c r="P21" s="40">
        <v>10</v>
      </c>
      <c r="Q21" s="36" t="str">
        <f t="shared" si="2"/>
        <v>Paid</v>
      </c>
      <c r="R21" s="38">
        <v>4.0999999999999996</v>
      </c>
      <c r="S21" s="36">
        <v>3</v>
      </c>
      <c r="T21" s="36">
        <v>4</v>
      </c>
      <c r="U21" s="38">
        <v>5.4</v>
      </c>
      <c r="V21" s="41" t="str">
        <f t="shared" si="3"/>
        <v/>
      </c>
      <c r="W21" s="36" t="s">
        <v>88</v>
      </c>
      <c r="X21" s="36" t="s">
        <v>196</v>
      </c>
      <c r="Y21" s="36" t="s">
        <v>197</v>
      </c>
    </row>
    <row r="22" spans="1:25" x14ac:dyDescent="0.3">
      <c r="A22" s="36" t="s">
        <v>198</v>
      </c>
      <c r="B22" s="36">
        <v>24</v>
      </c>
      <c r="C22" s="36" t="str">
        <f t="shared" si="0"/>
        <v>18-24</v>
      </c>
      <c r="D22" s="36" t="s">
        <v>133</v>
      </c>
      <c r="E22" s="36" t="s">
        <v>61</v>
      </c>
      <c r="F22" s="36" t="s">
        <v>47</v>
      </c>
      <c r="G22" s="36" t="s">
        <v>194</v>
      </c>
      <c r="H22" s="36" t="s">
        <v>199</v>
      </c>
      <c r="I22" s="36" t="s">
        <v>42</v>
      </c>
      <c r="J22" s="37">
        <v>1977</v>
      </c>
      <c r="K22" s="36" t="s">
        <v>24</v>
      </c>
      <c r="L22" s="36" t="s">
        <v>42</v>
      </c>
      <c r="M22" s="38">
        <v>0.9</v>
      </c>
      <c r="N22" s="38">
        <v>7.3</v>
      </c>
      <c r="O22" s="39">
        <f t="shared" si="1"/>
        <v>0.12328767123287672</v>
      </c>
      <c r="P22" s="40">
        <v>10</v>
      </c>
      <c r="Q22" s="36" t="str">
        <f t="shared" si="2"/>
        <v>Paid</v>
      </c>
      <c r="R22" s="38">
        <v>4.0999999999999996</v>
      </c>
      <c r="S22" s="36">
        <v>3</v>
      </c>
      <c r="T22" s="36">
        <v>6</v>
      </c>
      <c r="U22" s="38">
        <v>0</v>
      </c>
      <c r="V22" s="41">
        <f t="shared" si="3"/>
        <v>0</v>
      </c>
      <c r="W22" s="36" t="s">
        <v>87</v>
      </c>
      <c r="X22" s="36"/>
      <c r="Y22" s="36" t="s">
        <v>200</v>
      </c>
    </row>
    <row r="23" spans="1:25" x14ac:dyDescent="0.3">
      <c r="A23" s="36" t="s">
        <v>201</v>
      </c>
      <c r="B23" s="36">
        <v>23</v>
      </c>
      <c r="C23" s="36" t="str">
        <f t="shared" si="0"/>
        <v>18-24</v>
      </c>
      <c r="D23" s="36" t="s">
        <v>133</v>
      </c>
      <c r="E23" s="36" t="s">
        <v>64</v>
      </c>
      <c r="F23" s="36" t="s">
        <v>46</v>
      </c>
      <c r="G23" s="36" t="s">
        <v>134</v>
      </c>
      <c r="H23" s="36" t="s">
        <v>188</v>
      </c>
      <c r="I23" s="36" t="s">
        <v>91</v>
      </c>
      <c r="J23" s="37">
        <v>0</v>
      </c>
      <c r="K23" s="36" t="s">
        <v>24</v>
      </c>
      <c r="L23" s="36" t="s">
        <v>37</v>
      </c>
      <c r="M23" s="38">
        <v>1.7</v>
      </c>
      <c r="N23" s="38">
        <v>5.4</v>
      </c>
      <c r="O23" s="39">
        <f t="shared" si="1"/>
        <v>0.31481481481481477</v>
      </c>
      <c r="P23" s="40">
        <v>20</v>
      </c>
      <c r="Q23" s="36" t="str">
        <f t="shared" si="2"/>
        <v>Paid</v>
      </c>
      <c r="R23" s="38">
        <v>2.8</v>
      </c>
      <c r="S23" s="36">
        <v>2</v>
      </c>
      <c r="T23" s="36">
        <v>3</v>
      </c>
      <c r="U23" s="38">
        <v>2.7</v>
      </c>
      <c r="V23" s="41">
        <f t="shared" si="3"/>
        <v>0.22689075630252101</v>
      </c>
      <c r="W23" s="36" t="s">
        <v>88</v>
      </c>
      <c r="X23" s="36"/>
      <c r="Y23" s="36" t="s">
        <v>202</v>
      </c>
    </row>
    <row r="24" spans="1:25" x14ac:dyDescent="0.3">
      <c r="A24" s="36" t="s">
        <v>203</v>
      </c>
      <c r="B24" s="36">
        <v>29</v>
      </c>
      <c r="C24" s="36" t="str">
        <f t="shared" si="0"/>
        <v>25-34</v>
      </c>
      <c r="D24" s="36" t="s">
        <v>144</v>
      </c>
      <c r="E24" s="36" t="s">
        <v>70</v>
      </c>
      <c r="F24" s="36" t="s">
        <v>47</v>
      </c>
      <c r="G24" s="36" t="s">
        <v>138</v>
      </c>
      <c r="H24" s="36" t="s">
        <v>204</v>
      </c>
      <c r="I24" s="36" t="s">
        <v>42</v>
      </c>
      <c r="J24" s="37"/>
      <c r="K24" s="36" t="s">
        <v>24</v>
      </c>
      <c r="L24" s="36" t="s">
        <v>42</v>
      </c>
      <c r="M24" s="38">
        <v>1</v>
      </c>
      <c r="N24" s="38">
        <v>8</v>
      </c>
      <c r="O24" s="39">
        <f t="shared" si="1"/>
        <v>0.125</v>
      </c>
      <c r="P24" s="40"/>
      <c r="Q24" s="36" t="str">
        <f t="shared" si="2"/>
        <v/>
      </c>
      <c r="R24" s="38">
        <v>4</v>
      </c>
      <c r="S24" s="36">
        <v>3</v>
      </c>
      <c r="T24" s="36">
        <v>6</v>
      </c>
      <c r="U24" s="38">
        <v>2.7</v>
      </c>
      <c r="V24" s="41">
        <f t="shared" si="3"/>
        <v>0.38571428571428573</v>
      </c>
      <c r="W24" s="36" t="s">
        <v>87</v>
      </c>
      <c r="X24" s="36"/>
      <c r="Y24" s="36"/>
    </row>
    <row r="25" spans="1:25" x14ac:dyDescent="0.3">
      <c r="A25" s="36" t="s">
        <v>205</v>
      </c>
      <c r="B25" s="36">
        <v>29</v>
      </c>
      <c r="C25" s="36" t="str">
        <f t="shared" si="0"/>
        <v>25-34</v>
      </c>
      <c r="D25" s="36"/>
      <c r="E25" s="36" t="s">
        <v>65</v>
      </c>
      <c r="F25" s="36" t="s">
        <v>46</v>
      </c>
      <c r="G25" s="36" t="s">
        <v>159</v>
      </c>
      <c r="H25" s="36" t="s">
        <v>142</v>
      </c>
      <c r="I25" s="36" t="s">
        <v>92</v>
      </c>
      <c r="J25" s="37">
        <v>0</v>
      </c>
      <c r="K25" s="36" t="s">
        <v>29</v>
      </c>
      <c r="L25" s="36" t="s">
        <v>36</v>
      </c>
      <c r="M25" s="38">
        <v>2.6</v>
      </c>
      <c r="N25" s="38">
        <v>6.2</v>
      </c>
      <c r="O25" s="39">
        <f t="shared" si="1"/>
        <v>0.41935483870967744</v>
      </c>
      <c r="P25" s="40">
        <v>10</v>
      </c>
      <c r="Q25" s="36" t="str">
        <f t="shared" si="2"/>
        <v>Paid</v>
      </c>
      <c r="R25" s="38">
        <v>3.7</v>
      </c>
      <c r="S25" s="36">
        <v>4</v>
      </c>
      <c r="T25" s="36">
        <v>7</v>
      </c>
      <c r="U25" s="38">
        <v>4.8</v>
      </c>
      <c r="V25" s="41">
        <f t="shared" si="3"/>
        <v>0.26373626373626374</v>
      </c>
      <c r="W25" s="36" t="s">
        <v>86</v>
      </c>
      <c r="X25" s="36"/>
      <c r="Y25" s="36" t="s">
        <v>206</v>
      </c>
    </row>
    <row r="26" spans="1:25" x14ac:dyDescent="0.3">
      <c r="A26" s="36" t="s">
        <v>207</v>
      </c>
      <c r="B26" s="36">
        <v>24</v>
      </c>
      <c r="C26" s="36" t="str">
        <f t="shared" si="0"/>
        <v>18-24</v>
      </c>
      <c r="D26" s="36" t="s">
        <v>133</v>
      </c>
      <c r="E26" s="36" t="s">
        <v>65</v>
      </c>
      <c r="F26" s="36" t="s">
        <v>46</v>
      </c>
      <c r="G26" s="36"/>
      <c r="H26" s="36" t="s">
        <v>171</v>
      </c>
      <c r="I26" s="36" t="s">
        <v>95</v>
      </c>
      <c r="J26" s="37">
        <v>444</v>
      </c>
      <c r="K26" s="36" t="s">
        <v>25</v>
      </c>
      <c r="L26" s="36" t="s">
        <v>38</v>
      </c>
      <c r="M26" s="38">
        <v>1.2</v>
      </c>
      <c r="N26" s="38">
        <v>7.2</v>
      </c>
      <c r="O26" s="39">
        <f t="shared" si="1"/>
        <v>0.16666666666666666</v>
      </c>
      <c r="P26" s="40">
        <v>0</v>
      </c>
      <c r="Q26" s="36" t="str">
        <f t="shared" si="2"/>
        <v>Free</v>
      </c>
      <c r="R26" s="38">
        <v>3.8</v>
      </c>
      <c r="S26" s="36">
        <v>3</v>
      </c>
      <c r="T26" s="36">
        <v>5</v>
      </c>
      <c r="U26" s="38">
        <v>3</v>
      </c>
      <c r="V26" s="41">
        <f t="shared" si="3"/>
        <v>0.35714285714285715</v>
      </c>
      <c r="W26" s="36" t="s">
        <v>88</v>
      </c>
      <c r="X26" s="36"/>
      <c r="Y26" s="36" t="s">
        <v>208</v>
      </c>
    </row>
    <row r="27" spans="1:25" x14ac:dyDescent="0.3">
      <c r="A27" s="36" t="s">
        <v>209</v>
      </c>
      <c r="B27" s="36">
        <v>28</v>
      </c>
      <c r="C27" s="36" t="str">
        <f t="shared" si="0"/>
        <v>25-34</v>
      </c>
      <c r="D27" s="36" t="s">
        <v>144</v>
      </c>
      <c r="E27" s="36" t="s">
        <v>67</v>
      </c>
      <c r="F27" s="36" t="s">
        <v>47</v>
      </c>
      <c r="G27" s="36" t="s">
        <v>138</v>
      </c>
      <c r="H27" s="36" t="s">
        <v>210</v>
      </c>
      <c r="I27" s="36" t="s">
        <v>91</v>
      </c>
      <c r="J27" s="37">
        <v>392</v>
      </c>
      <c r="K27" s="36" t="s">
        <v>24</v>
      </c>
      <c r="L27" s="36" t="s">
        <v>40</v>
      </c>
      <c r="M27" s="38">
        <v>1.6</v>
      </c>
      <c r="N27" s="38">
        <v>7.8</v>
      </c>
      <c r="O27" s="39">
        <f t="shared" si="1"/>
        <v>0.20512820512820515</v>
      </c>
      <c r="P27" s="40">
        <v>10</v>
      </c>
      <c r="Q27" s="36" t="str">
        <f t="shared" si="2"/>
        <v>Paid</v>
      </c>
      <c r="R27" s="38">
        <v>4</v>
      </c>
      <c r="S27" s="36">
        <v>2</v>
      </c>
      <c r="T27" s="36">
        <v>3</v>
      </c>
      <c r="U27" s="38">
        <v>4.5</v>
      </c>
      <c r="V27" s="41">
        <f t="shared" si="3"/>
        <v>0.40178571428571425</v>
      </c>
      <c r="W27" s="36" t="s">
        <v>86</v>
      </c>
      <c r="X27" s="36"/>
      <c r="Y27" s="36" t="s">
        <v>211</v>
      </c>
    </row>
    <row r="28" spans="1:25" x14ac:dyDescent="0.3">
      <c r="A28" s="36" t="s">
        <v>212</v>
      </c>
      <c r="B28" s="36">
        <v>23</v>
      </c>
      <c r="C28" s="36" t="str">
        <f t="shared" si="0"/>
        <v>18-24</v>
      </c>
      <c r="D28" s="36" t="s">
        <v>133</v>
      </c>
      <c r="E28" s="36" t="s">
        <v>66</v>
      </c>
      <c r="F28" s="36" t="s">
        <v>46</v>
      </c>
      <c r="G28" s="36" t="s">
        <v>148</v>
      </c>
      <c r="H28" s="36" t="s">
        <v>142</v>
      </c>
      <c r="I28" s="36" t="s">
        <v>92</v>
      </c>
      <c r="J28" s="37">
        <v>215</v>
      </c>
      <c r="K28" s="36" t="s">
        <v>24</v>
      </c>
      <c r="L28" s="36" t="s">
        <v>36</v>
      </c>
      <c r="M28" s="38">
        <v>0.6</v>
      </c>
      <c r="N28" s="38">
        <v>6.5</v>
      </c>
      <c r="O28" s="39">
        <f t="shared" si="1"/>
        <v>9.2307692307692299E-2</v>
      </c>
      <c r="P28" s="40">
        <v>10</v>
      </c>
      <c r="Q28" s="36" t="str">
        <f t="shared" si="2"/>
        <v>Paid</v>
      </c>
      <c r="R28" s="38">
        <v>3</v>
      </c>
      <c r="S28" s="36">
        <v>4</v>
      </c>
      <c r="T28" s="36">
        <v>5</v>
      </c>
      <c r="U28" s="38">
        <v>0</v>
      </c>
      <c r="V28" s="41">
        <f t="shared" si="3"/>
        <v>0</v>
      </c>
      <c r="W28" s="36" t="s">
        <v>88</v>
      </c>
      <c r="X28" s="36"/>
      <c r="Y28" s="36" t="s">
        <v>213</v>
      </c>
    </row>
    <row r="29" spans="1:25" x14ac:dyDescent="0.3">
      <c r="A29" s="36" t="s">
        <v>214</v>
      </c>
      <c r="B29" s="36">
        <v>28</v>
      </c>
      <c r="C29" s="36" t="str">
        <f t="shared" si="0"/>
        <v>25-34</v>
      </c>
      <c r="D29" s="36" t="s">
        <v>133</v>
      </c>
      <c r="E29" s="36" t="s">
        <v>66</v>
      </c>
      <c r="F29" s="36" t="s">
        <v>47</v>
      </c>
      <c r="G29" s="36" t="s">
        <v>138</v>
      </c>
      <c r="H29" s="36" t="s">
        <v>215</v>
      </c>
      <c r="I29" s="36" t="s">
        <v>94</v>
      </c>
      <c r="J29" s="37">
        <v>1567</v>
      </c>
      <c r="K29" s="36" t="s">
        <v>26</v>
      </c>
      <c r="L29" s="36" t="s">
        <v>39</v>
      </c>
      <c r="M29" s="38">
        <v>0.7</v>
      </c>
      <c r="N29" s="38">
        <v>8.1</v>
      </c>
      <c r="O29" s="39">
        <f t="shared" si="1"/>
        <v>8.6419753086419748E-2</v>
      </c>
      <c r="P29" s="40">
        <v>0</v>
      </c>
      <c r="Q29" s="36" t="str">
        <f t="shared" si="2"/>
        <v>Free</v>
      </c>
      <c r="R29" s="38">
        <v>4</v>
      </c>
      <c r="S29" s="36">
        <v>3</v>
      </c>
      <c r="T29" s="36">
        <v>6</v>
      </c>
      <c r="U29" s="38">
        <v>4.4000000000000004</v>
      </c>
      <c r="V29" s="41">
        <f t="shared" si="3"/>
        <v>0.89795918367346961</v>
      </c>
      <c r="W29" s="36" t="s">
        <v>88</v>
      </c>
      <c r="X29" s="36"/>
      <c r="Y29" s="36" t="s">
        <v>216</v>
      </c>
    </row>
    <row r="30" spans="1:25" x14ac:dyDescent="0.3">
      <c r="A30" s="36" t="s">
        <v>217</v>
      </c>
      <c r="B30" s="36">
        <v>23</v>
      </c>
      <c r="C30" s="36" t="str">
        <f t="shared" si="0"/>
        <v>18-24</v>
      </c>
      <c r="D30" s="36" t="s">
        <v>144</v>
      </c>
      <c r="E30" s="36" t="s">
        <v>63</v>
      </c>
      <c r="F30" s="36" t="s">
        <v>46</v>
      </c>
      <c r="G30" s="36" t="s">
        <v>148</v>
      </c>
      <c r="H30" s="36" t="s">
        <v>149</v>
      </c>
      <c r="I30" s="36" t="s">
        <v>94</v>
      </c>
      <c r="J30" s="37"/>
      <c r="K30" s="36" t="s">
        <v>24</v>
      </c>
      <c r="L30" s="36" t="s">
        <v>38</v>
      </c>
      <c r="M30" s="38">
        <v>7.4</v>
      </c>
      <c r="N30" s="38">
        <v>6.8</v>
      </c>
      <c r="O30" s="39">
        <f t="shared" si="1"/>
        <v>1.0882352941176472</v>
      </c>
      <c r="P30" s="40">
        <v>0</v>
      </c>
      <c r="Q30" s="36" t="str">
        <f t="shared" si="2"/>
        <v>Free</v>
      </c>
      <c r="R30" s="38">
        <v>8.6999999999999993</v>
      </c>
      <c r="S30" s="36">
        <v>3</v>
      </c>
      <c r="T30" s="36">
        <v>9</v>
      </c>
      <c r="U30" s="38">
        <v>12.3</v>
      </c>
      <c r="V30" s="41">
        <f t="shared" si="3"/>
        <v>0.23745173745173745</v>
      </c>
      <c r="W30" s="36" t="s">
        <v>86</v>
      </c>
      <c r="X30" s="36" t="s">
        <v>178</v>
      </c>
      <c r="Y30" s="36" t="s">
        <v>218</v>
      </c>
    </row>
    <row r="31" spans="1:25" x14ac:dyDescent="0.3">
      <c r="A31" s="36" t="s">
        <v>219</v>
      </c>
      <c r="B31" s="36"/>
      <c r="C31" s="36" t="str">
        <f t="shared" si="0"/>
        <v/>
      </c>
      <c r="D31" s="36" t="s">
        <v>133</v>
      </c>
      <c r="E31" s="36" t="s">
        <v>68</v>
      </c>
      <c r="F31" s="36" t="s">
        <v>46</v>
      </c>
      <c r="G31" s="36"/>
      <c r="H31" s="36" t="s">
        <v>220</v>
      </c>
      <c r="I31" s="36" t="s">
        <v>96</v>
      </c>
      <c r="J31" s="37">
        <v>0</v>
      </c>
      <c r="K31" s="36" t="s">
        <v>24</v>
      </c>
      <c r="L31" s="36" t="s">
        <v>39</v>
      </c>
      <c r="M31" s="38">
        <v>5.4</v>
      </c>
      <c r="N31" s="38">
        <v>4.8</v>
      </c>
      <c r="O31" s="39">
        <f t="shared" si="1"/>
        <v>1.1250000000000002</v>
      </c>
      <c r="P31" s="40">
        <v>0</v>
      </c>
      <c r="Q31" s="36" t="str">
        <f t="shared" si="2"/>
        <v>Free</v>
      </c>
      <c r="R31" s="38">
        <v>7.2</v>
      </c>
      <c r="S31" s="36">
        <v>4</v>
      </c>
      <c r="T31" s="36">
        <v>8</v>
      </c>
      <c r="U31" s="38">
        <v>10.7</v>
      </c>
      <c r="V31" s="41">
        <f t="shared" si="3"/>
        <v>0.28306878306878303</v>
      </c>
      <c r="W31" s="36" t="s">
        <v>88</v>
      </c>
      <c r="X31" s="36" t="s">
        <v>178</v>
      </c>
      <c r="Y31" s="36" t="s">
        <v>221</v>
      </c>
    </row>
    <row r="32" spans="1:25" x14ac:dyDescent="0.3">
      <c r="A32" s="36" t="s">
        <v>222</v>
      </c>
      <c r="B32" s="36">
        <v>23</v>
      </c>
      <c r="C32" s="36" t="str">
        <f t="shared" si="0"/>
        <v>18-24</v>
      </c>
      <c r="D32" s="36" t="s">
        <v>133</v>
      </c>
      <c r="E32" s="36" t="s">
        <v>68</v>
      </c>
      <c r="F32" s="36" t="s">
        <v>46</v>
      </c>
      <c r="G32" s="36" t="s">
        <v>148</v>
      </c>
      <c r="H32" s="36" t="s">
        <v>188</v>
      </c>
      <c r="I32" s="36" t="s">
        <v>91</v>
      </c>
      <c r="J32" s="37">
        <v>531</v>
      </c>
      <c r="K32" s="36" t="s">
        <v>24</v>
      </c>
      <c r="L32" s="36" t="s">
        <v>37</v>
      </c>
      <c r="M32" s="38">
        <v>5.2</v>
      </c>
      <c r="N32" s="38">
        <v>7</v>
      </c>
      <c r="O32" s="39">
        <f t="shared" si="1"/>
        <v>0.74285714285714288</v>
      </c>
      <c r="P32" s="40">
        <v>0</v>
      </c>
      <c r="Q32" s="36" t="str">
        <f t="shared" si="2"/>
        <v>Free</v>
      </c>
      <c r="R32" s="38">
        <v>6.7</v>
      </c>
      <c r="S32" s="36"/>
      <c r="T32" s="36">
        <v>7</v>
      </c>
      <c r="U32" s="38">
        <v>12.1</v>
      </c>
      <c r="V32" s="41">
        <f t="shared" si="3"/>
        <v>0.3324175824175824</v>
      </c>
      <c r="W32" s="36" t="s">
        <v>86</v>
      </c>
      <c r="X32" s="36"/>
      <c r="Y32" s="36" t="s">
        <v>223</v>
      </c>
    </row>
    <row r="33" spans="1:25" x14ac:dyDescent="0.3">
      <c r="A33" s="36" t="s">
        <v>224</v>
      </c>
      <c r="B33" s="36">
        <v>44</v>
      </c>
      <c r="C33" s="36" t="str">
        <f t="shared" si="0"/>
        <v>35-44</v>
      </c>
      <c r="D33" s="36" t="s">
        <v>144</v>
      </c>
      <c r="E33" s="36" t="s">
        <v>191</v>
      </c>
      <c r="F33" s="36" t="s">
        <v>47</v>
      </c>
      <c r="G33" s="36" t="s">
        <v>138</v>
      </c>
      <c r="H33" s="36" t="s">
        <v>168</v>
      </c>
      <c r="I33" s="36" t="s">
        <v>93</v>
      </c>
      <c r="J33" s="37">
        <v>258</v>
      </c>
      <c r="K33" s="36" t="s">
        <v>31</v>
      </c>
      <c r="L33" s="36"/>
      <c r="M33" s="38">
        <v>3.7</v>
      </c>
      <c r="N33" s="38">
        <v>6.9</v>
      </c>
      <c r="O33" s="39">
        <f t="shared" si="1"/>
        <v>0.53623188405797106</v>
      </c>
      <c r="P33" s="40">
        <v>0</v>
      </c>
      <c r="Q33" s="36" t="str">
        <f t="shared" si="2"/>
        <v>Free</v>
      </c>
      <c r="R33" s="38">
        <v>4.5999999999999996</v>
      </c>
      <c r="S33" s="36">
        <v>5</v>
      </c>
      <c r="T33" s="36">
        <v>6</v>
      </c>
      <c r="U33" s="38">
        <v>5.7</v>
      </c>
      <c r="V33" s="41">
        <f t="shared" si="3"/>
        <v>0.22007722007722005</v>
      </c>
      <c r="W33" s="36" t="s">
        <v>86</v>
      </c>
      <c r="X33" s="36"/>
      <c r="Y33" s="36" t="s">
        <v>225</v>
      </c>
    </row>
    <row r="34" spans="1:25" x14ac:dyDescent="0.3">
      <c r="A34" s="36" t="s">
        <v>226</v>
      </c>
      <c r="B34" s="36">
        <v>23</v>
      </c>
      <c r="C34" s="36" t="str">
        <f t="shared" si="0"/>
        <v>18-24</v>
      </c>
      <c r="D34" s="36" t="s">
        <v>133</v>
      </c>
      <c r="E34" s="36" t="s">
        <v>69</v>
      </c>
      <c r="F34" s="36" t="s">
        <v>47</v>
      </c>
      <c r="G34" s="36" t="s">
        <v>194</v>
      </c>
      <c r="H34" s="36" t="s">
        <v>227</v>
      </c>
      <c r="I34" s="36" t="s">
        <v>94</v>
      </c>
      <c r="J34" s="37">
        <v>334</v>
      </c>
      <c r="K34" s="36" t="s">
        <v>24</v>
      </c>
      <c r="L34" s="36" t="s">
        <v>39</v>
      </c>
      <c r="M34" s="38">
        <v>2.2999999999999998</v>
      </c>
      <c r="N34" s="38">
        <v>7.7</v>
      </c>
      <c r="O34" s="39">
        <f t="shared" si="1"/>
        <v>0.29870129870129869</v>
      </c>
      <c r="P34" s="40">
        <v>20</v>
      </c>
      <c r="Q34" s="36" t="str">
        <f t="shared" si="2"/>
        <v>Paid</v>
      </c>
      <c r="R34" s="38">
        <v>3.9</v>
      </c>
      <c r="S34" s="36">
        <v>2</v>
      </c>
      <c r="T34" s="36">
        <v>5</v>
      </c>
      <c r="U34" s="38">
        <v>2.5</v>
      </c>
      <c r="V34" s="41">
        <f t="shared" si="3"/>
        <v>0.15527950310559008</v>
      </c>
      <c r="W34" s="36" t="s">
        <v>88</v>
      </c>
      <c r="X34" s="36"/>
      <c r="Y34" s="36" t="s">
        <v>228</v>
      </c>
    </row>
    <row r="35" spans="1:25" x14ac:dyDescent="0.3">
      <c r="A35" s="36" t="s">
        <v>229</v>
      </c>
      <c r="B35" s="36">
        <v>23</v>
      </c>
      <c r="C35" s="36" t="str">
        <f t="shared" si="0"/>
        <v>18-24</v>
      </c>
      <c r="D35" s="36" t="s">
        <v>133</v>
      </c>
      <c r="E35" s="36" t="s">
        <v>61</v>
      </c>
      <c r="F35" s="36" t="s">
        <v>46</v>
      </c>
      <c r="G35" s="36" t="s">
        <v>159</v>
      </c>
      <c r="H35" s="36" t="s">
        <v>230</v>
      </c>
      <c r="I35" s="36" t="s">
        <v>95</v>
      </c>
      <c r="J35" s="37">
        <v>169</v>
      </c>
      <c r="K35" s="36"/>
      <c r="L35" s="36" t="s">
        <v>38</v>
      </c>
      <c r="M35" s="38">
        <v>5.4</v>
      </c>
      <c r="N35" s="38">
        <v>6.9</v>
      </c>
      <c r="O35" s="39">
        <f t="shared" si="1"/>
        <v>0.78260869565217395</v>
      </c>
      <c r="P35" s="40">
        <v>0</v>
      </c>
      <c r="Q35" s="36" t="str">
        <f t="shared" si="2"/>
        <v>Free</v>
      </c>
      <c r="R35" s="38">
        <v>8.1</v>
      </c>
      <c r="S35" s="36">
        <v>4</v>
      </c>
      <c r="T35" s="36">
        <v>9</v>
      </c>
      <c r="U35" s="38">
        <v>6.8</v>
      </c>
      <c r="V35" s="41">
        <f t="shared" si="3"/>
        <v>0.17989417989417986</v>
      </c>
      <c r="W35" s="36" t="s">
        <v>86</v>
      </c>
      <c r="X35" s="36"/>
      <c r="Y35" s="36" t="s">
        <v>231</v>
      </c>
    </row>
    <row r="36" spans="1:25" x14ac:dyDescent="0.3">
      <c r="A36" s="36" t="s">
        <v>232</v>
      </c>
      <c r="B36" s="36">
        <v>22</v>
      </c>
      <c r="C36" s="36" t="str">
        <f t="shared" si="0"/>
        <v>18-24</v>
      </c>
      <c r="D36" s="36" t="s">
        <v>133</v>
      </c>
      <c r="E36" s="36" t="s">
        <v>63</v>
      </c>
      <c r="F36" s="36" t="s">
        <v>46</v>
      </c>
      <c r="G36" s="36" t="s">
        <v>148</v>
      </c>
      <c r="H36" s="36" t="s">
        <v>171</v>
      </c>
      <c r="I36" s="36" t="s">
        <v>95</v>
      </c>
      <c r="J36" s="37">
        <v>507</v>
      </c>
      <c r="K36" s="36" t="s">
        <v>28</v>
      </c>
      <c r="L36" s="36" t="s">
        <v>38</v>
      </c>
      <c r="M36" s="38">
        <v>1.9</v>
      </c>
      <c r="N36" s="38">
        <v>4.0999999999999996</v>
      </c>
      <c r="O36" s="39">
        <f t="shared" si="1"/>
        <v>0.46341463414634149</v>
      </c>
      <c r="P36" s="40">
        <v>0</v>
      </c>
      <c r="Q36" s="36" t="str">
        <f t="shared" si="2"/>
        <v>Free</v>
      </c>
      <c r="R36" s="38">
        <v>4.5999999999999996</v>
      </c>
      <c r="S36" s="36">
        <v>3</v>
      </c>
      <c r="T36" s="36">
        <v>4</v>
      </c>
      <c r="U36" s="38">
        <v>2</v>
      </c>
      <c r="V36" s="41">
        <f t="shared" si="3"/>
        <v>0.15037593984962408</v>
      </c>
      <c r="W36" s="36" t="s">
        <v>86</v>
      </c>
      <c r="X36" s="36"/>
      <c r="Y36" s="36" t="s">
        <v>233</v>
      </c>
    </row>
    <row r="37" spans="1:25" x14ac:dyDescent="0.3">
      <c r="A37" s="36" t="s">
        <v>234</v>
      </c>
      <c r="B37" s="36">
        <v>18</v>
      </c>
      <c r="C37" s="36" t="str">
        <f t="shared" si="0"/>
        <v>18-24</v>
      </c>
      <c r="D37" s="36" t="s">
        <v>133</v>
      </c>
      <c r="E37" s="36" t="s">
        <v>67</v>
      </c>
      <c r="F37" s="36" t="s">
        <v>46</v>
      </c>
      <c r="G37" s="36" t="s">
        <v>148</v>
      </c>
      <c r="H37" s="36" t="s">
        <v>235</v>
      </c>
      <c r="I37" s="36" t="s">
        <v>92</v>
      </c>
      <c r="J37" s="37">
        <v>0</v>
      </c>
      <c r="K37" s="36" t="s">
        <v>25</v>
      </c>
      <c r="L37" s="36" t="s">
        <v>38</v>
      </c>
      <c r="M37" s="38">
        <v>1.6</v>
      </c>
      <c r="N37" s="38">
        <v>3.2</v>
      </c>
      <c r="O37" s="39">
        <f t="shared" si="1"/>
        <v>0.5</v>
      </c>
      <c r="P37" s="40">
        <v>0</v>
      </c>
      <c r="Q37" s="36" t="str">
        <f t="shared" si="2"/>
        <v>Free</v>
      </c>
      <c r="R37" s="38">
        <v>3.3</v>
      </c>
      <c r="S37" s="36">
        <v>4</v>
      </c>
      <c r="T37" s="36">
        <v>5</v>
      </c>
      <c r="U37" s="38">
        <v>4.3</v>
      </c>
      <c r="V37" s="41">
        <f t="shared" si="3"/>
        <v>0.3839285714285714</v>
      </c>
      <c r="W37" s="36" t="s">
        <v>86</v>
      </c>
      <c r="X37" s="36"/>
      <c r="Y37" s="36"/>
    </row>
    <row r="38" spans="1:25" x14ac:dyDescent="0.3">
      <c r="A38" s="36" t="s">
        <v>236</v>
      </c>
      <c r="B38" s="36">
        <v>16</v>
      </c>
      <c r="C38" s="36" t="str">
        <f t="shared" si="0"/>
        <v>Under 18</v>
      </c>
      <c r="D38" s="36" t="s">
        <v>144</v>
      </c>
      <c r="E38" s="36"/>
      <c r="F38" s="36" t="s">
        <v>46</v>
      </c>
      <c r="G38" s="36" t="s">
        <v>148</v>
      </c>
      <c r="H38" s="36"/>
      <c r="I38" s="36"/>
      <c r="J38" s="37">
        <v>63</v>
      </c>
      <c r="K38" s="36" t="s">
        <v>28</v>
      </c>
      <c r="L38" s="36" t="s">
        <v>39</v>
      </c>
      <c r="M38" s="38">
        <v>1.9</v>
      </c>
      <c r="N38" s="38">
        <v>5.4</v>
      </c>
      <c r="O38" s="39">
        <f t="shared" si="1"/>
        <v>0.3518518518518518</v>
      </c>
      <c r="P38" s="40">
        <v>0</v>
      </c>
      <c r="Q38" s="36" t="str">
        <f t="shared" si="2"/>
        <v>Free</v>
      </c>
      <c r="R38" s="38">
        <v>3.5</v>
      </c>
      <c r="S38" s="36">
        <v>3</v>
      </c>
      <c r="T38" s="36">
        <v>5</v>
      </c>
      <c r="U38" s="38">
        <v>3</v>
      </c>
      <c r="V38" s="41">
        <f t="shared" si="3"/>
        <v>0.22556390977443611</v>
      </c>
      <c r="W38" s="36" t="s">
        <v>87</v>
      </c>
      <c r="X38" s="36"/>
      <c r="Y38" s="36" t="s">
        <v>237</v>
      </c>
    </row>
    <row r="39" spans="1:25" x14ac:dyDescent="0.3">
      <c r="A39" s="36" t="s">
        <v>238</v>
      </c>
      <c r="B39" s="36">
        <v>45</v>
      </c>
      <c r="C39" s="36" t="str">
        <f t="shared" si="0"/>
        <v>45+</v>
      </c>
      <c r="D39" s="36" t="s">
        <v>133</v>
      </c>
      <c r="E39" s="36" t="s">
        <v>64</v>
      </c>
      <c r="F39" s="36" t="s">
        <v>47</v>
      </c>
      <c r="G39" s="36" t="s">
        <v>134</v>
      </c>
      <c r="H39" s="36" t="s">
        <v>239</v>
      </c>
      <c r="I39" s="36" t="s">
        <v>92</v>
      </c>
      <c r="J39" s="37">
        <v>887</v>
      </c>
      <c r="K39" s="36"/>
      <c r="L39" s="36" t="s">
        <v>36</v>
      </c>
      <c r="M39" s="38">
        <v>1.5</v>
      </c>
      <c r="N39" s="38">
        <v>6.4</v>
      </c>
      <c r="O39" s="39">
        <f t="shared" si="1"/>
        <v>0.234375</v>
      </c>
      <c r="P39" s="40">
        <v>0</v>
      </c>
      <c r="Q39" s="36" t="str">
        <f t="shared" si="2"/>
        <v>Free</v>
      </c>
      <c r="R39" s="38">
        <v>5.3</v>
      </c>
      <c r="S39" s="36">
        <v>3</v>
      </c>
      <c r="T39" s="36">
        <v>5</v>
      </c>
      <c r="U39" s="38">
        <v>5.3</v>
      </c>
      <c r="V39" s="41">
        <f t="shared" si="3"/>
        <v>0.50476190476190474</v>
      </c>
      <c r="W39" s="36" t="s">
        <v>87</v>
      </c>
      <c r="X39" s="36"/>
      <c r="Y39" s="36" t="s">
        <v>240</v>
      </c>
    </row>
    <row r="40" spans="1:25" x14ac:dyDescent="0.3">
      <c r="A40" s="36" t="s">
        <v>241</v>
      </c>
      <c r="B40" s="36">
        <v>30</v>
      </c>
      <c r="C40" s="36" t="str">
        <f t="shared" si="0"/>
        <v>25-34</v>
      </c>
      <c r="D40" s="36"/>
      <c r="E40" s="36" t="s">
        <v>61</v>
      </c>
      <c r="F40" s="36" t="s">
        <v>47</v>
      </c>
      <c r="G40" s="36" t="s">
        <v>134</v>
      </c>
      <c r="H40" s="36" t="s">
        <v>242</v>
      </c>
      <c r="I40" s="36" t="s">
        <v>93</v>
      </c>
      <c r="J40" s="37">
        <v>1699</v>
      </c>
      <c r="K40" s="36" t="s">
        <v>28</v>
      </c>
      <c r="L40" s="36" t="s">
        <v>41</v>
      </c>
      <c r="M40" s="38">
        <v>5.5</v>
      </c>
      <c r="N40" s="38">
        <v>7.5</v>
      </c>
      <c r="O40" s="39">
        <f t="shared" si="1"/>
        <v>0.73333333333333328</v>
      </c>
      <c r="P40" s="40">
        <v>10</v>
      </c>
      <c r="Q40" s="36" t="str">
        <f t="shared" si="2"/>
        <v>Paid</v>
      </c>
      <c r="R40" s="38"/>
      <c r="S40" s="36">
        <v>4</v>
      </c>
      <c r="T40" s="36">
        <v>8</v>
      </c>
      <c r="U40" s="38">
        <v>6.5</v>
      </c>
      <c r="V40" s="41">
        <f t="shared" si="3"/>
        <v>0.16883116883116883</v>
      </c>
      <c r="W40" s="36" t="s">
        <v>86</v>
      </c>
      <c r="X40" s="36"/>
      <c r="Y40" s="36" t="s">
        <v>243</v>
      </c>
    </row>
    <row r="41" spans="1:25" x14ac:dyDescent="0.3">
      <c r="A41" s="36" t="s">
        <v>244</v>
      </c>
      <c r="B41" s="36">
        <v>43</v>
      </c>
      <c r="C41" s="36" t="str">
        <f t="shared" si="0"/>
        <v>35-44</v>
      </c>
      <c r="D41" s="36" t="s">
        <v>133</v>
      </c>
      <c r="E41" s="36" t="s">
        <v>66</v>
      </c>
      <c r="F41" s="36" t="s">
        <v>47</v>
      </c>
      <c r="G41" s="36" t="s">
        <v>245</v>
      </c>
      <c r="H41" s="36" t="s">
        <v>246</v>
      </c>
      <c r="I41" s="36" t="s">
        <v>92</v>
      </c>
      <c r="J41" s="37"/>
      <c r="K41" s="36" t="s">
        <v>24</v>
      </c>
      <c r="L41" s="36" t="s">
        <v>36</v>
      </c>
      <c r="M41" s="38">
        <v>0.6</v>
      </c>
      <c r="N41" s="38">
        <v>10.1</v>
      </c>
      <c r="O41" s="39">
        <f t="shared" si="1"/>
        <v>5.9405940594059403E-2</v>
      </c>
      <c r="P41" s="40">
        <v>20</v>
      </c>
      <c r="Q41" s="36" t="str">
        <f t="shared" si="2"/>
        <v>Paid</v>
      </c>
      <c r="R41" s="38">
        <v>4</v>
      </c>
      <c r="S41" s="36">
        <v>2</v>
      </c>
      <c r="T41" s="36">
        <v>5</v>
      </c>
      <c r="U41" s="38">
        <v>0</v>
      </c>
      <c r="V41" s="41">
        <f t="shared" si="3"/>
        <v>0</v>
      </c>
      <c r="W41" s="36" t="s">
        <v>87</v>
      </c>
      <c r="X41" s="36"/>
      <c r="Y41" s="36" t="s">
        <v>247</v>
      </c>
    </row>
    <row r="42" spans="1:25" x14ac:dyDescent="0.3">
      <c r="A42" s="36" t="s">
        <v>248</v>
      </c>
      <c r="B42" s="36">
        <v>29</v>
      </c>
      <c r="C42" s="36" t="str">
        <f t="shared" si="0"/>
        <v>25-34</v>
      </c>
      <c r="D42" s="36" t="s">
        <v>133</v>
      </c>
      <c r="E42" s="36" t="s">
        <v>62</v>
      </c>
      <c r="F42" s="36" t="s">
        <v>47</v>
      </c>
      <c r="G42" s="36" t="s">
        <v>138</v>
      </c>
      <c r="H42" s="36" t="s">
        <v>249</v>
      </c>
      <c r="I42" s="36" t="s">
        <v>91</v>
      </c>
      <c r="J42" s="37">
        <v>5260</v>
      </c>
      <c r="K42" s="36" t="s">
        <v>24</v>
      </c>
      <c r="L42" s="36" t="s">
        <v>37</v>
      </c>
      <c r="M42" s="38">
        <v>1.6</v>
      </c>
      <c r="N42" s="38">
        <v>6.7</v>
      </c>
      <c r="O42" s="39">
        <f t="shared" si="1"/>
        <v>0.23880597014925373</v>
      </c>
      <c r="P42" s="40">
        <v>0</v>
      </c>
      <c r="Q42" s="36" t="str">
        <f t="shared" si="2"/>
        <v>Free</v>
      </c>
      <c r="R42" s="38">
        <v>3.9</v>
      </c>
      <c r="S42" s="36">
        <v>4</v>
      </c>
      <c r="T42" s="36">
        <v>5</v>
      </c>
      <c r="U42" s="38">
        <v>5.2</v>
      </c>
      <c r="V42" s="41">
        <f t="shared" si="3"/>
        <v>0.46428571428571425</v>
      </c>
      <c r="W42" s="36"/>
      <c r="X42" s="36"/>
      <c r="Y42" s="36" t="s">
        <v>250</v>
      </c>
    </row>
    <row r="43" spans="1:25" x14ac:dyDescent="0.3">
      <c r="A43" s="36" t="s">
        <v>251</v>
      </c>
      <c r="B43" s="36">
        <v>36</v>
      </c>
      <c r="C43" s="36" t="str">
        <f t="shared" si="0"/>
        <v>35-44</v>
      </c>
      <c r="D43" s="36" t="s">
        <v>133</v>
      </c>
      <c r="E43" s="36" t="s">
        <v>64</v>
      </c>
      <c r="F43" s="36" t="s">
        <v>47</v>
      </c>
      <c r="G43" s="36" t="s">
        <v>134</v>
      </c>
      <c r="H43" s="36" t="s">
        <v>252</v>
      </c>
      <c r="I43" s="36" t="s">
        <v>92</v>
      </c>
      <c r="J43" s="37">
        <v>513</v>
      </c>
      <c r="K43" s="36" t="s">
        <v>24</v>
      </c>
      <c r="L43" s="36" t="s">
        <v>36</v>
      </c>
      <c r="M43" s="38">
        <v>3.7</v>
      </c>
      <c r="N43" s="38">
        <v>10.1</v>
      </c>
      <c r="O43" s="39">
        <f t="shared" si="1"/>
        <v>0.36633663366336638</v>
      </c>
      <c r="P43" s="40">
        <v>0</v>
      </c>
      <c r="Q43" s="36" t="str">
        <f t="shared" si="2"/>
        <v>Free</v>
      </c>
      <c r="R43" s="38">
        <v>5.7</v>
      </c>
      <c r="S43" s="36">
        <v>2</v>
      </c>
      <c r="T43" s="36">
        <v>5</v>
      </c>
      <c r="U43" s="38">
        <v>5.8</v>
      </c>
      <c r="V43" s="41">
        <f t="shared" si="3"/>
        <v>0.22393822393822391</v>
      </c>
      <c r="W43" s="36" t="s">
        <v>87</v>
      </c>
      <c r="X43" s="36"/>
      <c r="Y43" s="36" t="s">
        <v>253</v>
      </c>
    </row>
    <row r="44" spans="1:25" x14ac:dyDescent="0.3">
      <c r="A44" s="36" t="s">
        <v>254</v>
      </c>
      <c r="B44" s="36">
        <v>24</v>
      </c>
      <c r="C44" s="36" t="str">
        <f t="shared" si="0"/>
        <v>18-24</v>
      </c>
      <c r="D44" s="36" t="s">
        <v>144</v>
      </c>
      <c r="E44" s="36" t="s">
        <v>61</v>
      </c>
      <c r="F44" s="36" t="s">
        <v>47</v>
      </c>
      <c r="G44" s="36" t="s">
        <v>138</v>
      </c>
      <c r="H44" s="36" t="s">
        <v>174</v>
      </c>
      <c r="I44" s="36" t="s">
        <v>92</v>
      </c>
      <c r="J44" s="37">
        <v>2307</v>
      </c>
      <c r="K44" s="36" t="s">
        <v>29</v>
      </c>
      <c r="L44" s="36" t="s">
        <v>36</v>
      </c>
      <c r="M44" s="38">
        <v>0.6</v>
      </c>
      <c r="N44" s="38">
        <v>12</v>
      </c>
      <c r="O44" s="39">
        <f t="shared" si="1"/>
        <v>4.9999999999999996E-2</v>
      </c>
      <c r="P44" s="40">
        <v>0</v>
      </c>
      <c r="Q44" s="36" t="str">
        <f t="shared" si="2"/>
        <v>Free</v>
      </c>
      <c r="R44" s="38">
        <v>4.4000000000000004</v>
      </c>
      <c r="S44" s="36">
        <v>4</v>
      </c>
      <c r="T44" s="36">
        <v>7</v>
      </c>
      <c r="U44" s="38">
        <v>1.6</v>
      </c>
      <c r="V44" s="41">
        <f t="shared" si="3"/>
        <v>0.38095238095238093</v>
      </c>
      <c r="W44" s="36" t="s">
        <v>86</v>
      </c>
      <c r="X44" s="36"/>
      <c r="Y44" s="36" t="s">
        <v>255</v>
      </c>
    </row>
    <row r="45" spans="1:25" x14ac:dyDescent="0.3">
      <c r="A45" s="36" t="s">
        <v>256</v>
      </c>
      <c r="B45" s="36">
        <v>17</v>
      </c>
      <c r="C45" s="36" t="str">
        <f t="shared" si="0"/>
        <v>Under 18</v>
      </c>
      <c r="D45" s="36"/>
      <c r="E45" s="36" t="s">
        <v>66</v>
      </c>
      <c r="F45" s="36" t="s">
        <v>46</v>
      </c>
      <c r="G45" s="36" t="s">
        <v>148</v>
      </c>
      <c r="H45" s="36"/>
      <c r="I45" s="36"/>
      <c r="J45" s="37">
        <v>234</v>
      </c>
      <c r="K45" s="36" t="s">
        <v>24</v>
      </c>
      <c r="L45" s="36" t="s">
        <v>38</v>
      </c>
      <c r="M45" s="38">
        <v>5.0999999999999996</v>
      </c>
      <c r="N45" s="38">
        <v>7.2</v>
      </c>
      <c r="O45" s="39">
        <f t="shared" si="1"/>
        <v>0.70833333333333326</v>
      </c>
      <c r="P45" s="40">
        <v>0</v>
      </c>
      <c r="Q45" s="36" t="str">
        <f t="shared" si="2"/>
        <v>Free</v>
      </c>
      <c r="R45" s="38">
        <v>8.3000000000000007</v>
      </c>
      <c r="S45" s="36">
        <v>5</v>
      </c>
      <c r="T45" s="36">
        <v>9</v>
      </c>
      <c r="U45" s="38">
        <v>11.4</v>
      </c>
      <c r="V45" s="41">
        <f t="shared" si="3"/>
        <v>0.31932773109243701</v>
      </c>
      <c r="W45" s="36" t="s">
        <v>86</v>
      </c>
      <c r="X45" s="36"/>
      <c r="Y45" s="36" t="s">
        <v>257</v>
      </c>
    </row>
    <row r="46" spans="1:25" x14ac:dyDescent="0.3">
      <c r="A46" s="36" t="s">
        <v>258</v>
      </c>
      <c r="B46" s="36">
        <v>20</v>
      </c>
      <c r="C46" s="36" t="str">
        <f t="shared" si="0"/>
        <v>18-24</v>
      </c>
      <c r="D46" s="36" t="s">
        <v>133</v>
      </c>
      <c r="E46" s="36" t="s">
        <v>61</v>
      </c>
      <c r="F46" s="36" t="s">
        <v>46</v>
      </c>
      <c r="G46" s="36" t="s">
        <v>159</v>
      </c>
      <c r="H46" s="36" t="s">
        <v>142</v>
      </c>
      <c r="I46" s="36" t="s">
        <v>92</v>
      </c>
      <c r="J46" s="37">
        <v>206</v>
      </c>
      <c r="K46" s="36" t="s">
        <v>25</v>
      </c>
      <c r="L46" s="36" t="s">
        <v>36</v>
      </c>
      <c r="M46" s="38">
        <v>2.4</v>
      </c>
      <c r="N46" s="38">
        <v>8.6</v>
      </c>
      <c r="O46" s="39">
        <f t="shared" si="1"/>
        <v>0.27906976744186046</v>
      </c>
      <c r="P46" s="40">
        <v>20</v>
      </c>
      <c r="Q46" s="36" t="str">
        <f t="shared" si="2"/>
        <v>Paid</v>
      </c>
      <c r="R46" s="38">
        <v>5.5</v>
      </c>
      <c r="S46" s="36">
        <v>3</v>
      </c>
      <c r="T46" s="36">
        <v>5</v>
      </c>
      <c r="U46" s="38">
        <v>7.3</v>
      </c>
      <c r="V46" s="41">
        <f t="shared" si="3"/>
        <v>0.43452380952380948</v>
      </c>
      <c r="W46" s="36" t="s">
        <v>86</v>
      </c>
      <c r="X46" s="36"/>
      <c r="Y46" s="36" t="s">
        <v>259</v>
      </c>
    </row>
    <row r="47" spans="1:25" x14ac:dyDescent="0.3">
      <c r="A47" s="36" t="s">
        <v>260</v>
      </c>
      <c r="B47" s="36">
        <v>44</v>
      </c>
      <c r="C47" s="36" t="str">
        <f t="shared" si="0"/>
        <v>35-44</v>
      </c>
      <c r="D47" s="36" t="s">
        <v>144</v>
      </c>
      <c r="E47" s="36" t="s">
        <v>69</v>
      </c>
      <c r="F47" s="36" t="s">
        <v>47</v>
      </c>
      <c r="G47" s="36" t="s">
        <v>134</v>
      </c>
      <c r="H47" s="36" t="s">
        <v>261</v>
      </c>
      <c r="I47" s="36" t="s">
        <v>94</v>
      </c>
      <c r="J47" s="37">
        <v>384</v>
      </c>
      <c r="K47" s="36" t="s">
        <v>26</v>
      </c>
      <c r="L47" s="36" t="s">
        <v>39</v>
      </c>
      <c r="M47" s="38">
        <v>0.9</v>
      </c>
      <c r="N47" s="38">
        <v>7.9</v>
      </c>
      <c r="O47" s="39">
        <f t="shared" si="1"/>
        <v>0.11392405063291139</v>
      </c>
      <c r="P47" s="40">
        <v>10</v>
      </c>
      <c r="Q47" s="36" t="str">
        <f t="shared" si="2"/>
        <v>Paid</v>
      </c>
      <c r="R47" s="38">
        <v>3.1</v>
      </c>
      <c r="S47" s="36">
        <v>3</v>
      </c>
      <c r="T47" s="36">
        <v>4</v>
      </c>
      <c r="U47" s="38">
        <v>1.2</v>
      </c>
      <c r="V47" s="41">
        <f t="shared" si="3"/>
        <v>0.19047619047619047</v>
      </c>
      <c r="W47" s="36" t="s">
        <v>88</v>
      </c>
      <c r="X47" s="36"/>
      <c r="Y47" s="36" t="s">
        <v>262</v>
      </c>
    </row>
    <row r="48" spans="1:25" x14ac:dyDescent="0.3">
      <c r="A48" s="36" t="s">
        <v>263</v>
      </c>
      <c r="B48" s="36">
        <v>21</v>
      </c>
      <c r="C48" s="36" t="str">
        <f t="shared" si="0"/>
        <v>18-24</v>
      </c>
      <c r="D48" s="36" t="s">
        <v>133</v>
      </c>
      <c r="E48" s="36" t="s">
        <v>65</v>
      </c>
      <c r="F48" s="36" t="s">
        <v>46</v>
      </c>
      <c r="G48" s="36" t="s">
        <v>134</v>
      </c>
      <c r="H48" s="36" t="s">
        <v>264</v>
      </c>
      <c r="I48" s="36" t="s">
        <v>92</v>
      </c>
      <c r="J48" s="37">
        <v>206</v>
      </c>
      <c r="K48" s="36" t="s">
        <v>25</v>
      </c>
      <c r="L48" s="36" t="s">
        <v>36</v>
      </c>
      <c r="M48" s="38">
        <v>9.1</v>
      </c>
      <c r="N48" s="38">
        <v>5.4</v>
      </c>
      <c r="O48" s="39">
        <f t="shared" si="1"/>
        <v>1.6851851851851851</v>
      </c>
      <c r="P48" s="40">
        <v>30</v>
      </c>
      <c r="Q48" s="36" t="str">
        <f t="shared" si="2"/>
        <v>Paid</v>
      </c>
      <c r="R48" s="38">
        <v>6.5</v>
      </c>
      <c r="S48" s="36">
        <v>3</v>
      </c>
      <c r="T48" s="36">
        <v>8</v>
      </c>
      <c r="U48" s="38">
        <v>14.9</v>
      </c>
      <c r="V48" s="41">
        <f t="shared" si="3"/>
        <v>0.23390894819466251</v>
      </c>
      <c r="W48" s="36" t="s">
        <v>86</v>
      </c>
      <c r="X48" s="36" t="s">
        <v>178</v>
      </c>
      <c r="Y48" s="36" t="s">
        <v>265</v>
      </c>
    </row>
    <row r="49" spans="1:25" x14ac:dyDescent="0.3">
      <c r="A49" s="36" t="s">
        <v>266</v>
      </c>
      <c r="B49" s="36">
        <v>34</v>
      </c>
      <c r="C49" s="36" t="str">
        <f t="shared" si="0"/>
        <v>25-34</v>
      </c>
      <c r="D49" s="36" t="s">
        <v>144</v>
      </c>
      <c r="E49" s="36" t="s">
        <v>62</v>
      </c>
      <c r="F49" s="36" t="s">
        <v>47</v>
      </c>
      <c r="G49" s="36" t="s">
        <v>134</v>
      </c>
      <c r="H49" s="36" t="s">
        <v>267</v>
      </c>
      <c r="I49" s="36" t="s">
        <v>91</v>
      </c>
      <c r="J49" s="37">
        <v>5669</v>
      </c>
      <c r="K49" s="36" t="s">
        <v>24</v>
      </c>
      <c r="L49" s="36" t="s">
        <v>37</v>
      </c>
      <c r="M49" s="38">
        <v>8</v>
      </c>
      <c r="N49" s="38">
        <v>7.4</v>
      </c>
      <c r="O49" s="39">
        <f t="shared" si="1"/>
        <v>1.0810810810810809</v>
      </c>
      <c r="P49" s="40">
        <v>0</v>
      </c>
      <c r="Q49" s="36" t="str">
        <f t="shared" si="2"/>
        <v>Free</v>
      </c>
      <c r="R49" s="38">
        <v>7.3</v>
      </c>
      <c r="S49" s="36">
        <v>2</v>
      </c>
      <c r="T49" s="36">
        <v>7</v>
      </c>
      <c r="U49" s="38">
        <v>16.3</v>
      </c>
      <c r="V49" s="41">
        <f t="shared" si="3"/>
        <v>0.29107142857142859</v>
      </c>
      <c r="W49" s="36" t="s">
        <v>86</v>
      </c>
      <c r="X49" s="36" t="s">
        <v>178</v>
      </c>
      <c r="Y49" s="36" t="s">
        <v>268</v>
      </c>
    </row>
    <row r="50" spans="1:25" x14ac:dyDescent="0.3">
      <c r="A50" s="36" t="s">
        <v>269</v>
      </c>
      <c r="B50" s="36">
        <v>18</v>
      </c>
      <c r="C50" s="36" t="str">
        <f t="shared" si="0"/>
        <v>18-24</v>
      </c>
      <c r="D50" s="36" t="s">
        <v>133</v>
      </c>
      <c r="E50" s="36" t="s">
        <v>67</v>
      </c>
      <c r="F50" s="36" t="s">
        <v>46</v>
      </c>
      <c r="G50" s="36" t="s">
        <v>159</v>
      </c>
      <c r="H50" s="36" t="s">
        <v>188</v>
      </c>
      <c r="I50" s="36" t="s">
        <v>91</v>
      </c>
      <c r="J50" s="37">
        <v>198</v>
      </c>
      <c r="K50" s="36" t="s">
        <v>28</v>
      </c>
      <c r="L50" s="36" t="s">
        <v>37</v>
      </c>
      <c r="M50" s="38"/>
      <c r="N50" s="38">
        <v>7.2</v>
      </c>
      <c r="O50" s="39" t="str">
        <f t="shared" si="1"/>
        <v/>
      </c>
      <c r="P50" s="40">
        <v>0</v>
      </c>
      <c r="Q50" s="36" t="str">
        <f t="shared" si="2"/>
        <v>Free</v>
      </c>
      <c r="R50" s="38">
        <v>6.9</v>
      </c>
      <c r="S50" s="36">
        <v>2</v>
      </c>
      <c r="T50" s="36">
        <v>6</v>
      </c>
      <c r="U50" s="38">
        <v>7.2</v>
      </c>
      <c r="V50" s="41" t="str">
        <f t="shared" si="3"/>
        <v/>
      </c>
      <c r="W50" s="36" t="s">
        <v>87</v>
      </c>
      <c r="X50" s="36"/>
      <c r="Y50" s="36" t="s">
        <v>270</v>
      </c>
    </row>
    <row r="51" spans="1:25" x14ac:dyDescent="0.3">
      <c r="A51" s="36" t="s">
        <v>271</v>
      </c>
      <c r="B51" s="36"/>
      <c r="C51" s="36" t="str">
        <f t="shared" si="0"/>
        <v/>
      </c>
      <c r="D51" s="36" t="s">
        <v>144</v>
      </c>
      <c r="E51" s="36" t="s">
        <v>67</v>
      </c>
      <c r="F51" s="36" t="s">
        <v>46</v>
      </c>
      <c r="G51" s="36" t="s">
        <v>138</v>
      </c>
      <c r="H51" s="36"/>
      <c r="I51" s="36"/>
      <c r="J51" s="37">
        <v>190</v>
      </c>
      <c r="K51" s="36" t="s">
        <v>24</v>
      </c>
      <c r="L51" s="36" t="s">
        <v>39</v>
      </c>
      <c r="M51" s="38">
        <v>7.7</v>
      </c>
      <c r="N51" s="38">
        <v>6.8</v>
      </c>
      <c r="O51" s="39">
        <f t="shared" si="1"/>
        <v>1.1323529411764706</v>
      </c>
      <c r="P51" s="40"/>
      <c r="Q51" s="36" t="str">
        <f t="shared" si="2"/>
        <v/>
      </c>
      <c r="R51" s="38">
        <v>8.4</v>
      </c>
      <c r="S51" s="36">
        <v>5</v>
      </c>
      <c r="T51" s="36">
        <v>10</v>
      </c>
      <c r="U51" s="38">
        <v>13.6</v>
      </c>
      <c r="V51" s="41">
        <f t="shared" si="3"/>
        <v>0.25231910946196662</v>
      </c>
      <c r="W51" s="36" t="s">
        <v>86</v>
      </c>
      <c r="X51" s="36" t="s">
        <v>178</v>
      </c>
      <c r="Y51" s="36" t="s">
        <v>272</v>
      </c>
    </row>
    <row r="52" spans="1:25" x14ac:dyDescent="0.3">
      <c r="A52" s="36" t="s">
        <v>273</v>
      </c>
      <c r="B52" s="36">
        <v>32</v>
      </c>
      <c r="C52" s="36" t="str">
        <f t="shared" si="0"/>
        <v>25-34</v>
      </c>
      <c r="D52" s="36" t="s">
        <v>133</v>
      </c>
      <c r="E52" s="36" t="s">
        <v>69</v>
      </c>
      <c r="F52" s="36" t="s">
        <v>47</v>
      </c>
      <c r="G52" s="36" t="s">
        <v>159</v>
      </c>
      <c r="H52" s="36" t="s">
        <v>274</v>
      </c>
      <c r="I52" s="36" t="s">
        <v>91</v>
      </c>
      <c r="J52" s="37">
        <v>376</v>
      </c>
      <c r="K52" s="36" t="s">
        <v>27</v>
      </c>
      <c r="L52" s="36" t="s">
        <v>40</v>
      </c>
      <c r="M52" s="38">
        <v>1.3</v>
      </c>
      <c r="N52" s="38">
        <v>11.6</v>
      </c>
      <c r="O52" s="39">
        <f t="shared" si="1"/>
        <v>0.11206896551724138</v>
      </c>
      <c r="P52" s="40">
        <v>20</v>
      </c>
      <c r="Q52" s="36" t="str">
        <f t="shared" si="2"/>
        <v>Paid</v>
      </c>
      <c r="R52" s="38">
        <v>3.3</v>
      </c>
      <c r="S52" s="36">
        <v>4</v>
      </c>
      <c r="T52" s="36">
        <v>5</v>
      </c>
      <c r="U52" s="38">
        <v>3.2</v>
      </c>
      <c r="V52" s="41">
        <f t="shared" si="3"/>
        <v>0.35164835164835168</v>
      </c>
      <c r="W52" s="36" t="s">
        <v>87</v>
      </c>
      <c r="X52" s="36"/>
      <c r="Y52" s="36" t="s">
        <v>275</v>
      </c>
    </row>
    <row r="53" spans="1:25" x14ac:dyDescent="0.3">
      <c r="A53" s="36" t="s">
        <v>276</v>
      </c>
      <c r="B53" s="36">
        <v>44</v>
      </c>
      <c r="C53" s="36" t="str">
        <f t="shared" si="0"/>
        <v>35-44</v>
      </c>
      <c r="D53" s="36" t="s">
        <v>277</v>
      </c>
      <c r="E53" s="36" t="s">
        <v>155</v>
      </c>
      <c r="F53" s="36" t="s">
        <v>47</v>
      </c>
      <c r="G53" s="36" t="s">
        <v>138</v>
      </c>
      <c r="H53" s="36" t="s">
        <v>278</v>
      </c>
      <c r="I53" s="36" t="s">
        <v>91</v>
      </c>
      <c r="J53" s="37">
        <v>3477</v>
      </c>
      <c r="K53" s="36" t="s">
        <v>24</v>
      </c>
      <c r="L53" s="36" t="s">
        <v>40</v>
      </c>
      <c r="M53" s="38">
        <v>2.2000000000000002</v>
      </c>
      <c r="N53" s="38">
        <v>10.7</v>
      </c>
      <c r="O53" s="39">
        <f t="shared" si="1"/>
        <v>0.20560747663551404</v>
      </c>
      <c r="P53" s="40">
        <v>0</v>
      </c>
      <c r="Q53" s="36" t="str">
        <f t="shared" si="2"/>
        <v>Free</v>
      </c>
      <c r="R53" s="38">
        <v>5</v>
      </c>
      <c r="S53" s="36">
        <v>4</v>
      </c>
      <c r="T53" s="36"/>
      <c r="U53" s="38">
        <v>2.8</v>
      </c>
      <c r="V53" s="41">
        <f t="shared" si="3"/>
        <v>0.18181818181818177</v>
      </c>
      <c r="W53" s="36" t="s">
        <v>86</v>
      </c>
      <c r="X53" s="36"/>
      <c r="Y53" s="36" t="s">
        <v>279</v>
      </c>
    </row>
    <row r="54" spans="1:25" x14ac:dyDescent="0.3">
      <c r="A54" s="36" t="s">
        <v>280</v>
      </c>
      <c r="B54" s="36"/>
      <c r="C54" s="36" t="str">
        <f t="shared" si="0"/>
        <v/>
      </c>
      <c r="D54" s="36" t="s">
        <v>277</v>
      </c>
      <c r="E54" s="36" t="s">
        <v>64</v>
      </c>
      <c r="F54" s="36" t="s">
        <v>46</v>
      </c>
      <c r="G54" s="36" t="s">
        <v>148</v>
      </c>
      <c r="H54" s="36" t="s">
        <v>188</v>
      </c>
      <c r="I54" s="36" t="s">
        <v>91</v>
      </c>
      <c r="J54" s="37">
        <v>100</v>
      </c>
      <c r="K54" s="36" t="s">
        <v>24</v>
      </c>
      <c r="L54" s="36" t="s">
        <v>37</v>
      </c>
      <c r="M54" s="38">
        <v>1.2</v>
      </c>
      <c r="N54" s="38">
        <v>5.7</v>
      </c>
      <c r="O54" s="39">
        <f t="shared" si="1"/>
        <v>0.21052631578947367</v>
      </c>
      <c r="P54" s="40">
        <v>50</v>
      </c>
      <c r="Q54" s="36" t="str">
        <f t="shared" si="2"/>
        <v>Paid</v>
      </c>
      <c r="R54" s="38">
        <v>5.8</v>
      </c>
      <c r="S54" s="36">
        <v>4</v>
      </c>
      <c r="T54" s="36">
        <v>7</v>
      </c>
      <c r="U54" s="38"/>
      <c r="V54" s="41" t="str">
        <f t="shared" si="3"/>
        <v/>
      </c>
      <c r="W54" s="36" t="s">
        <v>86</v>
      </c>
      <c r="X54" s="36"/>
      <c r="Y54" s="36" t="s">
        <v>281</v>
      </c>
    </row>
    <row r="55" spans="1:25" x14ac:dyDescent="0.3">
      <c r="A55" s="36" t="s">
        <v>282</v>
      </c>
      <c r="B55" s="36">
        <v>26</v>
      </c>
      <c r="C55" s="36" t="str">
        <f t="shared" si="0"/>
        <v>25-34</v>
      </c>
      <c r="D55" s="36"/>
      <c r="E55" s="36" t="s">
        <v>69</v>
      </c>
      <c r="F55" s="36" t="s">
        <v>46</v>
      </c>
      <c r="G55" s="36" t="s">
        <v>159</v>
      </c>
      <c r="H55" s="36" t="s">
        <v>142</v>
      </c>
      <c r="I55" s="36" t="s">
        <v>92</v>
      </c>
      <c r="J55" s="37">
        <v>0</v>
      </c>
      <c r="K55" s="36" t="s">
        <v>24</v>
      </c>
      <c r="L55" s="36" t="s">
        <v>36</v>
      </c>
      <c r="M55" s="38">
        <v>0.6</v>
      </c>
      <c r="N55" s="38">
        <v>8.8000000000000007</v>
      </c>
      <c r="O55" s="39">
        <f t="shared" si="1"/>
        <v>6.8181818181818177E-2</v>
      </c>
      <c r="P55" s="40">
        <v>0</v>
      </c>
      <c r="Q55" s="36" t="str">
        <f t="shared" si="2"/>
        <v>Free</v>
      </c>
      <c r="R55" s="38">
        <v>3.2</v>
      </c>
      <c r="S55" s="36">
        <v>2</v>
      </c>
      <c r="T55" s="36">
        <v>5</v>
      </c>
      <c r="U55" s="38">
        <v>2.2000000000000002</v>
      </c>
      <c r="V55" s="41">
        <f t="shared" si="3"/>
        <v>0.52380952380952384</v>
      </c>
      <c r="W55" s="36" t="s">
        <v>86</v>
      </c>
      <c r="X55" s="36"/>
      <c r="Y55" s="36" t="s">
        <v>283</v>
      </c>
    </row>
    <row r="56" spans="1:25" x14ac:dyDescent="0.3">
      <c r="A56" s="36" t="s">
        <v>284</v>
      </c>
      <c r="B56" s="36">
        <v>33</v>
      </c>
      <c r="C56" s="36" t="str">
        <f t="shared" si="0"/>
        <v>25-34</v>
      </c>
      <c r="D56" s="36" t="s">
        <v>144</v>
      </c>
      <c r="E56" s="36" t="s">
        <v>68</v>
      </c>
      <c r="F56" s="36" t="s">
        <v>47</v>
      </c>
      <c r="G56" s="36" t="s">
        <v>194</v>
      </c>
      <c r="H56" s="36" t="s">
        <v>285</v>
      </c>
      <c r="I56" s="36" t="s">
        <v>91</v>
      </c>
      <c r="J56" s="37">
        <v>6197</v>
      </c>
      <c r="K56" s="36" t="s">
        <v>24</v>
      </c>
      <c r="L56" s="36" t="s">
        <v>37</v>
      </c>
      <c r="M56" s="38">
        <v>1.9</v>
      </c>
      <c r="N56" s="38">
        <v>11</v>
      </c>
      <c r="O56" s="39">
        <f t="shared" si="1"/>
        <v>0.17272727272727273</v>
      </c>
      <c r="P56" s="40"/>
      <c r="Q56" s="36" t="str">
        <f t="shared" si="2"/>
        <v/>
      </c>
      <c r="R56" s="38">
        <v>5.4</v>
      </c>
      <c r="S56" s="36">
        <v>4</v>
      </c>
      <c r="T56" s="36">
        <v>7</v>
      </c>
      <c r="U56" s="38">
        <v>6</v>
      </c>
      <c r="V56" s="41">
        <f t="shared" si="3"/>
        <v>0.45112781954887221</v>
      </c>
      <c r="W56" s="36" t="s">
        <v>86</v>
      </c>
      <c r="X56" s="36"/>
      <c r="Y56" s="36" t="s">
        <v>286</v>
      </c>
    </row>
    <row r="57" spans="1:25" x14ac:dyDescent="0.3">
      <c r="A57" s="36" t="s">
        <v>287</v>
      </c>
      <c r="B57" s="36">
        <v>31</v>
      </c>
      <c r="C57" s="36" t="str">
        <f t="shared" si="0"/>
        <v>25-34</v>
      </c>
      <c r="D57" s="36" t="s">
        <v>133</v>
      </c>
      <c r="E57" s="36" t="s">
        <v>68</v>
      </c>
      <c r="F57" s="36" t="s">
        <v>47</v>
      </c>
      <c r="G57" s="36" t="s">
        <v>138</v>
      </c>
      <c r="H57" s="36" t="s">
        <v>139</v>
      </c>
      <c r="I57" s="36" t="s">
        <v>42</v>
      </c>
      <c r="J57" s="37">
        <v>5355</v>
      </c>
      <c r="K57" s="36" t="s">
        <v>25</v>
      </c>
      <c r="L57" s="36" t="s">
        <v>42</v>
      </c>
      <c r="M57" s="38">
        <v>4.5999999999999996</v>
      </c>
      <c r="N57" s="38">
        <v>8.6999999999999993</v>
      </c>
      <c r="O57" s="39">
        <f t="shared" si="1"/>
        <v>0.52873563218390807</v>
      </c>
      <c r="P57" s="40">
        <v>0</v>
      </c>
      <c r="Q57" s="36" t="str">
        <f t="shared" si="2"/>
        <v>Free</v>
      </c>
      <c r="R57" s="38">
        <v>8.8000000000000007</v>
      </c>
      <c r="S57" s="36">
        <v>2</v>
      </c>
      <c r="T57" s="36">
        <v>6</v>
      </c>
      <c r="U57" s="38">
        <v>11.5</v>
      </c>
      <c r="V57" s="41">
        <f t="shared" si="3"/>
        <v>0.35714285714285721</v>
      </c>
      <c r="W57" s="36" t="s">
        <v>86</v>
      </c>
      <c r="X57" s="36"/>
      <c r="Y57" s="36" t="s">
        <v>288</v>
      </c>
    </row>
    <row r="58" spans="1:25" x14ac:dyDescent="0.3">
      <c r="A58" s="36" t="s">
        <v>289</v>
      </c>
      <c r="B58" s="36">
        <v>22</v>
      </c>
      <c r="C58" s="36" t="str">
        <f t="shared" si="0"/>
        <v>18-24</v>
      </c>
      <c r="D58" s="36" t="s">
        <v>133</v>
      </c>
      <c r="E58" s="36" t="s">
        <v>66</v>
      </c>
      <c r="F58" s="36" t="s">
        <v>46</v>
      </c>
      <c r="G58" s="36" t="s">
        <v>159</v>
      </c>
      <c r="H58" s="36" t="s">
        <v>171</v>
      </c>
      <c r="I58" s="36" t="s">
        <v>95</v>
      </c>
      <c r="J58" s="37">
        <v>86</v>
      </c>
      <c r="K58" s="36" t="s">
        <v>25</v>
      </c>
      <c r="L58" s="36" t="s">
        <v>38</v>
      </c>
      <c r="M58" s="38">
        <v>1.4</v>
      </c>
      <c r="N58" s="38"/>
      <c r="O58" s="39" t="str">
        <f t="shared" si="1"/>
        <v/>
      </c>
      <c r="P58" s="40">
        <v>0</v>
      </c>
      <c r="Q58" s="36" t="str">
        <f t="shared" si="2"/>
        <v>Free</v>
      </c>
      <c r="R58" s="38">
        <v>1.9</v>
      </c>
      <c r="S58" s="36">
        <v>3</v>
      </c>
      <c r="T58" s="36">
        <v>5</v>
      </c>
      <c r="U58" s="38">
        <v>1.7</v>
      </c>
      <c r="V58" s="41">
        <f t="shared" si="3"/>
        <v>0.17346938775510207</v>
      </c>
      <c r="W58" s="36" t="s">
        <v>86</v>
      </c>
      <c r="X58" s="36"/>
      <c r="Y58" s="36" t="s">
        <v>290</v>
      </c>
    </row>
    <row r="59" spans="1:25" x14ac:dyDescent="0.3">
      <c r="A59" s="36" t="s">
        <v>291</v>
      </c>
      <c r="B59" s="36">
        <v>21</v>
      </c>
      <c r="C59" s="36" t="str">
        <f t="shared" si="0"/>
        <v>18-24</v>
      </c>
      <c r="D59" s="36" t="s">
        <v>133</v>
      </c>
      <c r="E59" s="36" t="s">
        <v>64</v>
      </c>
      <c r="F59" s="36" t="s">
        <v>46</v>
      </c>
      <c r="G59" s="36" t="s">
        <v>159</v>
      </c>
      <c r="H59" s="36" t="s">
        <v>292</v>
      </c>
      <c r="I59" s="36" t="s">
        <v>91</v>
      </c>
      <c r="J59" s="37">
        <v>62</v>
      </c>
      <c r="K59" s="36" t="s">
        <v>24</v>
      </c>
      <c r="L59" s="36" t="s">
        <v>40</v>
      </c>
      <c r="M59" s="38">
        <v>7.2</v>
      </c>
      <c r="N59" s="38">
        <v>6.1</v>
      </c>
      <c r="O59" s="39">
        <f t="shared" si="1"/>
        <v>1.1803278688524592</v>
      </c>
      <c r="P59" s="40">
        <v>10</v>
      </c>
      <c r="Q59" s="36" t="str">
        <f t="shared" si="2"/>
        <v>Paid</v>
      </c>
      <c r="R59" s="38">
        <v>6.8</v>
      </c>
      <c r="S59" s="36">
        <v>4</v>
      </c>
      <c r="T59" s="36">
        <v>7</v>
      </c>
      <c r="U59" s="38">
        <v>13.2</v>
      </c>
      <c r="V59" s="41">
        <f t="shared" si="3"/>
        <v>0.26190476190476192</v>
      </c>
      <c r="W59" s="36" t="s">
        <v>86</v>
      </c>
      <c r="X59" s="36" t="s">
        <v>178</v>
      </c>
      <c r="Y59" s="36" t="s">
        <v>293</v>
      </c>
    </row>
    <row r="60" spans="1:25" x14ac:dyDescent="0.3">
      <c r="A60" s="36" t="s">
        <v>294</v>
      </c>
      <c r="B60" s="36">
        <v>32</v>
      </c>
      <c r="C60" s="36" t="str">
        <f t="shared" si="0"/>
        <v>25-34</v>
      </c>
      <c r="D60" s="36" t="s">
        <v>133</v>
      </c>
      <c r="E60" s="36" t="s">
        <v>63</v>
      </c>
      <c r="F60" s="36" t="s">
        <v>47</v>
      </c>
      <c r="G60" s="36" t="s">
        <v>138</v>
      </c>
      <c r="H60" s="36" t="s">
        <v>295</v>
      </c>
      <c r="I60" s="36" t="s">
        <v>91</v>
      </c>
      <c r="J60" s="37">
        <v>3337</v>
      </c>
      <c r="K60" s="36" t="s">
        <v>24</v>
      </c>
      <c r="L60" s="36"/>
      <c r="M60" s="38">
        <v>1.3</v>
      </c>
      <c r="N60" s="38">
        <v>7.6</v>
      </c>
      <c r="O60" s="39">
        <f t="shared" si="1"/>
        <v>0.17105263157894737</v>
      </c>
      <c r="P60" s="40">
        <v>0</v>
      </c>
      <c r="Q60" s="36" t="str">
        <f t="shared" si="2"/>
        <v>Free</v>
      </c>
      <c r="R60" s="38">
        <v>3.8</v>
      </c>
      <c r="S60" s="36">
        <v>4</v>
      </c>
      <c r="T60" s="36">
        <v>7</v>
      </c>
      <c r="U60" s="38">
        <v>2.9</v>
      </c>
      <c r="V60" s="41">
        <f t="shared" si="3"/>
        <v>0.31868131868131866</v>
      </c>
      <c r="W60" s="36" t="s">
        <v>86</v>
      </c>
      <c r="X60" s="36"/>
      <c r="Y60" s="36" t="s">
        <v>296</v>
      </c>
    </row>
    <row r="61" spans="1:25" x14ac:dyDescent="0.3">
      <c r="A61" s="36" t="s">
        <v>297</v>
      </c>
      <c r="B61" s="36">
        <v>22</v>
      </c>
      <c r="C61" s="36" t="str">
        <f t="shared" si="0"/>
        <v>18-24</v>
      </c>
      <c r="D61" s="36" t="s">
        <v>133</v>
      </c>
      <c r="E61" s="36" t="s">
        <v>64</v>
      </c>
      <c r="F61" s="36" t="s">
        <v>46</v>
      </c>
      <c r="G61" s="36" t="s">
        <v>138</v>
      </c>
      <c r="H61" s="36" t="s">
        <v>142</v>
      </c>
      <c r="I61" s="36" t="s">
        <v>92</v>
      </c>
      <c r="J61" s="37">
        <v>113</v>
      </c>
      <c r="K61" s="36" t="s">
        <v>28</v>
      </c>
      <c r="L61" s="36" t="s">
        <v>41</v>
      </c>
      <c r="M61" s="38">
        <v>1</v>
      </c>
      <c r="N61" s="38">
        <v>6.5</v>
      </c>
      <c r="O61" s="39">
        <f t="shared" si="1"/>
        <v>0.15384615384615385</v>
      </c>
      <c r="P61" s="40">
        <v>0</v>
      </c>
      <c r="Q61" s="36" t="str">
        <f t="shared" si="2"/>
        <v>Free</v>
      </c>
      <c r="R61" s="38">
        <v>3.2</v>
      </c>
      <c r="S61" s="36">
        <v>3</v>
      </c>
      <c r="T61" s="36">
        <v>3</v>
      </c>
      <c r="U61" s="38">
        <v>4.2</v>
      </c>
      <c r="V61" s="41">
        <f t="shared" si="3"/>
        <v>0.6</v>
      </c>
      <c r="W61" s="36" t="s">
        <v>88</v>
      </c>
      <c r="X61" s="36"/>
      <c r="Y61" s="36" t="s">
        <v>298</v>
      </c>
    </row>
    <row r="62" spans="1:25" x14ac:dyDescent="0.3">
      <c r="A62" s="36" t="s">
        <v>299</v>
      </c>
      <c r="B62" s="36">
        <v>21</v>
      </c>
      <c r="C62" s="36" t="str">
        <f t="shared" si="0"/>
        <v>18-24</v>
      </c>
      <c r="D62" s="36" t="s">
        <v>133</v>
      </c>
      <c r="E62" s="36" t="s">
        <v>65</v>
      </c>
      <c r="F62" s="36" t="s">
        <v>46</v>
      </c>
      <c r="G62" s="36" t="s">
        <v>148</v>
      </c>
      <c r="H62" s="36" t="s">
        <v>142</v>
      </c>
      <c r="I62" s="36" t="s">
        <v>92</v>
      </c>
      <c r="J62" s="37">
        <v>118</v>
      </c>
      <c r="K62" s="36" t="s">
        <v>25</v>
      </c>
      <c r="L62" s="36" t="s">
        <v>36</v>
      </c>
      <c r="M62" s="38"/>
      <c r="N62" s="38">
        <v>6.3</v>
      </c>
      <c r="O62" s="39" t="str">
        <f t="shared" si="1"/>
        <v/>
      </c>
      <c r="P62" s="40">
        <v>0</v>
      </c>
      <c r="Q62" s="36" t="str">
        <f t="shared" si="2"/>
        <v>Free</v>
      </c>
      <c r="R62" s="38">
        <v>7.6</v>
      </c>
      <c r="S62" s="36">
        <v>2</v>
      </c>
      <c r="T62" s="36">
        <v>6</v>
      </c>
      <c r="U62" s="38">
        <v>12.4</v>
      </c>
      <c r="V62" s="41" t="str">
        <f t="shared" si="3"/>
        <v/>
      </c>
      <c r="W62" s="36" t="s">
        <v>86</v>
      </c>
      <c r="X62" s="36"/>
      <c r="Y62" s="36"/>
    </row>
    <row r="63" spans="1:25" x14ac:dyDescent="0.3">
      <c r="A63" s="36" t="s">
        <v>300</v>
      </c>
      <c r="B63" s="36">
        <v>47</v>
      </c>
      <c r="C63" s="36" t="str">
        <f t="shared" si="0"/>
        <v>45+</v>
      </c>
      <c r="D63" s="36" t="s">
        <v>133</v>
      </c>
      <c r="E63" s="36" t="s">
        <v>69</v>
      </c>
      <c r="F63" s="36" t="s">
        <v>47</v>
      </c>
      <c r="G63" s="36" t="s">
        <v>138</v>
      </c>
      <c r="H63" s="36" t="s">
        <v>301</v>
      </c>
      <c r="I63" s="36" t="s">
        <v>93</v>
      </c>
      <c r="J63" s="37">
        <v>1104</v>
      </c>
      <c r="K63" s="36" t="s">
        <v>29</v>
      </c>
      <c r="L63" s="36" t="s">
        <v>41</v>
      </c>
      <c r="M63" s="38">
        <v>3.4</v>
      </c>
      <c r="N63" s="38">
        <v>7.3</v>
      </c>
      <c r="O63" s="39">
        <f t="shared" si="1"/>
        <v>0.46575342465753422</v>
      </c>
      <c r="P63" s="40">
        <v>20</v>
      </c>
      <c r="Q63" s="36" t="str">
        <f t="shared" si="2"/>
        <v>Paid</v>
      </c>
      <c r="R63" s="38">
        <v>4.9000000000000004</v>
      </c>
      <c r="S63" s="36">
        <v>3</v>
      </c>
      <c r="T63" s="36">
        <v>5</v>
      </c>
      <c r="U63" s="38">
        <v>7.4</v>
      </c>
      <c r="V63" s="41">
        <f t="shared" si="3"/>
        <v>0.31092436974789917</v>
      </c>
      <c r="W63" s="36" t="s">
        <v>88</v>
      </c>
      <c r="X63" s="36"/>
      <c r="Y63" s="36" t="s">
        <v>302</v>
      </c>
    </row>
    <row r="64" spans="1:25" x14ac:dyDescent="0.3">
      <c r="A64" s="36" t="s">
        <v>303</v>
      </c>
      <c r="B64" s="36">
        <v>33</v>
      </c>
      <c r="C64" s="36" t="str">
        <f t="shared" si="0"/>
        <v>25-34</v>
      </c>
      <c r="D64" s="36" t="s">
        <v>133</v>
      </c>
      <c r="E64" s="36" t="s">
        <v>66</v>
      </c>
      <c r="F64" s="36" t="s">
        <v>47</v>
      </c>
      <c r="G64" s="36" t="s">
        <v>138</v>
      </c>
      <c r="H64" s="36" t="s">
        <v>304</v>
      </c>
      <c r="I64" s="36" t="s">
        <v>92</v>
      </c>
      <c r="J64" s="37">
        <v>552</v>
      </c>
      <c r="K64" s="36" t="s">
        <v>25</v>
      </c>
      <c r="L64" s="36" t="s">
        <v>36</v>
      </c>
      <c r="M64" s="38">
        <v>0.5</v>
      </c>
      <c r="N64" s="38">
        <v>10.199999999999999</v>
      </c>
      <c r="O64" s="39">
        <f t="shared" si="1"/>
        <v>4.9019607843137261E-2</v>
      </c>
      <c r="P64" s="40">
        <v>20</v>
      </c>
      <c r="Q64" s="36" t="str">
        <f t="shared" si="2"/>
        <v>Paid</v>
      </c>
      <c r="R64" s="38">
        <v>2.9</v>
      </c>
      <c r="S64" s="36">
        <v>3</v>
      </c>
      <c r="T64" s="36">
        <v>5</v>
      </c>
      <c r="U64" s="38">
        <v>0.1</v>
      </c>
      <c r="V64" s="41">
        <f t="shared" si="3"/>
        <v>2.8571428571428574E-2</v>
      </c>
      <c r="W64" s="36" t="s">
        <v>88</v>
      </c>
      <c r="X64" s="36"/>
      <c r="Y64" s="36" t="s">
        <v>305</v>
      </c>
    </row>
    <row r="65" spans="1:25" x14ac:dyDescent="0.3">
      <c r="A65" s="36" t="s">
        <v>306</v>
      </c>
      <c r="B65" s="36">
        <v>20</v>
      </c>
      <c r="C65" s="36" t="str">
        <f t="shared" si="0"/>
        <v>18-24</v>
      </c>
      <c r="D65" s="36" t="s">
        <v>133</v>
      </c>
      <c r="E65" s="36" t="s">
        <v>61</v>
      </c>
      <c r="F65" s="36" t="s">
        <v>46</v>
      </c>
      <c r="G65" s="36" t="s">
        <v>148</v>
      </c>
      <c r="H65" s="36" t="s">
        <v>307</v>
      </c>
      <c r="I65" s="36" t="s">
        <v>91</v>
      </c>
      <c r="J65" s="37">
        <v>79</v>
      </c>
      <c r="K65" s="36" t="s">
        <v>25</v>
      </c>
      <c r="L65" s="36" t="s">
        <v>40</v>
      </c>
      <c r="M65" s="38">
        <v>3.5</v>
      </c>
      <c r="N65" s="38">
        <v>6.2</v>
      </c>
      <c r="O65" s="39">
        <f t="shared" si="1"/>
        <v>0.56451612903225801</v>
      </c>
      <c r="P65" s="40">
        <v>20</v>
      </c>
      <c r="Q65" s="36" t="str">
        <f t="shared" si="2"/>
        <v>Paid</v>
      </c>
      <c r="R65" s="38">
        <v>4.7</v>
      </c>
      <c r="S65" s="36">
        <v>4</v>
      </c>
      <c r="T65" s="36">
        <v>7</v>
      </c>
      <c r="U65" s="38">
        <v>8.3000000000000007</v>
      </c>
      <c r="V65" s="41">
        <f t="shared" si="3"/>
        <v>0.33877551020408164</v>
      </c>
      <c r="W65" s="36" t="s">
        <v>86</v>
      </c>
      <c r="X65" s="36"/>
      <c r="Y65" s="36" t="s">
        <v>308</v>
      </c>
    </row>
    <row r="66" spans="1:25" x14ac:dyDescent="0.3">
      <c r="A66" s="36" t="s">
        <v>309</v>
      </c>
      <c r="B66" s="36">
        <v>23</v>
      </c>
      <c r="C66" s="36" t="str">
        <f t="shared" ref="C66:C129" si="4">IF(B66="","",IF(B66&lt;18,"Under 18",IF(B66&lt;25,"18-24",IF(B66&lt;35,"25-34",IF(B66&lt;45,"35-44","45+")))))</f>
        <v>18-24</v>
      </c>
      <c r="D66" s="36" t="s">
        <v>133</v>
      </c>
      <c r="E66" s="36" t="s">
        <v>65</v>
      </c>
      <c r="F66" s="36" t="s">
        <v>46</v>
      </c>
      <c r="G66" s="36" t="s">
        <v>134</v>
      </c>
      <c r="H66" s="36" t="s">
        <v>310</v>
      </c>
      <c r="I66" s="36" t="s">
        <v>94</v>
      </c>
      <c r="J66" s="37">
        <v>614</v>
      </c>
      <c r="K66" s="36" t="s">
        <v>27</v>
      </c>
      <c r="L66" s="36" t="s">
        <v>39</v>
      </c>
      <c r="M66" s="38">
        <v>1</v>
      </c>
      <c r="N66" s="38">
        <v>6.6</v>
      </c>
      <c r="O66" s="39">
        <f t="shared" ref="O66:O129" si="5">IF(OR(M66="",N66=""),"",M66/N66)</f>
        <v>0.15151515151515152</v>
      </c>
      <c r="P66" s="40">
        <v>20</v>
      </c>
      <c r="Q66" s="36" t="str">
        <f t="shared" ref="Q66:Q129" si="6">IF(P66="","",IF(P66=0,"Free","Paid"))</f>
        <v>Paid</v>
      </c>
      <c r="R66" s="38">
        <v>2.5</v>
      </c>
      <c r="S66" s="36">
        <v>4</v>
      </c>
      <c r="T66" s="36">
        <v>6</v>
      </c>
      <c r="U66" s="38">
        <v>0.7</v>
      </c>
      <c r="V66" s="41">
        <f t="shared" ref="V66:V129" si="7">IF(OR(U66="",M66="",M66=0),"",U66/(M66*7))</f>
        <v>9.9999999999999992E-2</v>
      </c>
      <c r="W66" s="36" t="s">
        <v>87</v>
      </c>
      <c r="X66" s="36"/>
      <c r="Y66" s="36" t="s">
        <v>311</v>
      </c>
    </row>
    <row r="67" spans="1:25" x14ac:dyDescent="0.3">
      <c r="A67" s="36" t="s">
        <v>312</v>
      </c>
      <c r="B67" s="36">
        <v>37</v>
      </c>
      <c r="C67" s="36" t="str">
        <f t="shared" si="4"/>
        <v>35-44</v>
      </c>
      <c r="D67" s="36" t="s">
        <v>144</v>
      </c>
      <c r="E67" s="36" t="s">
        <v>61</v>
      </c>
      <c r="F67" s="36" t="s">
        <v>47</v>
      </c>
      <c r="G67" s="36" t="s">
        <v>194</v>
      </c>
      <c r="H67" s="36" t="s">
        <v>174</v>
      </c>
      <c r="I67" s="36" t="s">
        <v>92</v>
      </c>
      <c r="J67" s="37">
        <v>1404</v>
      </c>
      <c r="K67" s="36" t="s">
        <v>24</v>
      </c>
      <c r="L67" s="36" t="s">
        <v>36</v>
      </c>
      <c r="M67" s="38">
        <v>1.7</v>
      </c>
      <c r="N67" s="38">
        <v>6.4</v>
      </c>
      <c r="O67" s="39">
        <f t="shared" si="5"/>
        <v>0.265625</v>
      </c>
      <c r="P67" s="40"/>
      <c r="Q67" s="36" t="str">
        <f t="shared" si="6"/>
        <v/>
      </c>
      <c r="R67" s="38">
        <v>5.7</v>
      </c>
      <c r="S67" s="36">
        <v>5</v>
      </c>
      <c r="T67" s="36">
        <v>7</v>
      </c>
      <c r="U67" s="38">
        <v>3.4</v>
      </c>
      <c r="V67" s="41">
        <f t="shared" si="7"/>
        <v>0.2857142857142857</v>
      </c>
      <c r="W67" s="36" t="s">
        <v>86</v>
      </c>
      <c r="X67" s="36"/>
      <c r="Y67" s="36" t="s">
        <v>313</v>
      </c>
    </row>
    <row r="68" spans="1:25" x14ac:dyDescent="0.3">
      <c r="A68" s="36" t="s">
        <v>314</v>
      </c>
      <c r="B68" s="36">
        <v>23</v>
      </c>
      <c r="C68" s="36" t="str">
        <f t="shared" si="4"/>
        <v>18-24</v>
      </c>
      <c r="D68" s="36" t="s">
        <v>277</v>
      </c>
      <c r="E68" s="36"/>
      <c r="F68" s="36" t="s">
        <v>46</v>
      </c>
      <c r="G68" s="36" t="s">
        <v>134</v>
      </c>
      <c r="H68" s="36" t="s">
        <v>177</v>
      </c>
      <c r="I68" s="36" t="s">
        <v>92</v>
      </c>
      <c r="J68" s="37">
        <v>0</v>
      </c>
      <c r="K68" s="36" t="s">
        <v>26</v>
      </c>
      <c r="L68" s="36" t="s">
        <v>36</v>
      </c>
      <c r="M68" s="38">
        <v>1</v>
      </c>
      <c r="N68" s="38">
        <v>6.2</v>
      </c>
      <c r="O68" s="39">
        <f t="shared" si="5"/>
        <v>0.16129032258064516</v>
      </c>
      <c r="P68" s="40">
        <v>20</v>
      </c>
      <c r="Q68" s="36" t="str">
        <f t="shared" si="6"/>
        <v>Paid</v>
      </c>
      <c r="R68" s="38">
        <v>3.3</v>
      </c>
      <c r="S68" s="36">
        <v>3</v>
      </c>
      <c r="T68" s="36">
        <v>5</v>
      </c>
      <c r="U68" s="38">
        <v>2.6</v>
      </c>
      <c r="V68" s="41">
        <f t="shared" si="7"/>
        <v>0.37142857142857144</v>
      </c>
      <c r="W68" s="36" t="s">
        <v>86</v>
      </c>
      <c r="X68" s="36"/>
      <c r="Y68" s="36" t="s">
        <v>315</v>
      </c>
    </row>
    <row r="69" spans="1:25" x14ac:dyDescent="0.3">
      <c r="A69" s="36" t="s">
        <v>316</v>
      </c>
      <c r="B69" s="36">
        <v>20</v>
      </c>
      <c r="C69" s="36" t="str">
        <f t="shared" si="4"/>
        <v>18-24</v>
      </c>
      <c r="D69" s="36" t="s">
        <v>133</v>
      </c>
      <c r="E69" s="36" t="s">
        <v>65</v>
      </c>
      <c r="F69" s="36" t="s">
        <v>46</v>
      </c>
      <c r="G69" s="36" t="s">
        <v>148</v>
      </c>
      <c r="H69" s="36" t="s">
        <v>142</v>
      </c>
      <c r="I69" s="36" t="s">
        <v>92</v>
      </c>
      <c r="J69" s="37">
        <v>0</v>
      </c>
      <c r="K69" s="36" t="s">
        <v>24</v>
      </c>
      <c r="L69" s="36" t="s">
        <v>36</v>
      </c>
      <c r="M69" s="38">
        <v>1.3</v>
      </c>
      <c r="N69" s="38">
        <v>8.1</v>
      </c>
      <c r="O69" s="39">
        <f t="shared" si="5"/>
        <v>0.16049382716049385</v>
      </c>
      <c r="P69" s="40">
        <v>0</v>
      </c>
      <c r="Q69" s="36" t="str">
        <f t="shared" si="6"/>
        <v>Free</v>
      </c>
      <c r="R69" s="38">
        <v>4.8</v>
      </c>
      <c r="S69" s="36">
        <v>4</v>
      </c>
      <c r="T69" s="36">
        <v>7</v>
      </c>
      <c r="U69" s="38">
        <v>2.9</v>
      </c>
      <c r="V69" s="41">
        <f t="shared" si="7"/>
        <v>0.31868131868131866</v>
      </c>
      <c r="W69" s="36" t="s">
        <v>86</v>
      </c>
      <c r="X69" s="36"/>
      <c r="Y69" s="36" t="s">
        <v>317</v>
      </c>
    </row>
    <row r="70" spans="1:25" x14ac:dyDescent="0.3">
      <c r="A70" s="36" t="s">
        <v>318</v>
      </c>
      <c r="B70" s="36">
        <v>31</v>
      </c>
      <c r="C70" s="36" t="str">
        <f t="shared" si="4"/>
        <v>25-34</v>
      </c>
      <c r="D70" s="36" t="s">
        <v>144</v>
      </c>
      <c r="E70" s="36" t="s">
        <v>155</v>
      </c>
      <c r="F70" s="36" t="s">
        <v>46</v>
      </c>
      <c r="G70" s="36" t="s">
        <v>148</v>
      </c>
      <c r="H70" s="36" t="s">
        <v>149</v>
      </c>
      <c r="I70" s="36" t="s">
        <v>94</v>
      </c>
      <c r="J70" s="37">
        <v>302</v>
      </c>
      <c r="K70" s="36" t="s">
        <v>25</v>
      </c>
      <c r="L70" s="36" t="s">
        <v>38</v>
      </c>
      <c r="M70" s="38">
        <v>0.7</v>
      </c>
      <c r="N70" s="38">
        <v>4.5</v>
      </c>
      <c r="O70" s="39">
        <f t="shared" si="5"/>
        <v>0.15555555555555556</v>
      </c>
      <c r="P70" s="40">
        <v>0</v>
      </c>
      <c r="Q70" s="36" t="str">
        <f t="shared" si="6"/>
        <v>Free</v>
      </c>
      <c r="R70" s="38">
        <v>3.4</v>
      </c>
      <c r="S70" s="36"/>
      <c r="T70" s="36">
        <v>5</v>
      </c>
      <c r="U70" s="38">
        <v>0.8</v>
      </c>
      <c r="V70" s="41">
        <f t="shared" si="7"/>
        <v>0.16326530612244899</v>
      </c>
      <c r="W70" s="36" t="s">
        <v>87</v>
      </c>
      <c r="X70" s="36"/>
      <c r="Y70" s="36" t="s">
        <v>319</v>
      </c>
    </row>
    <row r="71" spans="1:25" x14ac:dyDescent="0.3">
      <c r="A71" s="36" t="s">
        <v>320</v>
      </c>
      <c r="B71" s="36">
        <v>35</v>
      </c>
      <c r="C71" s="36" t="str">
        <f t="shared" si="4"/>
        <v>35-44</v>
      </c>
      <c r="D71" s="36"/>
      <c r="E71" s="36" t="s">
        <v>62</v>
      </c>
      <c r="F71" s="36" t="s">
        <v>47</v>
      </c>
      <c r="G71" s="36" t="s">
        <v>194</v>
      </c>
      <c r="H71" s="36" t="s">
        <v>321</v>
      </c>
      <c r="I71" s="36" t="s">
        <v>96</v>
      </c>
      <c r="J71" s="37">
        <v>5966</v>
      </c>
      <c r="K71" s="36" t="s">
        <v>24</v>
      </c>
      <c r="L71" s="36" t="s">
        <v>43</v>
      </c>
      <c r="M71" s="38">
        <v>4.9000000000000004</v>
      </c>
      <c r="N71" s="38">
        <v>9.3000000000000007</v>
      </c>
      <c r="O71" s="39">
        <f t="shared" si="5"/>
        <v>0.5268817204301075</v>
      </c>
      <c r="P71" s="40">
        <v>20</v>
      </c>
      <c r="Q71" s="36" t="str">
        <f t="shared" si="6"/>
        <v>Paid</v>
      </c>
      <c r="R71" s="38">
        <v>5.7</v>
      </c>
      <c r="S71" s="36">
        <v>3</v>
      </c>
      <c r="T71" s="36">
        <v>5</v>
      </c>
      <c r="U71" s="38">
        <v>11.5</v>
      </c>
      <c r="V71" s="41">
        <f t="shared" si="7"/>
        <v>0.33527696793002909</v>
      </c>
      <c r="W71" s="36" t="s">
        <v>86</v>
      </c>
      <c r="X71" s="36"/>
      <c r="Y71" s="36" t="s">
        <v>322</v>
      </c>
    </row>
    <row r="72" spans="1:25" x14ac:dyDescent="0.3">
      <c r="A72" s="36" t="s">
        <v>323</v>
      </c>
      <c r="B72" s="36">
        <v>28</v>
      </c>
      <c r="C72" s="36" t="str">
        <f t="shared" si="4"/>
        <v>25-34</v>
      </c>
      <c r="D72" s="36" t="s">
        <v>133</v>
      </c>
      <c r="E72" s="36" t="s">
        <v>68</v>
      </c>
      <c r="F72" s="36" t="s">
        <v>47</v>
      </c>
      <c r="G72" s="36" t="s">
        <v>134</v>
      </c>
      <c r="H72" s="36" t="s">
        <v>239</v>
      </c>
      <c r="I72" s="36" t="s">
        <v>92</v>
      </c>
      <c r="J72" s="37">
        <v>3610</v>
      </c>
      <c r="K72" s="36" t="s">
        <v>25</v>
      </c>
      <c r="L72" s="36" t="s">
        <v>36</v>
      </c>
      <c r="M72" s="38">
        <v>4.3</v>
      </c>
      <c r="N72" s="38">
        <v>8.1</v>
      </c>
      <c r="O72" s="39">
        <f t="shared" si="5"/>
        <v>0.53086419753086422</v>
      </c>
      <c r="P72" s="40">
        <v>0</v>
      </c>
      <c r="Q72" s="36" t="str">
        <f t="shared" si="6"/>
        <v>Free</v>
      </c>
      <c r="R72" s="38">
        <v>6.1</v>
      </c>
      <c r="S72" s="36">
        <v>3</v>
      </c>
      <c r="T72" s="36">
        <v>7</v>
      </c>
      <c r="U72" s="38">
        <v>6.7</v>
      </c>
      <c r="V72" s="41">
        <f t="shared" si="7"/>
        <v>0.22259136212624586</v>
      </c>
      <c r="W72" s="36" t="s">
        <v>86</v>
      </c>
      <c r="X72" s="36"/>
      <c r="Y72" s="36" t="s">
        <v>324</v>
      </c>
    </row>
    <row r="73" spans="1:25" x14ac:dyDescent="0.3">
      <c r="A73" s="36" t="s">
        <v>325</v>
      </c>
      <c r="B73" s="36">
        <v>22</v>
      </c>
      <c r="C73" s="36" t="str">
        <f t="shared" si="4"/>
        <v>18-24</v>
      </c>
      <c r="D73" s="36" t="s">
        <v>133</v>
      </c>
      <c r="E73" s="36" t="s">
        <v>69</v>
      </c>
      <c r="F73" s="36" t="s">
        <v>47</v>
      </c>
      <c r="G73" s="36" t="s">
        <v>134</v>
      </c>
      <c r="H73" s="36" t="s">
        <v>181</v>
      </c>
      <c r="I73" s="36" t="s">
        <v>93</v>
      </c>
      <c r="J73" s="37">
        <v>1091</v>
      </c>
      <c r="K73" s="36"/>
      <c r="L73" s="36" t="s">
        <v>41</v>
      </c>
      <c r="M73" s="38">
        <v>2.4</v>
      </c>
      <c r="N73" s="38">
        <v>8</v>
      </c>
      <c r="O73" s="39">
        <f t="shared" si="5"/>
        <v>0.3</v>
      </c>
      <c r="P73" s="40">
        <v>0</v>
      </c>
      <c r="Q73" s="36" t="str">
        <f t="shared" si="6"/>
        <v>Free</v>
      </c>
      <c r="R73" s="38">
        <v>5.4</v>
      </c>
      <c r="S73" s="36">
        <v>4</v>
      </c>
      <c r="T73" s="36">
        <v>5</v>
      </c>
      <c r="U73" s="38">
        <v>2.6</v>
      </c>
      <c r="V73" s="41">
        <f t="shared" si="7"/>
        <v>0.15476190476190477</v>
      </c>
      <c r="W73" s="36" t="s">
        <v>86</v>
      </c>
      <c r="X73" s="36"/>
      <c r="Y73" s="36" t="s">
        <v>326</v>
      </c>
    </row>
    <row r="74" spans="1:25" x14ac:dyDescent="0.3">
      <c r="A74" s="36" t="s">
        <v>327</v>
      </c>
      <c r="B74" s="36">
        <v>22</v>
      </c>
      <c r="C74" s="36" t="str">
        <f t="shared" si="4"/>
        <v>18-24</v>
      </c>
      <c r="D74" s="36" t="s">
        <v>277</v>
      </c>
      <c r="E74" s="36" t="s">
        <v>61</v>
      </c>
      <c r="F74" s="36" t="s">
        <v>46</v>
      </c>
      <c r="G74" s="36" t="s">
        <v>148</v>
      </c>
      <c r="H74" s="36" t="s">
        <v>328</v>
      </c>
      <c r="I74" s="36" t="s">
        <v>94</v>
      </c>
      <c r="J74" s="37">
        <v>68</v>
      </c>
      <c r="K74" s="36" t="s">
        <v>24</v>
      </c>
      <c r="L74" s="36"/>
      <c r="M74" s="38">
        <v>0.7</v>
      </c>
      <c r="N74" s="38">
        <v>8.6</v>
      </c>
      <c r="O74" s="39">
        <f t="shared" si="5"/>
        <v>8.1395348837209294E-2</v>
      </c>
      <c r="P74" s="40">
        <v>0</v>
      </c>
      <c r="Q74" s="36" t="str">
        <f t="shared" si="6"/>
        <v>Free</v>
      </c>
      <c r="R74" s="38">
        <v>4.0999999999999996</v>
      </c>
      <c r="S74" s="36">
        <v>4</v>
      </c>
      <c r="T74" s="36">
        <v>6</v>
      </c>
      <c r="U74" s="38">
        <v>2.1</v>
      </c>
      <c r="V74" s="41">
        <f t="shared" si="7"/>
        <v>0.42857142857142866</v>
      </c>
      <c r="W74" s="36" t="s">
        <v>88</v>
      </c>
      <c r="X74" s="36"/>
      <c r="Y74" s="36" t="s">
        <v>329</v>
      </c>
    </row>
    <row r="75" spans="1:25" x14ac:dyDescent="0.3">
      <c r="A75" s="36" t="s">
        <v>330</v>
      </c>
      <c r="B75" s="36"/>
      <c r="C75" s="36" t="str">
        <f t="shared" si="4"/>
        <v/>
      </c>
      <c r="D75" s="36" t="s">
        <v>144</v>
      </c>
      <c r="E75" s="36" t="s">
        <v>69</v>
      </c>
      <c r="F75" s="36" t="s">
        <v>46</v>
      </c>
      <c r="G75" s="36" t="s">
        <v>138</v>
      </c>
      <c r="H75" s="36" t="s">
        <v>188</v>
      </c>
      <c r="I75" s="36" t="s">
        <v>91</v>
      </c>
      <c r="J75" s="37"/>
      <c r="K75" s="36" t="s">
        <v>24</v>
      </c>
      <c r="L75" s="36" t="s">
        <v>37</v>
      </c>
      <c r="M75" s="38">
        <v>2.1</v>
      </c>
      <c r="N75" s="38">
        <v>5.9</v>
      </c>
      <c r="O75" s="39">
        <f t="shared" si="5"/>
        <v>0.3559322033898305</v>
      </c>
      <c r="P75" s="40">
        <v>0</v>
      </c>
      <c r="Q75" s="36" t="str">
        <f t="shared" si="6"/>
        <v>Free</v>
      </c>
      <c r="R75" s="38">
        <v>4.7</v>
      </c>
      <c r="S75" s="36">
        <v>5</v>
      </c>
      <c r="T75" s="36">
        <v>8</v>
      </c>
      <c r="U75" s="38"/>
      <c r="V75" s="41" t="str">
        <f t="shared" si="7"/>
        <v/>
      </c>
      <c r="W75" s="36" t="s">
        <v>86</v>
      </c>
      <c r="X75" s="36"/>
      <c r="Y75" s="36" t="s">
        <v>331</v>
      </c>
    </row>
    <row r="76" spans="1:25" x14ac:dyDescent="0.3">
      <c r="A76" s="36" t="s">
        <v>332</v>
      </c>
      <c r="B76" s="36">
        <v>36</v>
      </c>
      <c r="C76" s="36" t="str">
        <f t="shared" si="4"/>
        <v>35-44</v>
      </c>
      <c r="D76" s="36" t="s">
        <v>144</v>
      </c>
      <c r="E76" s="36" t="s">
        <v>67</v>
      </c>
      <c r="F76" s="36" t="s">
        <v>47</v>
      </c>
      <c r="G76" s="36" t="s">
        <v>245</v>
      </c>
      <c r="H76" s="36" t="s">
        <v>333</v>
      </c>
      <c r="I76" s="36" t="s">
        <v>92</v>
      </c>
      <c r="J76" s="37">
        <v>1378</v>
      </c>
      <c r="K76" s="36" t="s">
        <v>28</v>
      </c>
      <c r="L76" s="36" t="s">
        <v>36</v>
      </c>
      <c r="M76" s="38">
        <v>2.1</v>
      </c>
      <c r="N76" s="38">
        <v>7.8</v>
      </c>
      <c r="O76" s="39">
        <f t="shared" si="5"/>
        <v>0.26923076923076927</v>
      </c>
      <c r="P76" s="40">
        <v>0</v>
      </c>
      <c r="Q76" s="36" t="str">
        <f t="shared" si="6"/>
        <v>Free</v>
      </c>
      <c r="R76" s="38">
        <v>3.8</v>
      </c>
      <c r="S76" s="36">
        <v>4</v>
      </c>
      <c r="T76" s="36">
        <v>5</v>
      </c>
      <c r="U76" s="38">
        <v>2.8</v>
      </c>
      <c r="V76" s="41">
        <f t="shared" si="7"/>
        <v>0.19047619047619044</v>
      </c>
      <c r="W76" s="36" t="s">
        <v>86</v>
      </c>
      <c r="X76" s="36"/>
      <c r="Y76" s="36"/>
    </row>
    <row r="77" spans="1:25" x14ac:dyDescent="0.3">
      <c r="A77" s="36" t="s">
        <v>334</v>
      </c>
      <c r="B77" s="36">
        <v>17</v>
      </c>
      <c r="C77" s="36" t="str">
        <f t="shared" si="4"/>
        <v>Under 18</v>
      </c>
      <c r="D77" s="36" t="s">
        <v>133</v>
      </c>
      <c r="E77" s="36" t="s">
        <v>62</v>
      </c>
      <c r="F77" s="36" t="s">
        <v>46</v>
      </c>
      <c r="G77" s="36" t="s">
        <v>159</v>
      </c>
      <c r="H77" s="36" t="s">
        <v>335</v>
      </c>
      <c r="I77" s="36" t="s">
        <v>94</v>
      </c>
      <c r="J77" s="37">
        <v>884</v>
      </c>
      <c r="K77" s="36"/>
      <c r="L77" s="36" t="s">
        <v>39</v>
      </c>
      <c r="M77" s="38">
        <v>7</v>
      </c>
      <c r="N77" s="38">
        <v>5.8</v>
      </c>
      <c r="O77" s="39">
        <f t="shared" si="5"/>
        <v>1.2068965517241379</v>
      </c>
      <c r="P77" s="40">
        <v>20</v>
      </c>
      <c r="Q77" s="36" t="str">
        <f t="shared" si="6"/>
        <v>Paid</v>
      </c>
      <c r="R77" s="38">
        <v>9.6999999999999993</v>
      </c>
      <c r="S77" s="36">
        <v>4</v>
      </c>
      <c r="T77" s="36">
        <v>10</v>
      </c>
      <c r="U77" s="38">
        <v>12.8</v>
      </c>
      <c r="V77" s="41">
        <f t="shared" si="7"/>
        <v>0.26122448979591839</v>
      </c>
      <c r="W77" s="36" t="s">
        <v>86</v>
      </c>
      <c r="X77" s="36" t="s">
        <v>178</v>
      </c>
      <c r="Y77" s="36"/>
    </row>
    <row r="78" spans="1:25" x14ac:dyDescent="0.3">
      <c r="A78" s="36" t="s">
        <v>336</v>
      </c>
      <c r="B78" s="36">
        <v>39</v>
      </c>
      <c r="C78" s="36" t="str">
        <f t="shared" si="4"/>
        <v>35-44</v>
      </c>
      <c r="D78" s="36" t="s">
        <v>144</v>
      </c>
      <c r="E78" s="36" t="s">
        <v>62</v>
      </c>
      <c r="F78" s="36" t="s">
        <v>47</v>
      </c>
      <c r="G78" s="36" t="s">
        <v>138</v>
      </c>
      <c r="H78" s="36" t="s">
        <v>181</v>
      </c>
      <c r="I78" s="36" t="s">
        <v>93</v>
      </c>
      <c r="J78" s="37">
        <v>3204</v>
      </c>
      <c r="K78" s="36" t="s">
        <v>24</v>
      </c>
      <c r="L78" s="36" t="s">
        <v>41</v>
      </c>
      <c r="M78" s="38">
        <v>2.6</v>
      </c>
      <c r="N78" s="38">
        <v>9.1999999999999993</v>
      </c>
      <c r="O78" s="39">
        <f t="shared" si="5"/>
        <v>0.28260869565217395</v>
      </c>
      <c r="P78" s="40">
        <v>0</v>
      </c>
      <c r="Q78" s="36" t="str">
        <f t="shared" si="6"/>
        <v>Free</v>
      </c>
      <c r="R78" s="38"/>
      <c r="S78" s="36">
        <v>3</v>
      </c>
      <c r="T78" s="36">
        <v>6</v>
      </c>
      <c r="U78" s="38">
        <v>3.6</v>
      </c>
      <c r="V78" s="41">
        <f t="shared" si="7"/>
        <v>0.19780219780219782</v>
      </c>
      <c r="W78" s="36" t="s">
        <v>86</v>
      </c>
      <c r="X78" s="36"/>
      <c r="Y78" s="36" t="s">
        <v>337</v>
      </c>
    </row>
    <row r="79" spans="1:25" x14ac:dyDescent="0.3">
      <c r="A79" s="36" t="s">
        <v>338</v>
      </c>
      <c r="B79" s="36"/>
      <c r="C79" s="36" t="str">
        <f t="shared" si="4"/>
        <v/>
      </c>
      <c r="D79" s="36" t="s">
        <v>133</v>
      </c>
      <c r="E79" s="36" t="s">
        <v>191</v>
      </c>
      <c r="F79" s="36" t="s">
        <v>47</v>
      </c>
      <c r="G79" s="36" t="s">
        <v>159</v>
      </c>
      <c r="H79" s="36" t="s">
        <v>321</v>
      </c>
      <c r="I79" s="36" t="s">
        <v>96</v>
      </c>
      <c r="J79" s="37">
        <v>557</v>
      </c>
      <c r="K79" s="36" t="s">
        <v>24</v>
      </c>
      <c r="L79" s="36" t="s">
        <v>43</v>
      </c>
      <c r="M79" s="38">
        <v>9.9</v>
      </c>
      <c r="N79" s="38">
        <v>8.5</v>
      </c>
      <c r="O79" s="39">
        <f t="shared" si="5"/>
        <v>1.1647058823529413</v>
      </c>
      <c r="P79" s="40">
        <v>0</v>
      </c>
      <c r="Q79" s="36" t="str">
        <f t="shared" si="6"/>
        <v>Free</v>
      </c>
      <c r="R79" s="38">
        <v>8.8000000000000007</v>
      </c>
      <c r="S79" s="36">
        <v>5</v>
      </c>
      <c r="T79" s="36">
        <v>9</v>
      </c>
      <c r="U79" s="38">
        <v>16.2</v>
      </c>
      <c r="V79" s="41">
        <f t="shared" si="7"/>
        <v>0.23376623376623376</v>
      </c>
      <c r="W79" s="36" t="s">
        <v>86</v>
      </c>
      <c r="X79" s="36" t="s">
        <v>178</v>
      </c>
      <c r="Y79" s="36"/>
    </row>
    <row r="80" spans="1:25" x14ac:dyDescent="0.3">
      <c r="A80" s="36" t="s">
        <v>339</v>
      </c>
      <c r="B80" s="36">
        <v>25</v>
      </c>
      <c r="C80" s="36" t="str">
        <f t="shared" si="4"/>
        <v>25-34</v>
      </c>
      <c r="D80" s="36" t="s">
        <v>144</v>
      </c>
      <c r="E80" s="36" t="s">
        <v>70</v>
      </c>
      <c r="F80" s="36" t="s">
        <v>47</v>
      </c>
      <c r="G80" s="36" t="s">
        <v>134</v>
      </c>
      <c r="H80" s="36" t="s">
        <v>340</v>
      </c>
      <c r="I80" s="36" t="s">
        <v>92</v>
      </c>
      <c r="J80" s="37">
        <v>6851</v>
      </c>
      <c r="K80" s="36" t="s">
        <v>25</v>
      </c>
      <c r="L80" s="36" t="s">
        <v>36</v>
      </c>
      <c r="M80" s="38">
        <v>4.0999999999999996</v>
      </c>
      <c r="N80" s="38"/>
      <c r="O80" s="39" t="str">
        <f t="shared" si="5"/>
        <v/>
      </c>
      <c r="P80" s="40">
        <v>0</v>
      </c>
      <c r="Q80" s="36" t="str">
        <f t="shared" si="6"/>
        <v>Free</v>
      </c>
      <c r="R80" s="38">
        <v>6</v>
      </c>
      <c r="S80" s="36">
        <v>4</v>
      </c>
      <c r="T80" s="36">
        <v>7</v>
      </c>
      <c r="U80" s="38">
        <v>7.2</v>
      </c>
      <c r="V80" s="41">
        <f t="shared" si="7"/>
        <v>0.25087108013937287</v>
      </c>
      <c r="W80" s="36" t="s">
        <v>86</v>
      </c>
      <c r="X80" s="36"/>
      <c r="Y80" s="36" t="s">
        <v>341</v>
      </c>
    </row>
    <row r="81" spans="1:25" x14ac:dyDescent="0.3">
      <c r="A81" s="36" t="s">
        <v>342</v>
      </c>
      <c r="B81" s="36">
        <v>46</v>
      </c>
      <c r="C81" s="36" t="str">
        <f t="shared" si="4"/>
        <v>45+</v>
      </c>
      <c r="D81" s="36" t="s">
        <v>144</v>
      </c>
      <c r="E81" s="36" t="s">
        <v>65</v>
      </c>
      <c r="F81" s="36" t="s">
        <v>47</v>
      </c>
      <c r="G81" s="36" t="s">
        <v>138</v>
      </c>
      <c r="H81" s="36" t="s">
        <v>343</v>
      </c>
      <c r="I81" s="36" t="s">
        <v>42</v>
      </c>
      <c r="J81" s="37">
        <v>3159</v>
      </c>
      <c r="K81" s="36" t="s">
        <v>28</v>
      </c>
      <c r="L81" s="36" t="s">
        <v>42</v>
      </c>
      <c r="M81" s="38">
        <v>1.9</v>
      </c>
      <c r="N81" s="38">
        <v>8.6</v>
      </c>
      <c r="O81" s="39">
        <f t="shared" si="5"/>
        <v>0.22093023255813954</v>
      </c>
      <c r="P81" s="40">
        <v>0</v>
      </c>
      <c r="Q81" s="36" t="str">
        <f t="shared" si="6"/>
        <v>Free</v>
      </c>
      <c r="R81" s="38">
        <v>3.4</v>
      </c>
      <c r="S81" s="36"/>
      <c r="T81" s="36">
        <v>7</v>
      </c>
      <c r="U81" s="38">
        <v>4.0999999999999996</v>
      </c>
      <c r="V81" s="41">
        <f t="shared" si="7"/>
        <v>0.30827067669172931</v>
      </c>
      <c r="W81" s="36" t="s">
        <v>86</v>
      </c>
      <c r="X81" s="36"/>
      <c r="Y81" s="36" t="s">
        <v>344</v>
      </c>
    </row>
    <row r="82" spans="1:25" x14ac:dyDescent="0.3">
      <c r="A82" s="36" t="s">
        <v>345</v>
      </c>
      <c r="B82" s="36">
        <v>34</v>
      </c>
      <c r="C82" s="36" t="str">
        <f t="shared" si="4"/>
        <v>25-34</v>
      </c>
      <c r="D82" s="36" t="s">
        <v>144</v>
      </c>
      <c r="E82" s="36" t="s">
        <v>62</v>
      </c>
      <c r="F82" s="36" t="s">
        <v>47</v>
      </c>
      <c r="G82" s="36" t="s">
        <v>159</v>
      </c>
      <c r="H82" s="36" t="s">
        <v>346</v>
      </c>
      <c r="I82" s="36" t="s">
        <v>93</v>
      </c>
      <c r="J82" s="37">
        <v>3878</v>
      </c>
      <c r="K82" s="36"/>
      <c r="L82" s="36" t="s">
        <v>41</v>
      </c>
      <c r="M82" s="38">
        <v>4.8</v>
      </c>
      <c r="N82" s="38">
        <v>8.6999999999999993</v>
      </c>
      <c r="O82" s="39">
        <f t="shared" si="5"/>
        <v>0.55172413793103448</v>
      </c>
      <c r="P82" s="40">
        <v>30</v>
      </c>
      <c r="Q82" s="36" t="str">
        <f t="shared" si="6"/>
        <v>Paid</v>
      </c>
      <c r="R82" s="38">
        <v>7.7</v>
      </c>
      <c r="S82" s="36">
        <v>3</v>
      </c>
      <c r="T82" s="36">
        <v>6</v>
      </c>
      <c r="U82" s="38">
        <v>5.7</v>
      </c>
      <c r="V82" s="41">
        <f t="shared" si="7"/>
        <v>0.16964285714285715</v>
      </c>
      <c r="W82" s="36" t="s">
        <v>88</v>
      </c>
      <c r="X82" s="36"/>
      <c r="Y82" s="36" t="s">
        <v>347</v>
      </c>
    </row>
    <row r="83" spans="1:25" x14ac:dyDescent="0.3">
      <c r="A83" s="36" t="s">
        <v>348</v>
      </c>
      <c r="B83" s="36">
        <v>24</v>
      </c>
      <c r="C83" s="36" t="str">
        <f t="shared" si="4"/>
        <v>18-24</v>
      </c>
      <c r="D83" s="36" t="s">
        <v>133</v>
      </c>
      <c r="E83" s="36" t="s">
        <v>61</v>
      </c>
      <c r="F83" s="36" t="s">
        <v>47</v>
      </c>
      <c r="G83" s="36" t="s">
        <v>159</v>
      </c>
      <c r="H83" s="36" t="s">
        <v>349</v>
      </c>
      <c r="I83" s="36" t="s">
        <v>93</v>
      </c>
      <c r="J83" s="37">
        <v>1761</v>
      </c>
      <c r="K83" s="36" t="s">
        <v>25</v>
      </c>
      <c r="L83" s="36" t="s">
        <v>41</v>
      </c>
      <c r="M83" s="38">
        <v>0.6</v>
      </c>
      <c r="N83" s="38">
        <v>10.5</v>
      </c>
      <c r="O83" s="39">
        <f t="shared" si="5"/>
        <v>5.7142857142857141E-2</v>
      </c>
      <c r="P83" s="40">
        <v>50</v>
      </c>
      <c r="Q83" s="36" t="str">
        <f t="shared" si="6"/>
        <v>Paid</v>
      </c>
      <c r="R83" s="38">
        <v>3.3</v>
      </c>
      <c r="S83" s="36">
        <v>3</v>
      </c>
      <c r="T83" s="36">
        <v>5</v>
      </c>
      <c r="U83" s="38">
        <v>4.2</v>
      </c>
      <c r="V83" s="41">
        <f t="shared" si="7"/>
        <v>1</v>
      </c>
      <c r="W83" s="36" t="s">
        <v>86</v>
      </c>
      <c r="X83" s="36"/>
      <c r="Y83" s="36" t="s">
        <v>350</v>
      </c>
    </row>
    <row r="84" spans="1:25" x14ac:dyDescent="0.3">
      <c r="A84" s="36" t="s">
        <v>351</v>
      </c>
      <c r="B84" s="36">
        <v>25</v>
      </c>
      <c r="C84" s="36" t="str">
        <f t="shared" si="4"/>
        <v>25-34</v>
      </c>
      <c r="D84" s="36" t="s">
        <v>133</v>
      </c>
      <c r="E84" s="36" t="s">
        <v>63</v>
      </c>
      <c r="F84" s="36" t="s">
        <v>46</v>
      </c>
      <c r="G84" s="36" t="s">
        <v>245</v>
      </c>
      <c r="H84" s="36" t="s">
        <v>352</v>
      </c>
      <c r="I84" s="36" t="s">
        <v>92</v>
      </c>
      <c r="J84" s="37">
        <v>0</v>
      </c>
      <c r="K84" s="36" t="s">
        <v>24</v>
      </c>
      <c r="L84" s="36" t="s">
        <v>38</v>
      </c>
      <c r="M84" s="38">
        <v>1.9</v>
      </c>
      <c r="N84" s="38">
        <v>2.1</v>
      </c>
      <c r="O84" s="39">
        <f t="shared" si="5"/>
        <v>0.90476190476190466</v>
      </c>
      <c r="P84" s="40">
        <v>10</v>
      </c>
      <c r="Q84" s="36" t="str">
        <f t="shared" si="6"/>
        <v>Paid</v>
      </c>
      <c r="R84" s="38">
        <v>5.5</v>
      </c>
      <c r="S84" s="36">
        <v>3</v>
      </c>
      <c r="T84" s="36">
        <v>5</v>
      </c>
      <c r="U84" s="38">
        <v>2.9</v>
      </c>
      <c r="V84" s="41">
        <f t="shared" si="7"/>
        <v>0.2180451127819549</v>
      </c>
      <c r="W84" s="36" t="s">
        <v>87</v>
      </c>
      <c r="X84" s="36"/>
      <c r="Y84" s="36" t="s">
        <v>353</v>
      </c>
    </row>
    <row r="85" spans="1:25" x14ac:dyDescent="0.3">
      <c r="A85" s="36" t="s">
        <v>354</v>
      </c>
      <c r="B85" s="36">
        <v>29</v>
      </c>
      <c r="C85" s="36" t="str">
        <f t="shared" si="4"/>
        <v>25-34</v>
      </c>
      <c r="D85" s="36" t="s">
        <v>144</v>
      </c>
      <c r="E85" s="36" t="s">
        <v>61</v>
      </c>
      <c r="F85" s="36" t="s">
        <v>47</v>
      </c>
      <c r="G85" s="36" t="s">
        <v>134</v>
      </c>
      <c r="H85" s="36" t="s">
        <v>355</v>
      </c>
      <c r="I85" s="36" t="s">
        <v>91</v>
      </c>
      <c r="J85" s="37">
        <v>2090</v>
      </c>
      <c r="K85" s="36" t="s">
        <v>24</v>
      </c>
      <c r="L85" s="36" t="s">
        <v>40</v>
      </c>
      <c r="M85" s="38">
        <v>1.3</v>
      </c>
      <c r="N85" s="38">
        <v>9.9</v>
      </c>
      <c r="O85" s="39">
        <f t="shared" si="5"/>
        <v>0.13131313131313133</v>
      </c>
      <c r="P85" s="40">
        <v>0</v>
      </c>
      <c r="Q85" s="36" t="str">
        <f t="shared" si="6"/>
        <v>Free</v>
      </c>
      <c r="R85" s="38">
        <v>4.3</v>
      </c>
      <c r="S85" s="36">
        <v>3</v>
      </c>
      <c r="T85" s="36">
        <v>7</v>
      </c>
      <c r="U85" s="38">
        <v>2.6</v>
      </c>
      <c r="V85" s="41">
        <f t="shared" si="7"/>
        <v>0.28571428571428575</v>
      </c>
      <c r="W85" s="36" t="s">
        <v>86</v>
      </c>
      <c r="X85" s="36"/>
      <c r="Y85" s="36" t="s">
        <v>356</v>
      </c>
    </row>
    <row r="86" spans="1:25" x14ac:dyDescent="0.3">
      <c r="A86" s="36" t="s">
        <v>357</v>
      </c>
      <c r="B86" s="36">
        <v>30</v>
      </c>
      <c r="C86" s="36" t="str">
        <f t="shared" si="4"/>
        <v>25-34</v>
      </c>
      <c r="D86" s="36" t="s">
        <v>133</v>
      </c>
      <c r="E86" s="36" t="s">
        <v>67</v>
      </c>
      <c r="F86" s="36" t="s">
        <v>47</v>
      </c>
      <c r="G86" s="36" t="s">
        <v>134</v>
      </c>
      <c r="H86" s="36" t="s">
        <v>239</v>
      </c>
      <c r="I86" s="36" t="s">
        <v>92</v>
      </c>
      <c r="J86" s="37">
        <v>579</v>
      </c>
      <c r="K86" s="36" t="s">
        <v>26</v>
      </c>
      <c r="L86" s="36" t="s">
        <v>36</v>
      </c>
      <c r="M86" s="38">
        <v>3.8</v>
      </c>
      <c r="N86" s="38">
        <v>7.4</v>
      </c>
      <c r="O86" s="39">
        <f t="shared" si="5"/>
        <v>0.51351351351351349</v>
      </c>
      <c r="P86" s="40">
        <v>0</v>
      </c>
      <c r="Q86" s="36" t="str">
        <f t="shared" si="6"/>
        <v>Free</v>
      </c>
      <c r="R86" s="38">
        <v>6.1</v>
      </c>
      <c r="S86" s="36">
        <v>4</v>
      </c>
      <c r="T86" s="36">
        <v>6</v>
      </c>
      <c r="U86" s="38">
        <v>9.4</v>
      </c>
      <c r="V86" s="41">
        <f t="shared" si="7"/>
        <v>0.35338345864661658</v>
      </c>
      <c r="W86" s="36" t="s">
        <v>87</v>
      </c>
      <c r="X86" s="36"/>
      <c r="Y86" s="36" t="s">
        <v>358</v>
      </c>
    </row>
    <row r="87" spans="1:25" x14ac:dyDescent="0.3">
      <c r="A87" s="36" t="s">
        <v>359</v>
      </c>
      <c r="B87" s="36">
        <v>24</v>
      </c>
      <c r="C87" s="36" t="str">
        <f t="shared" si="4"/>
        <v>18-24</v>
      </c>
      <c r="D87" s="36" t="s">
        <v>133</v>
      </c>
      <c r="E87" s="36" t="s">
        <v>65</v>
      </c>
      <c r="F87" s="36" t="s">
        <v>46</v>
      </c>
      <c r="G87" s="36" t="s">
        <v>138</v>
      </c>
      <c r="H87" s="36" t="s">
        <v>360</v>
      </c>
      <c r="I87" s="36" t="s">
        <v>94</v>
      </c>
      <c r="J87" s="37">
        <v>0</v>
      </c>
      <c r="K87" s="36" t="s">
        <v>26</v>
      </c>
      <c r="L87" s="36" t="s">
        <v>39</v>
      </c>
      <c r="M87" s="38">
        <v>1.3</v>
      </c>
      <c r="N87" s="38">
        <v>4.8</v>
      </c>
      <c r="O87" s="39">
        <f t="shared" si="5"/>
        <v>0.27083333333333337</v>
      </c>
      <c r="P87" s="40">
        <v>0</v>
      </c>
      <c r="Q87" s="36" t="str">
        <f t="shared" si="6"/>
        <v>Free</v>
      </c>
      <c r="R87" s="38">
        <v>5.2</v>
      </c>
      <c r="S87" s="36">
        <v>4</v>
      </c>
      <c r="T87" s="36">
        <v>7</v>
      </c>
      <c r="U87" s="38">
        <v>2.7</v>
      </c>
      <c r="V87" s="41">
        <f t="shared" si="7"/>
        <v>0.29670329670329676</v>
      </c>
      <c r="W87" s="36" t="s">
        <v>86</v>
      </c>
      <c r="X87" s="36"/>
      <c r="Y87" s="36" t="s">
        <v>361</v>
      </c>
    </row>
    <row r="88" spans="1:25" x14ac:dyDescent="0.3">
      <c r="A88" s="36" t="s">
        <v>362</v>
      </c>
      <c r="B88" s="36"/>
      <c r="C88" s="36" t="str">
        <f t="shared" si="4"/>
        <v/>
      </c>
      <c r="D88" s="36" t="s">
        <v>144</v>
      </c>
      <c r="E88" s="36" t="s">
        <v>68</v>
      </c>
      <c r="F88" s="36" t="s">
        <v>47</v>
      </c>
      <c r="G88" s="36" t="s">
        <v>134</v>
      </c>
      <c r="H88" s="36" t="s">
        <v>363</v>
      </c>
      <c r="I88" s="36" t="s">
        <v>91</v>
      </c>
      <c r="J88" s="37">
        <v>6779</v>
      </c>
      <c r="K88" s="36" t="s">
        <v>24</v>
      </c>
      <c r="L88" s="36" t="s">
        <v>40</v>
      </c>
      <c r="M88" s="38">
        <v>2.2999999999999998</v>
      </c>
      <c r="N88" s="38">
        <v>11.2</v>
      </c>
      <c r="O88" s="39">
        <f t="shared" si="5"/>
        <v>0.20535714285714285</v>
      </c>
      <c r="P88" s="40">
        <v>0</v>
      </c>
      <c r="Q88" s="36" t="str">
        <f t="shared" si="6"/>
        <v>Free</v>
      </c>
      <c r="R88" s="38">
        <v>4.8</v>
      </c>
      <c r="S88" s="36">
        <v>3</v>
      </c>
      <c r="T88" s="36"/>
      <c r="U88" s="38">
        <v>2.4</v>
      </c>
      <c r="V88" s="41">
        <f t="shared" si="7"/>
        <v>0.14906832298136646</v>
      </c>
      <c r="W88" s="36" t="s">
        <v>88</v>
      </c>
      <c r="X88" s="36" t="s">
        <v>364</v>
      </c>
      <c r="Y88" s="36" t="s">
        <v>365</v>
      </c>
    </row>
    <row r="89" spans="1:25" x14ac:dyDescent="0.3">
      <c r="A89" s="36" t="s">
        <v>366</v>
      </c>
      <c r="B89" s="36">
        <v>33</v>
      </c>
      <c r="C89" s="36" t="str">
        <f t="shared" si="4"/>
        <v>25-34</v>
      </c>
      <c r="D89" s="36" t="s">
        <v>133</v>
      </c>
      <c r="E89" s="36" t="s">
        <v>65</v>
      </c>
      <c r="F89" s="36" t="s">
        <v>47</v>
      </c>
      <c r="G89" s="36" t="s">
        <v>245</v>
      </c>
      <c r="H89" s="36" t="s">
        <v>367</v>
      </c>
      <c r="I89" s="36" t="s">
        <v>92</v>
      </c>
      <c r="J89" s="37">
        <v>8205</v>
      </c>
      <c r="K89" s="36" t="s">
        <v>24</v>
      </c>
      <c r="L89" s="36" t="s">
        <v>36</v>
      </c>
      <c r="M89" s="38">
        <v>1.5</v>
      </c>
      <c r="N89" s="38">
        <v>8.4</v>
      </c>
      <c r="O89" s="39">
        <f t="shared" si="5"/>
        <v>0.17857142857142858</v>
      </c>
      <c r="P89" s="40">
        <v>10</v>
      </c>
      <c r="Q89" s="36" t="str">
        <f t="shared" si="6"/>
        <v>Paid</v>
      </c>
      <c r="R89" s="38">
        <v>5</v>
      </c>
      <c r="S89" s="36">
        <v>4</v>
      </c>
      <c r="T89" s="36">
        <v>7</v>
      </c>
      <c r="U89" s="38">
        <v>1.8</v>
      </c>
      <c r="V89" s="41">
        <f t="shared" si="7"/>
        <v>0.17142857142857143</v>
      </c>
      <c r="W89" s="36" t="s">
        <v>86</v>
      </c>
      <c r="X89" s="36"/>
      <c r="Y89" s="36" t="s">
        <v>368</v>
      </c>
    </row>
    <row r="90" spans="1:25" x14ac:dyDescent="0.3">
      <c r="A90" s="36" t="s">
        <v>369</v>
      </c>
      <c r="B90" s="36">
        <v>40</v>
      </c>
      <c r="C90" s="36" t="str">
        <f t="shared" si="4"/>
        <v>35-44</v>
      </c>
      <c r="D90" s="36" t="s">
        <v>133</v>
      </c>
      <c r="E90" s="36" t="s">
        <v>61</v>
      </c>
      <c r="F90" s="36" t="s">
        <v>47</v>
      </c>
      <c r="G90" s="36" t="s">
        <v>134</v>
      </c>
      <c r="H90" s="36" t="s">
        <v>370</v>
      </c>
      <c r="I90" s="36" t="s">
        <v>93</v>
      </c>
      <c r="J90" s="37">
        <v>1575</v>
      </c>
      <c r="K90" s="36" t="s">
        <v>24</v>
      </c>
      <c r="L90" s="36" t="s">
        <v>41</v>
      </c>
      <c r="M90" s="38">
        <v>0.7</v>
      </c>
      <c r="N90" s="38">
        <v>8.3000000000000007</v>
      </c>
      <c r="O90" s="39">
        <f t="shared" si="5"/>
        <v>8.4337349397590355E-2</v>
      </c>
      <c r="P90" s="40">
        <v>0</v>
      </c>
      <c r="Q90" s="36" t="str">
        <f t="shared" si="6"/>
        <v>Free</v>
      </c>
      <c r="R90" s="38">
        <v>3.8</v>
      </c>
      <c r="S90" s="36">
        <v>4</v>
      </c>
      <c r="T90" s="36">
        <v>8</v>
      </c>
      <c r="U90" s="38">
        <v>0.6</v>
      </c>
      <c r="V90" s="41">
        <f t="shared" si="7"/>
        <v>0.12244897959183675</v>
      </c>
      <c r="W90" s="36" t="s">
        <v>88</v>
      </c>
      <c r="X90" s="36"/>
      <c r="Y90" s="36" t="s">
        <v>371</v>
      </c>
    </row>
    <row r="91" spans="1:25" x14ac:dyDescent="0.3">
      <c r="A91" s="36" t="s">
        <v>372</v>
      </c>
      <c r="B91" s="36">
        <v>54</v>
      </c>
      <c r="C91" s="36" t="str">
        <f t="shared" si="4"/>
        <v>45+</v>
      </c>
      <c r="D91" s="36" t="s">
        <v>144</v>
      </c>
      <c r="E91" s="36" t="s">
        <v>61</v>
      </c>
      <c r="F91" s="36" t="s">
        <v>47</v>
      </c>
      <c r="G91" s="36" t="s">
        <v>138</v>
      </c>
      <c r="H91" s="36" t="s">
        <v>321</v>
      </c>
      <c r="I91" s="36" t="s">
        <v>96</v>
      </c>
      <c r="J91" s="37">
        <v>2464</v>
      </c>
      <c r="K91" s="36" t="s">
        <v>25</v>
      </c>
      <c r="L91" s="36" t="s">
        <v>43</v>
      </c>
      <c r="M91" s="38">
        <v>3.9</v>
      </c>
      <c r="N91" s="38">
        <v>7.6</v>
      </c>
      <c r="O91" s="39">
        <f t="shared" si="5"/>
        <v>0.51315789473684215</v>
      </c>
      <c r="P91" s="40">
        <v>0</v>
      </c>
      <c r="Q91" s="36" t="str">
        <f t="shared" si="6"/>
        <v>Free</v>
      </c>
      <c r="R91" s="38">
        <v>7.7</v>
      </c>
      <c r="S91" s="36">
        <v>4</v>
      </c>
      <c r="T91" s="36">
        <v>8</v>
      </c>
      <c r="U91" s="38">
        <v>6.8</v>
      </c>
      <c r="V91" s="41">
        <f t="shared" si="7"/>
        <v>0.24908424908424906</v>
      </c>
      <c r="W91" s="36" t="s">
        <v>86</v>
      </c>
      <c r="X91" s="36"/>
      <c r="Y91" s="36" t="s">
        <v>373</v>
      </c>
    </row>
    <row r="92" spans="1:25" x14ac:dyDescent="0.3">
      <c r="A92" s="36" t="s">
        <v>374</v>
      </c>
      <c r="B92" s="36">
        <v>43</v>
      </c>
      <c r="C92" s="36" t="str">
        <f t="shared" si="4"/>
        <v>35-44</v>
      </c>
      <c r="D92" s="36" t="s">
        <v>144</v>
      </c>
      <c r="E92" s="36" t="s">
        <v>64</v>
      </c>
      <c r="F92" s="36" t="s">
        <v>47</v>
      </c>
      <c r="G92" s="36" t="s">
        <v>134</v>
      </c>
      <c r="H92" s="36" t="s">
        <v>375</v>
      </c>
      <c r="I92" s="36" t="s">
        <v>91</v>
      </c>
      <c r="J92" s="37">
        <v>730</v>
      </c>
      <c r="K92" s="36" t="s">
        <v>24</v>
      </c>
      <c r="L92" s="36" t="s">
        <v>37</v>
      </c>
      <c r="M92" s="38">
        <v>1.6</v>
      </c>
      <c r="N92" s="38">
        <v>9.6999999999999993</v>
      </c>
      <c r="O92" s="39">
        <f t="shared" si="5"/>
        <v>0.16494845360824745</v>
      </c>
      <c r="P92" s="40">
        <v>20</v>
      </c>
      <c r="Q92" s="36" t="str">
        <f t="shared" si="6"/>
        <v>Paid</v>
      </c>
      <c r="R92" s="38">
        <v>5.0999999999999996</v>
      </c>
      <c r="S92" s="36">
        <v>4</v>
      </c>
      <c r="T92" s="36">
        <v>5</v>
      </c>
      <c r="U92" s="38">
        <v>4.7</v>
      </c>
      <c r="V92" s="41">
        <f t="shared" si="7"/>
        <v>0.4196428571428571</v>
      </c>
      <c r="W92" s="36" t="s">
        <v>87</v>
      </c>
      <c r="X92" s="36"/>
      <c r="Y92" s="36" t="s">
        <v>376</v>
      </c>
    </row>
    <row r="93" spans="1:25" x14ac:dyDescent="0.3">
      <c r="A93" s="36" t="s">
        <v>377</v>
      </c>
      <c r="B93" s="36">
        <v>31</v>
      </c>
      <c r="C93" s="36" t="str">
        <f t="shared" si="4"/>
        <v>25-34</v>
      </c>
      <c r="D93" s="36" t="s">
        <v>133</v>
      </c>
      <c r="E93" s="36" t="s">
        <v>61</v>
      </c>
      <c r="F93" s="36" t="s">
        <v>46</v>
      </c>
      <c r="G93" s="36" t="s">
        <v>148</v>
      </c>
      <c r="H93" s="36" t="s">
        <v>378</v>
      </c>
      <c r="I93" s="36" t="s">
        <v>95</v>
      </c>
      <c r="J93" s="37">
        <v>157</v>
      </c>
      <c r="K93" s="36" t="s">
        <v>24</v>
      </c>
      <c r="L93" s="36" t="s">
        <v>38</v>
      </c>
      <c r="M93" s="38">
        <v>0.9</v>
      </c>
      <c r="N93" s="38">
        <v>6.4</v>
      </c>
      <c r="O93" s="39">
        <f t="shared" si="5"/>
        <v>0.140625</v>
      </c>
      <c r="P93" s="40">
        <v>25</v>
      </c>
      <c r="Q93" s="36" t="str">
        <f t="shared" si="6"/>
        <v>Paid</v>
      </c>
      <c r="R93" s="38">
        <v>3.7</v>
      </c>
      <c r="S93" s="36">
        <v>4</v>
      </c>
      <c r="T93" s="36">
        <v>6</v>
      </c>
      <c r="U93" s="38">
        <v>0</v>
      </c>
      <c r="V93" s="41">
        <f t="shared" si="7"/>
        <v>0</v>
      </c>
      <c r="W93" s="36"/>
      <c r="X93" s="36"/>
      <c r="Y93" s="36" t="s">
        <v>379</v>
      </c>
    </row>
    <row r="94" spans="1:25" x14ac:dyDescent="0.3">
      <c r="A94" s="36" t="s">
        <v>380</v>
      </c>
      <c r="B94" s="36">
        <v>25</v>
      </c>
      <c r="C94" s="36" t="str">
        <f t="shared" si="4"/>
        <v>25-34</v>
      </c>
      <c r="D94" s="36" t="s">
        <v>144</v>
      </c>
      <c r="E94" s="36" t="s">
        <v>65</v>
      </c>
      <c r="F94" s="36" t="s">
        <v>47</v>
      </c>
      <c r="G94" s="36"/>
      <c r="H94" s="36" t="s">
        <v>381</v>
      </c>
      <c r="I94" s="36" t="s">
        <v>92</v>
      </c>
      <c r="J94" s="37">
        <v>2945</v>
      </c>
      <c r="K94" s="36" t="s">
        <v>28</v>
      </c>
      <c r="L94" s="36" t="s">
        <v>36</v>
      </c>
      <c r="M94" s="38"/>
      <c r="N94" s="38">
        <v>11.3</v>
      </c>
      <c r="O94" s="39" t="str">
        <f t="shared" si="5"/>
        <v/>
      </c>
      <c r="P94" s="40">
        <v>20</v>
      </c>
      <c r="Q94" s="36" t="str">
        <f t="shared" si="6"/>
        <v>Paid</v>
      </c>
      <c r="R94" s="38">
        <v>9.4</v>
      </c>
      <c r="S94" s="36">
        <v>3</v>
      </c>
      <c r="T94" s="36">
        <v>8</v>
      </c>
      <c r="U94" s="38">
        <v>15.1</v>
      </c>
      <c r="V94" s="41" t="str">
        <f t="shared" si="7"/>
        <v/>
      </c>
      <c r="W94" s="36" t="s">
        <v>86</v>
      </c>
      <c r="X94" s="36"/>
      <c r="Y94" s="36" t="s">
        <v>382</v>
      </c>
    </row>
    <row r="95" spans="1:25" x14ac:dyDescent="0.3">
      <c r="A95" s="36" t="s">
        <v>383</v>
      </c>
      <c r="B95" s="36"/>
      <c r="C95" s="36" t="str">
        <f t="shared" si="4"/>
        <v/>
      </c>
      <c r="D95" s="36" t="s">
        <v>133</v>
      </c>
      <c r="E95" s="36" t="s">
        <v>70</v>
      </c>
      <c r="F95" s="36" t="s">
        <v>46</v>
      </c>
      <c r="G95" s="36" t="s">
        <v>159</v>
      </c>
      <c r="H95" s="36" t="s">
        <v>384</v>
      </c>
      <c r="I95" s="36" t="s">
        <v>91</v>
      </c>
      <c r="J95" s="37">
        <v>366</v>
      </c>
      <c r="K95" s="36" t="s">
        <v>24</v>
      </c>
      <c r="L95" s="36" t="s">
        <v>37</v>
      </c>
      <c r="M95" s="38">
        <v>0.6</v>
      </c>
      <c r="N95" s="38">
        <v>7.6</v>
      </c>
      <c r="O95" s="39">
        <f t="shared" si="5"/>
        <v>7.8947368421052627E-2</v>
      </c>
      <c r="P95" s="40">
        <v>25</v>
      </c>
      <c r="Q95" s="36" t="str">
        <f t="shared" si="6"/>
        <v>Paid</v>
      </c>
      <c r="R95" s="38">
        <v>4.0999999999999996</v>
      </c>
      <c r="S95" s="36"/>
      <c r="T95" s="36">
        <v>6</v>
      </c>
      <c r="U95" s="38">
        <v>3</v>
      </c>
      <c r="V95" s="41">
        <f t="shared" si="7"/>
        <v>0.7142857142857143</v>
      </c>
      <c r="W95" s="36" t="s">
        <v>86</v>
      </c>
      <c r="X95" s="36"/>
      <c r="Y95" s="36" t="s">
        <v>385</v>
      </c>
    </row>
    <row r="96" spans="1:25" x14ac:dyDescent="0.3">
      <c r="A96" s="36" t="s">
        <v>386</v>
      </c>
      <c r="B96" s="36"/>
      <c r="C96" s="36" t="str">
        <f t="shared" si="4"/>
        <v/>
      </c>
      <c r="D96" s="36" t="s">
        <v>133</v>
      </c>
      <c r="E96" s="36" t="s">
        <v>63</v>
      </c>
      <c r="F96" s="36" t="s">
        <v>46</v>
      </c>
      <c r="G96" s="36" t="s">
        <v>148</v>
      </c>
      <c r="H96" s="36" t="s">
        <v>335</v>
      </c>
      <c r="I96" s="36" t="s">
        <v>94</v>
      </c>
      <c r="J96" s="37">
        <v>397</v>
      </c>
      <c r="K96" s="36" t="s">
        <v>25</v>
      </c>
      <c r="L96" s="36" t="s">
        <v>39</v>
      </c>
      <c r="M96" s="38">
        <v>5.4</v>
      </c>
      <c r="N96" s="38">
        <v>6.5</v>
      </c>
      <c r="O96" s="39">
        <f t="shared" si="5"/>
        <v>0.83076923076923082</v>
      </c>
      <c r="P96" s="40">
        <v>0</v>
      </c>
      <c r="Q96" s="36" t="str">
        <f t="shared" si="6"/>
        <v>Free</v>
      </c>
      <c r="R96" s="38">
        <v>9.3000000000000007</v>
      </c>
      <c r="S96" s="36">
        <v>3</v>
      </c>
      <c r="T96" s="36">
        <v>8</v>
      </c>
      <c r="U96" s="38">
        <v>13.1</v>
      </c>
      <c r="V96" s="41">
        <f t="shared" si="7"/>
        <v>0.34656084656084651</v>
      </c>
      <c r="W96" s="36" t="s">
        <v>86</v>
      </c>
      <c r="X96" s="36"/>
      <c r="Y96" s="36" t="s">
        <v>387</v>
      </c>
    </row>
    <row r="97" spans="1:25" x14ac:dyDescent="0.3">
      <c r="A97" s="36" t="s">
        <v>388</v>
      </c>
      <c r="B97" s="36">
        <v>24</v>
      </c>
      <c r="C97" s="36" t="str">
        <f t="shared" si="4"/>
        <v>18-24</v>
      </c>
      <c r="D97" s="36" t="s">
        <v>133</v>
      </c>
      <c r="E97" s="36" t="s">
        <v>70</v>
      </c>
      <c r="F97" s="36" t="s">
        <v>46</v>
      </c>
      <c r="G97" s="36" t="s">
        <v>134</v>
      </c>
      <c r="H97" s="36" t="s">
        <v>389</v>
      </c>
      <c r="I97" s="36" t="s">
        <v>92</v>
      </c>
      <c r="J97" s="37">
        <v>134</v>
      </c>
      <c r="K97" s="36" t="s">
        <v>27</v>
      </c>
      <c r="L97" s="36" t="s">
        <v>39</v>
      </c>
      <c r="M97" s="38">
        <v>3.6</v>
      </c>
      <c r="N97" s="38">
        <v>6.5</v>
      </c>
      <c r="O97" s="39">
        <f t="shared" si="5"/>
        <v>0.55384615384615388</v>
      </c>
      <c r="P97" s="40">
        <v>20</v>
      </c>
      <c r="Q97" s="36" t="str">
        <f t="shared" si="6"/>
        <v>Paid</v>
      </c>
      <c r="R97" s="38"/>
      <c r="S97" s="36">
        <v>2</v>
      </c>
      <c r="T97" s="36">
        <v>6</v>
      </c>
      <c r="U97" s="38">
        <v>5.2</v>
      </c>
      <c r="V97" s="41">
        <f t="shared" si="7"/>
        <v>0.20634920634920637</v>
      </c>
      <c r="W97" s="36" t="s">
        <v>87</v>
      </c>
      <c r="X97" s="36"/>
      <c r="Y97" s="36" t="s">
        <v>390</v>
      </c>
    </row>
    <row r="98" spans="1:25" x14ac:dyDescent="0.3">
      <c r="A98" s="36" t="s">
        <v>391</v>
      </c>
      <c r="B98" s="36">
        <v>35</v>
      </c>
      <c r="C98" s="36" t="str">
        <f t="shared" si="4"/>
        <v>35-44</v>
      </c>
      <c r="D98" s="36" t="s">
        <v>133</v>
      </c>
      <c r="E98" s="36" t="s">
        <v>67</v>
      </c>
      <c r="F98" s="36" t="s">
        <v>47</v>
      </c>
      <c r="G98" s="36" t="s">
        <v>138</v>
      </c>
      <c r="H98" s="36" t="s">
        <v>249</v>
      </c>
      <c r="I98" s="36" t="s">
        <v>91</v>
      </c>
      <c r="J98" s="37">
        <v>1354</v>
      </c>
      <c r="K98" s="36" t="s">
        <v>24</v>
      </c>
      <c r="L98" s="36" t="s">
        <v>37</v>
      </c>
      <c r="M98" s="38">
        <v>5</v>
      </c>
      <c r="N98" s="38">
        <v>6.9</v>
      </c>
      <c r="O98" s="39">
        <f t="shared" si="5"/>
        <v>0.72463768115942029</v>
      </c>
      <c r="P98" s="40">
        <v>20</v>
      </c>
      <c r="Q98" s="36" t="str">
        <f t="shared" si="6"/>
        <v>Paid</v>
      </c>
      <c r="R98" s="38">
        <v>6.2</v>
      </c>
      <c r="S98" s="36">
        <v>2</v>
      </c>
      <c r="T98" s="36">
        <v>6</v>
      </c>
      <c r="U98" s="38">
        <v>12</v>
      </c>
      <c r="V98" s="41">
        <f t="shared" si="7"/>
        <v>0.34285714285714286</v>
      </c>
      <c r="W98" s="36" t="s">
        <v>86</v>
      </c>
      <c r="X98" s="36"/>
      <c r="Y98" s="36"/>
    </row>
    <row r="99" spans="1:25" x14ac:dyDescent="0.3">
      <c r="A99" s="36" t="s">
        <v>392</v>
      </c>
      <c r="B99" s="36">
        <v>31</v>
      </c>
      <c r="C99" s="36" t="str">
        <f t="shared" si="4"/>
        <v>25-34</v>
      </c>
      <c r="D99" s="36"/>
      <c r="E99" s="36" t="s">
        <v>66</v>
      </c>
      <c r="F99" s="36" t="s">
        <v>46</v>
      </c>
      <c r="G99" s="36" t="s">
        <v>159</v>
      </c>
      <c r="H99" s="36" t="s">
        <v>393</v>
      </c>
      <c r="I99" s="36" t="s">
        <v>92</v>
      </c>
      <c r="J99" s="37">
        <v>191</v>
      </c>
      <c r="K99" s="36" t="s">
        <v>27</v>
      </c>
      <c r="L99" s="36" t="s">
        <v>36</v>
      </c>
      <c r="M99" s="38">
        <v>1.9</v>
      </c>
      <c r="N99" s="38">
        <v>5.0999999999999996</v>
      </c>
      <c r="O99" s="39">
        <f t="shared" si="5"/>
        <v>0.37254901960784315</v>
      </c>
      <c r="P99" s="40">
        <v>0</v>
      </c>
      <c r="Q99" s="36" t="str">
        <f t="shared" si="6"/>
        <v>Free</v>
      </c>
      <c r="R99" s="38">
        <v>4.8</v>
      </c>
      <c r="S99" s="36">
        <v>4</v>
      </c>
      <c r="T99" s="36">
        <v>7</v>
      </c>
      <c r="U99" s="38">
        <v>4.8</v>
      </c>
      <c r="V99" s="41">
        <f t="shared" si="7"/>
        <v>0.36090225563909778</v>
      </c>
      <c r="W99" s="36" t="s">
        <v>86</v>
      </c>
      <c r="X99" s="36"/>
      <c r="Y99" s="36" t="s">
        <v>394</v>
      </c>
    </row>
    <row r="100" spans="1:25" x14ac:dyDescent="0.3">
      <c r="A100" s="36" t="s">
        <v>395</v>
      </c>
      <c r="B100" s="36">
        <v>35</v>
      </c>
      <c r="C100" s="36" t="str">
        <f t="shared" si="4"/>
        <v>35-44</v>
      </c>
      <c r="D100" s="36" t="s">
        <v>133</v>
      </c>
      <c r="E100" s="36" t="s">
        <v>68</v>
      </c>
      <c r="F100" s="36" t="s">
        <v>47</v>
      </c>
      <c r="G100" s="36" t="s">
        <v>138</v>
      </c>
      <c r="H100" s="36" t="s">
        <v>396</v>
      </c>
      <c r="I100" s="36" t="s">
        <v>92</v>
      </c>
      <c r="J100" s="37">
        <v>6399</v>
      </c>
      <c r="K100" s="36" t="s">
        <v>24</v>
      </c>
      <c r="L100" s="36" t="s">
        <v>36</v>
      </c>
      <c r="M100" s="38">
        <v>1.3</v>
      </c>
      <c r="N100" s="38">
        <v>8.1</v>
      </c>
      <c r="O100" s="39">
        <f t="shared" si="5"/>
        <v>0.16049382716049385</v>
      </c>
      <c r="P100" s="40">
        <v>20</v>
      </c>
      <c r="Q100" s="36" t="str">
        <f t="shared" si="6"/>
        <v>Paid</v>
      </c>
      <c r="R100" s="38">
        <v>3.1</v>
      </c>
      <c r="S100" s="36">
        <v>3</v>
      </c>
      <c r="T100" s="36">
        <v>4</v>
      </c>
      <c r="U100" s="38">
        <v>4.3</v>
      </c>
      <c r="V100" s="41">
        <f t="shared" si="7"/>
        <v>0.47252747252747251</v>
      </c>
      <c r="W100" s="36" t="s">
        <v>88</v>
      </c>
      <c r="X100" s="36"/>
      <c r="Y100" s="36" t="s">
        <v>397</v>
      </c>
    </row>
    <row r="101" spans="1:25" x14ac:dyDescent="0.3">
      <c r="A101" s="36" t="s">
        <v>398</v>
      </c>
      <c r="B101" s="36">
        <v>23</v>
      </c>
      <c r="C101" s="36" t="str">
        <f t="shared" si="4"/>
        <v>18-24</v>
      </c>
      <c r="D101" s="36" t="s">
        <v>144</v>
      </c>
      <c r="E101" s="36" t="s">
        <v>62</v>
      </c>
      <c r="F101" s="36" t="s">
        <v>46</v>
      </c>
      <c r="G101" s="36" t="s">
        <v>159</v>
      </c>
      <c r="H101" s="36" t="s">
        <v>149</v>
      </c>
      <c r="I101" s="36" t="s">
        <v>94</v>
      </c>
      <c r="J101" s="37">
        <v>0</v>
      </c>
      <c r="K101" s="36" t="s">
        <v>26</v>
      </c>
      <c r="L101" s="36" t="s">
        <v>38</v>
      </c>
      <c r="M101" s="38">
        <v>1.6</v>
      </c>
      <c r="N101" s="38">
        <v>7</v>
      </c>
      <c r="O101" s="39">
        <f t="shared" si="5"/>
        <v>0.22857142857142859</v>
      </c>
      <c r="P101" s="40">
        <v>0</v>
      </c>
      <c r="Q101" s="36" t="str">
        <f t="shared" si="6"/>
        <v>Free</v>
      </c>
      <c r="R101" s="38">
        <v>4.5</v>
      </c>
      <c r="S101" s="36">
        <v>3</v>
      </c>
      <c r="T101" s="36">
        <v>6</v>
      </c>
      <c r="U101" s="38">
        <v>4.2</v>
      </c>
      <c r="V101" s="41">
        <f t="shared" si="7"/>
        <v>0.375</v>
      </c>
      <c r="W101" s="36" t="s">
        <v>86</v>
      </c>
      <c r="X101" s="36"/>
      <c r="Y101" s="36" t="s">
        <v>399</v>
      </c>
    </row>
    <row r="102" spans="1:25" x14ac:dyDescent="0.3">
      <c r="A102" s="36" t="s">
        <v>400</v>
      </c>
      <c r="B102" s="36">
        <v>20</v>
      </c>
      <c r="C102" s="36" t="str">
        <f t="shared" si="4"/>
        <v>18-24</v>
      </c>
      <c r="D102" s="36" t="s">
        <v>133</v>
      </c>
      <c r="E102" s="36" t="s">
        <v>61</v>
      </c>
      <c r="F102" s="36" t="s">
        <v>46</v>
      </c>
      <c r="G102" s="36" t="s">
        <v>148</v>
      </c>
      <c r="H102" s="36" t="s">
        <v>171</v>
      </c>
      <c r="I102" s="36" t="s">
        <v>95</v>
      </c>
      <c r="J102" s="37">
        <v>126</v>
      </c>
      <c r="K102" s="36" t="s">
        <v>24</v>
      </c>
      <c r="L102" s="36" t="s">
        <v>39</v>
      </c>
      <c r="M102" s="38">
        <v>0.9</v>
      </c>
      <c r="N102" s="38">
        <v>6.3</v>
      </c>
      <c r="O102" s="39">
        <f t="shared" si="5"/>
        <v>0.14285714285714288</v>
      </c>
      <c r="P102" s="40">
        <v>0</v>
      </c>
      <c r="Q102" s="36" t="str">
        <f t="shared" si="6"/>
        <v>Free</v>
      </c>
      <c r="R102" s="38">
        <v>3.2</v>
      </c>
      <c r="S102" s="36">
        <v>4</v>
      </c>
      <c r="T102" s="36">
        <v>4</v>
      </c>
      <c r="U102" s="38">
        <v>1.8</v>
      </c>
      <c r="V102" s="41">
        <f t="shared" si="7"/>
        <v>0.28571428571428575</v>
      </c>
      <c r="W102" s="36" t="s">
        <v>86</v>
      </c>
      <c r="X102" s="36"/>
      <c r="Y102" s="36" t="s">
        <v>401</v>
      </c>
    </row>
    <row r="103" spans="1:25" x14ac:dyDescent="0.3">
      <c r="A103" s="36" t="s">
        <v>402</v>
      </c>
      <c r="B103" s="36">
        <v>47</v>
      </c>
      <c r="C103" s="36" t="str">
        <f t="shared" si="4"/>
        <v>45+</v>
      </c>
      <c r="D103" s="36" t="s">
        <v>133</v>
      </c>
      <c r="E103" s="36" t="s">
        <v>63</v>
      </c>
      <c r="F103" s="36" t="s">
        <v>47</v>
      </c>
      <c r="G103" s="36" t="s">
        <v>138</v>
      </c>
      <c r="H103" s="36" t="s">
        <v>295</v>
      </c>
      <c r="I103" s="36" t="s">
        <v>91</v>
      </c>
      <c r="J103" s="37">
        <v>2688</v>
      </c>
      <c r="K103" s="36" t="s">
        <v>30</v>
      </c>
      <c r="L103" s="36" t="s">
        <v>37</v>
      </c>
      <c r="M103" s="38">
        <v>0.9</v>
      </c>
      <c r="N103" s="38">
        <v>9.1</v>
      </c>
      <c r="O103" s="39">
        <f t="shared" si="5"/>
        <v>9.8901098901098911E-2</v>
      </c>
      <c r="P103" s="40">
        <v>10</v>
      </c>
      <c r="Q103" s="36" t="str">
        <f t="shared" si="6"/>
        <v>Paid</v>
      </c>
      <c r="R103" s="38">
        <v>3.9</v>
      </c>
      <c r="S103" s="36">
        <v>3</v>
      </c>
      <c r="T103" s="36">
        <v>5</v>
      </c>
      <c r="U103" s="38">
        <v>1.5</v>
      </c>
      <c r="V103" s="41">
        <f t="shared" si="7"/>
        <v>0.23809523809523811</v>
      </c>
      <c r="W103" s="36" t="s">
        <v>88</v>
      </c>
      <c r="X103" s="36"/>
      <c r="Y103" s="36" t="s">
        <v>403</v>
      </c>
    </row>
    <row r="104" spans="1:25" x14ac:dyDescent="0.3">
      <c r="A104" s="36" t="s">
        <v>404</v>
      </c>
      <c r="B104" s="36">
        <v>19</v>
      </c>
      <c r="C104" s="36" t="str">
        <f t="shared" si="4"/>
        <v>18-24</v>
      </c>
      <c r="D104" s="36" t="s">
        <v>133</v>
      </c>
      <c r="E104" s="36" t="s">
        <v>155</v>
      </c>
      <c r="F104" s="36" t="s">
        <v>46</v>
      </c>
      <c r="G104" s="36" t="s">
        <v>148</v>
      </c>
      <c r="H104" s="36" t="s">
        <v>405</v>
      </c>
      <c r="I104" s="36" t="s">
        <v>93</v>
      </c>
      <c r="J104" s="37">
        <v>0</v>
      </c>
      <c r="K104" s="36" t="s">
        <v>27</v>
      </c>
      <c r="L104" s="36" t="s">
        <v>38</v>
      </c>
      <c r="M104" s="38">
        <v>2</v>
      </c>
      <c r="N104" s="38">
        <v>6.3</v>
      </c>
      <c r="O104" s="39">
        <f t="shared" si="5"/>
        <v>0.31746031746031744</v>
      </c>
      <c r="P104" s="40">
        <v>0</v>
      </c>
      <c r="Q104" s="36" t="str">
        <f t="shared" si="6"/>
        <v>Free</v>
      </c>
      <c r="R104" s="38">
        <v>4.8</v>
      </c>
      <c r="S104" s="36">
        <v>4</v>
      </c>
      <c r="T104" s="36">
        <v>6</v>
      </c>
      <c r="U104" s="38">
        <v>3</v>
      </c>
      <c r="V104" s="41">
        <f t="shared" si="7"/>
        <v>0.21428571428571427</v>
      </c>
      <c r="W104" s="36" t="s">
        <v>87</v>
      </c>
      <c r="X104" s="36"/>
      <c r="Y104" s="36" t="s">
        <v>406</v>
      </c>
    </row>
    <row r="105" spans="1:25" x14ac:dyDescent="0.3">
      <c r="A105" s="36" t="s">
        <v>407</v>
      </c>
      <c r="B105" s="36">
        <v>30</v>
      </c>
      <c r="C105" s="36" t="str">
        <f t="shared" si="4"/>
        <v>25-34</v>
      </c>
      <c r="D105" s="36" t="s">
        <v>133</v>
      </c>
      <c r="E105" s="36" t="s">
        <v>69</v>
      </c>
      <c r="F105" s="36" t="s">
        <v>47</v>
      </c>
      <c r="G105" s="36" t="s">
        <v>134</v>
      </c>
      <c r="H105" s="36" t="s">
        <v>408</v>
      </c>
      <c r="I105" s="36" t="s">
        <v>42</v>
      </c>
      <c r="J105" s="37">
        <v>1262</v>
      </c>
      <c r="K105" s="36" t="s">
        <v>25</v>
      </c>
      <c r="L105" s="36" t="s">
        <v>42</v>
      </c>
      <c r="M105" s="38">
        <v>8.5</v>
      </c>
      <c r="N105" s="38"/>
      <c r="O105" s="39" t="str">
        <f t="shared" si="5"/>
        <v/>
      </c>
      <c r="P105" s="40">
        <v>20</v>
      </c>
      <c r="Q105" s="36" t="str">
        <f t="shared" si="6"/>
        <v>Paid</v>
      </c>
      <c r="R105" s="38">
        <v>8.6999999999999993</v>
      </c>
      <c r="S105" s="36">
        <v>5</v>
      </c>
      <c r="T105" s="36">
        <v>8</v>
      </c>
      <c r="U105" s="38">
        <v>15.6</v>
      </c>
      <c r="V105" s="41">
        <f t="shared" si="7"/>
        <v>0.26218487394957984</v>
      </c>
      <c r="W105" s="36" t="s">
        <v>86</v>
      </c>
      <c r="X105" s="36"/>
      <c r="Y105" s="36"/>
    </row>
    <row r="106" spans="1:25" x14ac:dyDescent="0.3">
      <c r="A106" s="36" t="s">
        <v>409</v>
      </c>
      <c r="B106" s="36">
        <v>31</v>
      </c>
      <c r="C106" s="36" t="str">
        <f t="shared" si="4"/>
        <v>25-34</v>
      </c>
      <c r="D106" s="36" t="s">
        <v>144</v>
      </c>
      <c r="E106" s="36" t="s">
        <v>63</v>
      </c>
      <c r="F106" s="36" t="s">
        <v>47</v>
      </c>
      <c r="G106" s="36" t="s">
        <v>245</v>
      </c>
      <c r="H106" s="36" t="s">
        <v>370</v>
      </c>
      <c r="I106" s="36" t="s">
        <v>93</v>
      </c>
      <c r="J106" s="37">
        <v>4815</v>
      </c>
      <c r="K106" s="36" t="s">
        <v>26</v>
      </c>
      <c r="L106" s="36" t="s">
        <v>41</v>
      </c>
      <c r="M106" s="38">
        <v>4.9000000000000004</v>
      </c>
      <c r="N106" s="38">
        <v>12.4</v>
      </c>
      <c r="O106" s="39">
        <f t="shared" si="5"/>
        <v>0.39516129032258068</v>
      </c>
      <c r="P106" s="40">
        <v>20</v>
      </c>
      <c r="Q106" s="36" t="str">
        <f t="shared" si="6"/>
        <v>Paid</v>
      </c>
      <c r="R106" s="38">
        <v>8.6</v>
      </c>
      <c r="S106" s="36">
        <v>4</v>
      </c>
      <c r="T106" s="36">
        <v>8</v>
      </c>
      <c r="U106" s="38">
        <v>10.7</v>
      </c>
      <c r="V106" s="41">
        <f t="shared" si="7"/>
        <v>0.31195335276967923</v>
      </c>
      <c r="W106" s="36"/>
      <c r="X106" s="36"/>
      <c r="Y106" s="36" t="s">
        <v>410</v>
      </c>
    </row>
    <row r="107" spans="1:25" x14ac:dyDescent="0.3">
      <c r="A107" s="36" t="s">
        <v>411</v>
      </c>
      <c r="B107" s="36">
        <v>28</v>
      </c>
      <c r="C107" s="36" t="str">
        <f t="shared" si="4"/>
        <v>25-34</v>
      </c>
      <c r="D107" s="36" t="s">
        <v>144</v>
      </c>
      <c r="E107" s="36" t="s">
        <v>66</v>
      </c>
      <c r="F107" s="36" t="s">
        <v>47</v>
      </c>
      <c r="G107" s="36" t="s">
        <v>134</v>
      </c>
      <c r="H107" s="36" t="s">
        <v>412</v>
      </c>
      <c r="I107" s="36" t="s">
        <v>42</v>
      </c>
      <c r="J107" s="37">
        <v>666</v>
      </c>
      <c r="K107" s="36" t="s">
        <v>24</v>
      </c>
      <c r="L107" s="36" t="s">
        <v>42</v>
      </c>
      <c r="M107" s="38">
        <v>2.2000000000000002</v>
      </c>
      <c r="N107" s="38">
        <v>8.6</v>
      </c>
      <c r="O107" s="39">
        <f t="shared" si="5"/>
        <v>0.2558139534883721</v>
      </c>
      <c r="P107" s="40">
        <v>0</v>
      </c>
      <c r="Q107" s="36" t="str">
        <f t="shared" si="6"/>
        <v>Free</v>
      </c>
      <c r="R107" s="38">
        <v>5.3</v>
      </c>
      <c r="S107" s="36">
        <v>4</v>
      </c>
      <c r="T107" s="36">
        <v>7</v>
      </c>
      <c r="U107" s="38">
        <v>5.2</v>
      </c>
      <c r="V107" s="41">
        <f t="shared" si="7"/>
        <v>0.33766233766233761</v>
      </c>
      <c r="W107" s="36" t="s">
        <v>86</v>
      </c>
      <c r="X107" s="36"/>
      <c r="Y107" s="36" t="s">
        <v>413</v>
      </c>
    </row>
    <row r="108" spans="1:25" x14ac:dyDescent="0.3">
      <c r="A108" s="36" t="s">
        <v>414</v>
      </c>
      <c r="B108" s="36">
        <v>27</v>
      </c>
      <c r="C108" s="36" t="str">
        <f t="shared" si="4"/>
        <v>25-34</v>
      </c>
      <c r="D108" s="36" t="s">
        <v>133</v>
      </c>
      <c r="E108" s="36" t="s">
        <v>155</v>
      </c>
      <c r="F108" s="36" t="s">
        <v>46</v>
      </c>
      <c r="G108" s="36" t="s">
        <v>159</v>
      </c>
      <c r="H108" s="36" t="s">
        <v>415</v>
      </c>
      <c r="I108" s="36" t="s">
        <v>91</v>
      </c>
      <c r="J108" s="37">
        <v>482</v>
      </c>
      <c r="K108" s="36" t="s">
        <v>31</v>
      </c>
      <c r="L108" s="36" t="s">
        <v>39</v>
      </c>
      <c r="M108" s="38">
        <v>6</v>
      </c>
      <c r="N108" s="38">
        <v>6.8</v>
      </c>
      <c r="O108" s="39">
        <f t="shared" si="5"/>
        <v>0.88235294117647056</v>
      </c>
      <c r="P108" s="40">
        <v>0</v>
      </c>
      <c r="Q108" s="36" t="str">
        <f t="shared" si="6"/>
        <v>Free</v>
      </c>
      <c r="R108" s="38">
        <v>7.6</v>
      </c>
      <c r="S108" s="36">
        <v>5</v>
      </c>
      <c r="T108" s="36">
        <v>8</v>
      </c>
      <c r="U108" s="38">
        <v>13.1</v>
      </c>
      <c r="V108" s="41">
        <f t="shared" si="7"/>
        <v>0.31190476190476191</v>
      </c>
      <c r="W108" s="36" t="s">
        <v>86</v>
      </c>
      <c r="X108" s="36"/>
      <c r="Y108" s="36" t="s">
        <v>416</v>
      </c>
    </row>
    <row r="109" spans="1:25" x14ac:dyDescent="0.3">
      <c r="A109" s="36" t="s">
        <v>417</v>
      </c>
      <c r="B109" s="36">
        <v>40</v>
      </c>
      <c r="C109" s="36" t="str">
        <f t="shared" si="4"/>
        <v>35-44</v>
      </c>
      <c r="D109" s="36" t="s">
        <v>144</v>
      </c>
      <c r="E109" s="36" t="s">
        <v>69</v>
      </c>
      <c r="F109" s="36" t="s">
        <v>47</v>
      </c>
      <c r="G109" s="36" t="s">
        <v>134</v>
      </c>
      <c r="H109" s="36" t="s">
        <v>418</v>
      </c>
      <c r="I109" s="36" t="s">
        <v>42</v>
      </c>
      <c r="J109" s="37">
        <v>942</v>
      </c>
      <c r="K109" s="36" t="s">
        <v>28</v>
      </c>
      <c r="L109" s="36" t="s">
        <v>42</v>
      </c>
      <c r="M109" s="38">
        <v>1.3</v>
      </c>
      <c r="N109" s="38">
        <v>9.6999999999999993</v>
      </c>
      <c r="O109" s="39">
        <f t="shared" si="5"/>
        <v>0.13402061855670105</v>
      </c>
      <c r="P109" s="40">
        <v>25</v>
      </c>
      <c r="Q109" s="36" t="str">
        <f t="shared" si="6"/>
        <v>Paid</v>
      </c>
      <c r="R109" s="38">
        <v>2.4</v>
      </c>
      <c r="S109" s="36">
        <v>5</v>
      </c>
      <c r="T109" s="36">
        <v>5</v>
      </c>
      <c r="U109" s="38">
        <v>4.9000000000000004</v>
      </c>
      <c r="V109" s="41">
        <f t="shared" si="7"/>
        <v>0.53846153846153855</v>
      </c>
      <c r="W109" s="36" t="s">
        <v>87</v>
      </c>
      <c r="X109" s="36"/>
      <c r="Y109" s="36" t="s">
        <v>419</v>
      </c>
    </row>
    <row r="110" spans="1:25" x14ac:dyDescent="0.3">
      <c r="A110" s="36" t="s">
        <v>420</v>
      </c>
      <c r="B110" s="36">
        <v>34</v>
      </c>
      <c r="C110" s="36" t="str">
        <f t="shared" si="4"/>
        <v>25-34</v>
      </c>
      <c r="D110" s="36" t="s">
        <v>133</v>
      </c>
      <c r="E110" s="36" t="s">
        <v>61</v>
      </c>
      <c r="F110" s="36" t="s">
        <v>47</v>
      </c>
      <c r="G110" s="36" t="s">
        <v>194</v>
      </c>
      <c r="H110" s="36" t="s">
        <v>421</v>
      </c>
      <c r="I110" s="36" t="s">
        <v>96</v>
      </c>
      <c r="J110" s="37">
        <v>1188</v>
      </c>
      <c r="K110" s="36" t="s">
        <v>28</v>
      </c>
      <c r="L110" s="36" t="s">
        <v>43</v>
      </c>
      <c r="M110" s="38">
        <v>0.7</v>
      </c>
      <c r="N110" s="38">
        <v>8.5</v>
      </c>
      <c r="O110" s="39">
        <f t="shared" si="5"/>
        <v>8.2352941176470587E-2</v>
      </c>
      <c r="P110" s="40">
        <v>0</v>
      </c>
      <c r="Q110" s="36" t="str">
        <f t="shared" si="6"/>
        <v>Free</v>
      </c>
      <c r="R110" s="38">
        <v>4.7</v>
      </c>
      <c r="S110" s="36">
        <v>2</v>
      </c>
      <c r="T110" s="36">
        <v>5</v>
      </c>
      <c r="U110" s="38">
        <v>0.6</v>
      </c>
      <c r="V110" s="41">
        <f t="shared" si="7"/>
        <v>0.12244897959183675</v>
      </c>
      <c r="W110" s="36"/>
      <c r="X110" s="36"/>
      <c r="Y110" s="36" t="s">
        <v>422</v>
      </c>
    </row>
    <row r="111" spans="1:25" x14ac:dyDescent="0.3">
      <c r="A111" s="36" t="s">
        <v>423</v>
      </c>
      <c r="B111" s="36">
        <v>56</v>
      </c>
      <c r="C111" s="36" t="str">
        <f t="shared" si="4"/>
        <v>45+</v>
      </c>
      <c r="D111" s="36" t="s">
        <v>144</v>
      </c>
      <c r="E111" s="36" t="s">
        <v>64</v>
      </c>
      <c r="F111" s="36" t="s">
        <v>47</v>
      </c>
      <c r="G111" s="36" t="s">
        <v>159</v>
      </c>
      <c r="H111" s="36" t="s">
        <v>321</v>
      </c>
      <c r="I111" s="36" t="s">
        <v>96</v>
      </c>
      <c r="J111" s="37"/>
      <c r="K111" s="36" t="s">
        <v>27</v>
      </c>
      <c r="L111" s="36" t="s">
        <v>43</v>
      </c>
      <c r="M111" s="38">
        <v>5</v>
      </c>
      <c r="N111" s="38">
        <v>7.8</v>
      </c>
      <c r="O111" s="39">
        <f t="shared" si="5"/>
        <v>0.64102564102564108</v>
      </c>
      <c r="P111" s="40">
        <v>10</v>
      </c>
      <c r="Q111" s="36" t="str">
        <f t="shared" si="6"/>
        <v>Paid</v>
      </c>
      <c r="R111" s="38">
        <v>7.7</v>
      </c>
      <c r="S111" s="36">
        <v>4</v>
      </c>
      <c r="T111" s="36">
        <v>7</v>
      </c>
      <c r="U111" s="38">
        <v>11.4</v>
      </c>
      <c r="V111" s="41">
        <f t="shared" si="7"/>
        <v>0.32571428571428573</v>
      </c>
      <c r="W111" s="36" t="s">
        <v>86</v>
      </c>
      <c r="X111" s="36"/>
      <c r="Y111" s="36" t="s">
        <v>424</v>
      </c>
    </row>
    <row r="112" spans="1:25" x14ac:dyDescent="0.3">
      <c r="A112" s="36" t="s">
        <v>425</v>
      </c>
      <c r="B112" s="36">
        <v>23</v>
      </c>
      <c r="C112" s="36" t="str">
        <f t="shared" si="4"/>
        <v>18-24</v>
      </c>
      <c r="D112" s="36" t="s">
        <v>133</v>
      </c>
      <c r="E112" s="36" t="s">
        <v>191</v>
      </c>
      <c r="F112" s="36" t="s">
        <v>46</v>
      </c>
      <c r="G112" s="36" t="s">
        <v>134</v>
      </c>
      <c r="H112" s="36" t="s">
        <v>426</v>
      </c>
      <c r="I112" s="36" t="s">
        <v>93</v>
      </c>
      <c r="J112" s="37">
        <v>137</v>
      </c>
      <c r="K112" s="36" t="s">
        <v>26</v>
      </c>
      <c r="L112" s="36"/>
      <c r="M112" s="38">
        <v>1.4</v>
      </c>
      <c r="N112" s="38"/>
      <c r="O112" s="39" t="str">
        <f t="shared" si="5"/>
        <v/>
      </c>
      <c r="P112" s="40">
        <v>25</v>
      </c>
      <c r="Q112" s="36" t="str">
        <f t="shared" si="6"/>
        <v>Paid</v>
      </c>
      <c r="R112" s="38"/>
      <c r="S112" s="36">
        <v>3</v>
      </c>
      <c r="T112" s="36">
        <v>6</v>
      </c>
      <c r="U112" s="38">
        <v>2.2999999999999998</v>
      </c>
      <c r="V112" s="41">
        <f t="shared" si="7"/>
        <v>0.23469387755102042</v>
      </c>
      <c r="W112" s="36" t="s">
        <v>88</v>
      </c>
      <c r="X112" s="36"/>
      <c r="Y112" s="36" t="s">
        <v>427</v>
      </c>
    </row>
    <row r="113" spans="1:25" x14ac:dyDescent="0.3">
      <c r="A113" s="36" t="s">
        <v>428</v>
      </c>
      <c r="B113" s="36">
        <v>23</v>
      </c>
      <c r="C113" s="36" t="str">
        <f t="shared" si="4"/>
        <v>18-24</v>
      </c>
      <c r="D113" s="36" t="s">
        <v>133</v>
      </c>
      <c r="E113" s="36" t="s">
        <v>155</v>
      </c>
      <c r="F113" s="36" t="s">
        <v>46</v>
      </c>
      <c r="G113" s="36" t="s">
        <v>148</v>
      </c>
      <c r="H113" s="36" t="s">
        <v>142</v>
      </c>
      <c r="I113" s="36" t="s">
        <v>92</v>
      </c>
      <c r="J113" s="37">
        <v>137</v>
      </c>
      <c r="K113" s="36"/>
      <c r="L113" s="36" t="s">
        <v>36</v>
      </c>
      <c r="M113" s="38">
        <v>1.8</v>
      </c>
      <c r="N113" s="38">
        <v>5.9</v>
      </c>
      <c r="O113" s="39">
        <f t="shared" si="5"/>
        <v>0.30508474576271183</v>
      </c>
      <c r="P113" s="40">
        <v>10</v>
      </c>
      <c r="Q113" s="36" t="str">
        <f t="shared" si="6"/>
        <v>Paid</v>
      </c>
      <c r="R113" s="38">
        <v>2.5</v>
      </c>
      <c r="S113" s="36">
        <v>4</v>
      </c>
      <c r="T113" s="36">
        <v>5</v>
      </c>
      <c r="U113" s="38">
        <v>4.0999999999999996</v>
      </c>
      <c r="V113" s="41">
        <f t="shared" si="7"/>
        <v>0.32539682539682535</v>
      </c>
      <c r="W113" s="36" t="s">
        <v>86</v>
      </c>
      <c r="X113" s="36"/>
      <c r="Y113" s="36" t="s">
        <v>429</v>
      </c>
    </row>
    <row r="114" spans="1:25" x14ac:dyDescent="0.3">
      <c r="A114" s="36" t="s">
        <v>430</v>
      </c>
      <c r="B114" s="36">
        <v>32</v>
      </c>
      <c r="C114" s="36" t="str">
        <f t="shared" si="4"/>
        <v>25-34</v>
      </c>
      <c r="D114" s="36" t="s">
        <v>133</v>
      </c>
      <c r="E114" s="36" t="s">
        <v>67</v>
      </c>
      <c r="F114" s="36" t="s">
        <v>47</v>
      </c>
      <c r="G114" s="36" t="s">
        <v>134</v>
      </c>
      <c r="H114" s="36" t="s">
        <v>431</v>
      </c>
      <c r="I114" s="36" t="s">
        <v>42</v>
      </c>
      <c r="J114" s="37">
        <v>1141</v>
      </c>
      <c r="K114" s="36" t="s">
        <v>30</v>
      </c>
      <c r="L114" s="36" t="s">
        <v>42</v>
      </c>
      <c r="M114" s="38">
        <v>0.5</v>
      </c>
      <c r="N114" s="38">
        <v>8.6999999999999993</v>
      </c>
      <c r="O114" s="39">
        <f t="shared" si="5"/>
        <v>5.7471264367816098E-2</v>
      </c>
      <c r="P114" s="40">
        <v>10</v>
      </c>
      <c r="Q114" s="36" t="str">
        <f t="shared" si="6"/>
        <v>Paid</v>
      </c>
      <c r="R114" s="38">
        <v>5.8</v>
      </c>
      <c r="S114" s="36">
        <v>4</v>
      </c>
      <c r="T114" s="36">
        <v>8</v>
      </c>
      <c r="U114" s="38">
        <v>2.7</v>
      </c>
      <c r="V114" s="41">
        <f t="shared" si="7"/>
        <v>0.77142857142857146</v>
      </c>
      <c r="W114" s="36" t="s">
        <v>86</v>
      </c>
      <c r="X114" s="36"/>
      <c r="Y114" s="36" t="s">
        <v>432</v>
      </c>
    </row>
    <row r="115" spans="1:25" x14ac:dyDescent="0.3">
      <c r="A115" s="36" t="s">
        <v>433</v>
      </c>
      <c r="B115" s="36">
        <v>63</v>
      </c>
      <c r="C115" s="36" t="str">
        <f t="shared" si="4"/>
        <v>45+</v>
      </c>
      <c r="D115" s="36" t="s">
        <v>133</v>
      </c>
      <c r="E115" s="36" t="s">
        <v>66</v>
      </c>
      <c r="F115" s="36" t="s">
        <v>47</v>
      </c>
      <c r="G115" s="36" t="s">
        <v>194</v>
      </c>
      <c r="H115" s="36"/>
      <c r="I115" s="36"/>
      <c r="J115" s="37">
        <v>418</v>
      </c>
      <c r="K115" s="36" t="s">
        <v>24</v>
      </c>
      <c r="L115" s="36" t="s">
        <v>37</v>
      </c>
      <c r="M115" s="38">
        <v>1.6</v>
      </c>
      <c r="N115" s="38">
        <v>8.5</v>
      </c>
      <c r="O115" s="39">
        <f t="shared" si="5"/>
        <v>0.18823529411764706</v>
      </c>
      <c r="P115" s="40"/>
      <c r="Q115" s="36" t="str">
        <f t="shared" si="6"/>
        <v/>
      </c>
      <c r="R115" s="38">
        <v>4.9000000000000004</v>
      </c>
      <c r="S115" s="36">
        <v>4</v>
      </c>
      <c r="T115" s="36">
        <v>5</v>
      </c>
      <c r="U115" s="38">
        <v>4.9000000000000004</v>
      </c>
      <c r="V115" s="41">
        <f t="shared" si="7"/>
        <v>0.4375</v>
      </c>
      <c r="W115" s="36" t="s">
        <v>88</v>
      </c>
      <c r="X115" s="36"/>
      <c r="Y115" s="36" t="s">
        <v>434</v>
      </c>
    </row>
    <row r="116" spans="1:25" x14ac:dyDescent="0.3">
      <c r="A116" s="36" t="s">
        <v>435</v>
      </c>
      <c r="B116" s="36">
        <v>41</v>
      </c>
      <c r="C116" s="36" t="str">
        <f t="shared" si="4"/>
        <v>35-44</v>
      </c>
      <c r="D116" s="36" t="s">
        <v>144</v>
      </c>
      <c r="E116" s="36" t="s">
        <v>66</v>
      </c>
      <c r="F116" s="36" t="s">
        <v>47</v>
      </c>
      <c r="G116" s="36" t="s">
        <v>159</v>
      </c>
      <c r="H116" s="36" t="s">
        <v>436</v>
      </c>
      <c r="I116" s="36" t="s">
        <v>92</v>
      </c>
      <c r="J116" s="37">
        <v>1002</v>
      </c>
      <c r="K116" s="36" t="s">
        <v>30</v>
      </c>
      <c r="L116" s="36" t="s">
        <v>36</v>
      </c>
      <c r="M116" s="38">
        <v>4.5999999999999996</v>
      </c>
      <c r="N116" s="38">
        <v>8.8000000000000007</v>
      </c>
      <c r="O116" s="39">
        <f t="shared" si="5"/>
        <v>0.5227272727272726</v>
      </c>
      <c r="P116" s="40">
        <v>0</v>
      </c>
      <c r="Q116" s="36" t="str">
        <f t="shared" si="6"/>
        <v>Free</v>
      </c>
      <c r="R116" s="38">
        <v>7.4</v>
      </c>
      <c r="S116" s="36">
        <v>4</v>
      </c>
      <c r="T116" s="36">
        <v>7</v>
      </c>
      <c r="U116" s="38">
        <v>7.9</v>
      </c>
      <c r="V116" s="41">
        <f t="shared" si="7"/>
        <v>0.24534161490683234</v>
      </c>
      <c r="W116" s="36" t="s">
        <v>86</v>
      </c>
      <c r="X116" s="36"/>
      <c r="Y116" s="36" t="s">
        <v>437</v>
      </c>
    </row>
    <row r="117" spans="1:25" x14ac:dyDescent="0.3">
      <c r="A117" s="36" t="s">
        <v>438</v>
      </c>
      <c r="B117" s="36">
        <v>20</v>
      </c>
      <c r="C117" s="36" t="str">
        <f t="shared" si="4"/>
        <v>18-24</v>
      </c>
      <c r="D117" s="36"/>
      <c r="E117" s="36" t="s">
        <v>64</v>
      </c>
      <c r="F117" s="36" t="s">
        <v>46</v>
      </c>
      <c r="G117" s="36" t="s">
        <v>148</v>
      </c>
      <c r="H117" s="36" t="s">
        <v>439</v>
      </c>
      <c r="I117" s="36" t="s">
        <v>91</v>
      </c>
      <c r="J117" s="37">
        <v>0</v>
      </c>
      <c r="K117" s="36" t="s">
        <v>27</v>
      </c>
      <c r="L117" s="36" t="s">
        <v>40</v>
      </c>
      <c r="M117" s="38">
        <v>3.4</v>
      </c>
      <c r="N117" s="38">
        <v>4.5999999999999996</v>
      </c>
      <c r="O117" s="39">
        <f t="shared" si="5"/>
        <v>0.73913043478260876</v>
      </c>
      <c r="P117" s="40">
        <v>10</v>
      </c>
      <c r="Q117" s="36" t="str">
        <f t="shared" si="6"/>
        <v>Paid</v>
      </c>
      <c r="R117" s="38">
        <v>6.5</v>
      </c>
      <c r="S117" s="36">
        <v>3</v>
      </c>
      <c r="T117" s="36">
        <v>6</v>
      </c>
      <c r="U117" s="38">
        <v>7.2</v>
      </c>
      <c r="V117" s="41">
        <f t="shared" si="7"/>
        <v>0.30252100840336132</v>
      </c>
      <c r="W117" s="36" t="s">
        <v>86</v>
      </c>
      <c r="X117" s="36"/>
      <c r="Y117" s="36" t="s">
        <v>440</v>
      </c>
    </row>
    <row r="118" spans="1:25" x14ac:dyDescent="0.3">
      <c r="A118" s="36" t="s">
        <v>441</v>
      </c>
      <c r="B118" s="36">
        <v>23</v>
      </c>
      <c r="C118" s="36" t="str">
        <f t="shared" si="4"/>
        <v>18-24</v>
      </c>
      <c r="D118" s="36" t="s">
        <v>144</v>
      </c>
      <c r="E118" s="36" t="s">
        <v>64</v>
      </c>
      <c r="F118" s="36" t="s">
        <v>47</v>
      </c>
      <c r="G118" s="36" t="s">
        <v>138</v>
      </c>
      <c r="H118" s="36" t="s">
        <v>249</v>
      </c>
      <c r="I118" s="36" t="s">
        <v>91</v>
      </c>
      <c r="J118" s="37">
        <v>965</v>
      </c>
      <c r="K118" s="36" t="s">
        <v>29</v>
      </c>
      <c r="L118" s="36" t="s">
        <v>37</v>
      </c>
      <c r="M118" s="38">
        <v>3.3</v>
      </c>
      <c r="N118" s="38">
        <v>9.6</v>
      </c>
      <c r="O118" s="39">
        <f t="shared" si="5"/>
        <v>0.34375</v>
      </c>
      <c r="P118" s="40">
        <v>0</v>
      </c>
      <c r="Q118" s="36" t="str">
        <f t="shared" si="6"/>
        <v>Free</v>
      </c>
      <c r="R118" s="38">
        <v>6.6</v>
      </c>
      <c r="S118" s="36">
        <v>4</v>
      </c>
      <c r="T118" s="36">
        <v>6</v>
      </c>
      <c r="U118" s="38">
        <v>7.7</v>
      </c>
      <c r="V118" s="41">
        <f t="shared" si="7"/>
        <v>0.33333333333333337</v>
      </c>
      <c r="W118" s="36" t="s">
        <v>86</v>
      </c>
      <c r="X118" s="36"/>
      <c r="Y118" s="36" t="s">
        <v>442</v>
      </c>
    </row>
    <row r="119" spans="1:25" x14ac:dyDescent="0.3">
      <c r="A119" s="36" t="s">
        <v>443</v>
      </c>
      <c r="B119" s="36">
        <v>25</v>
      </c>
      <c r="C119" s="36" t="str">
        <f t="shared" si="4"/>
        <v>25-34</v>
      </c>
      <c r="D119" s="36" t="s">
        <v>144</v>
      </c>
      <c r="E119" s="36" t="s">
        <v>63</v>
      </c>
      <c r="F119" s="36" t="s">
        <v>47</v>
      </c>
      <c r="G119" s="36" t="s">
        <v>134</v>
      </c>
      <c r="H119" s="36" t="s">
        <v>408</v>
      </c>
      <c r="I119" s="36" t="s">
        <v>42</v>
      </c>
      <c r="J119" s="37">
        <v>6171</v>
      </c>
      <c r="K119" s="36" t="s">
        <v>25</v>
      </c>
      <c r="L119" s="36" t="s">
        <v>42</v>
      </c>
      <c r="M119" s="38">
        <v>1.9</v>
      </c>
      <c r="N119" s="38">
        <v>7.6</v>
      </c>
      <c r="O119" s="39">
        <f t="shared" si="5"/>
        <v>0.25</v>
      </c>
      <c r="P119" s="40">
        <v>0</v>
      </c>
      <c r="Q119" s="36" t="str">
        <f t="shared" si="6"/>
        <v>Free</v>
      </c>
      <c r="R119" s="38">
        <v>3.7</v>
      </c>
      <c r="S119" s="36">
        <v>4</v>
      </c>
      <c r="T119" s="36">
        <v>5</v>
      </c>
      <c r="U119" s="38">
        <v>0.8</v>
      </c>
      <c r="V119" s="41">
        <f t="shared" si="7"/>
        <v>6.0150375939849635E-2</v>
      </c>
      <c r="W119" s="36" t="s">
        <v>87</v>
      </c>
      <c r="X119" s="36"/>
      <c r="Y119" s="36" t="s">
        <v>444</v>
      </c>
    </row>
    <row r="120" spans="1:25" x14ac:dyDescent="0.3">
      <c r="A120" s="36" t="s">
        <v>445</v>
      </c>
      <c r="B120" s="36">
        <v>18</v>
      </c>
      <c r="C120" s="36" t="str">
        <f t="shared" si="4"/>
        <v>18-24</v>
      </c>
      <c r="D120" s="36" t="s">
        <v>133</v>
      </c>
      <c r="E120" s="36" t="s">
        <v>67</v>
      </c>
      <c r="F120" s="36" t="s">
        <v>46</v>
      </c>
      <c r="G120" s="36" t="s">
        <v>148</v>
      </c>
      <c r="H120" s="36" t="s">
        <v>188</v>
      </c>
      <c r="I120" s="36" t="s">
        <v>91</v>
      </c>
      <c r="J120" s="37">
        <v>192</v>
      </c>
      <c r="K120" s="36" t="s">
        <v>24</v>
      </c>
      <c r="L120" s="36" t="s">
        <v>37</v>
      </c>
      <c r="M120" s="38">
        <v>3.8</v>
      </c>
      <c r="N120" s="38">
        <v>7.6</v>
      </c>
      <c r="O120" s="39">
        <f t="shared" si="5"/>
        <v>0.5</v>
      </c>
      <c r="P120" s="40">
        <v>0</v>
      </c>
      <c r="Q120" s="36" t="str">
        <f t="shared" si="6"/>
        <v>Free</v>
      </c>
      <c r="R120" s="38">
        <v>6.5</v>
      </c>
      <c r="S120" s="36">
        <v>4</v>
      </c>
      <c r="T120" s="36">
        <v>9</v>
      </c>
      <c r="U120" s="38">
        <v>7</v>
      </c>
      <c r="V120" s="41">
        <f t="shared" si="7"/>
        <v>0.26315789473684215</v>
      </c>
      <c r="W120" s="36" t="s">
        <v>86</v>
      </c>
      <c r="X120" s="36"/>
      <c r="Y120" s="36" t="s">
        <v>446</v>
      </c>
    </row>
    <row r="121" spans="1:25" x14ac:dyDescent="0.3">
      <c r="A121" s="36" t="s">
        <v>447</v>
      </c>
      <c r="B121" s="36">
        <v>20</v>
      </c>
      <c r="C121" s="36" t="str">
        <f t="shared" si="4"/>
        <v>18-24</v>
      </c>
      <c r="D121" s="36" t="s">
        <v>133</v>
      </c>
      <c r="E121" s="36" t="s">
        <v>62</v>
      </c>
      <c r="F121" s="36" t="s">
        <v>46</v>
      </c>
      <c r="G121" s="36" t="s">
        <v>134</v>
      </c>
      <c r="H121" s="36" t="s">
        <v>448</v>
      </c>
      <c r="I121" s="36" t="s">
        <v>92</v>
      </c>
      <c r="J121" s="37">
        <v>0</v>
      </c>
      <c r="K121" s="36" t="s">
        <v>24</v>
      </c>
      <c r="L121" s="36" t="s">
        <v>36</v>
      </c>
      <c r="M121" s="38">
        <v>1.4</v>
      </c>
      <c r="N121" s="38">
        <v>5.6</v>
      </c>
      <c r="O121" s="39">
        <f t="shared" si="5"/>
        <v>0.25</v>
      </c>
      <c r="P121" s="40">
        <v>0</v>
      </c>
      <c r="Q121" s="36" t="str">
        <f t="shared" si="6"/>
        <v>Free</v>
      </c>
      <c r="R121" s="38">
        <v>1.8</v>
      </c>
      <c r="S121" s="36">
        <v>3</v>
      </c>
      <c r="T121" s="36">
        <v>5</v>
      </c>
      <c r="U121" s="38">
        <v>1.2</v>
      </c>
      <c r="V121" s="41">
        <f t="shared" si="7"/>
        <v>0.12244897959183675</v>
      </c>
      <c r="W121" s="36" t="s">
        <v>86</v>
      </c>
      <c r="X121" s="36"/>
      <c r="Y121" s="36" t="s">
        <v>449</v>
      </c>
    </row>
    <row r="122" spans="1:25" x14ac:dyDescent="0.3">
      <c r="A122" s="36" t="s">
        <v>450</v>
      </c>
      <c r="B122" s="36">
        <v>63</v>
      </c>
      <c r="C122" s="36" t="str">
        <f t="shared" si="4"/>
        <v>45+</v>
      </c>
      <c r="D122" s="36" t="s">
        <v>144</v>
      </c>
      <c r="E122" s="36" t="s">
        <v>70</v>
      </c>
      <c r="F122" s="36" t="s">
        <v>47</v>
      </c>
      <c r="G122" s="36" t="s">
        <v>138</v>
      </c>
      <c r="H122" s="36" t="s">
        <v>451</v>
      </c>
      <c r="I122" s="36" t="s">
        <v>91</v>
      </c>
      <c r="J122" s="37">
        <v>4964</v>
      </c>
      <c r="K122" s="36" t="s">
        <v>25</v>
      </c>
      <c r="L122" s="36" t="s">
        <v>40</v>
      </c>
      <c r="M122" s="38">
        <v>0.7</v>
      </c>
      <c r="N122" s="38">
        <v>7.3</v>
      </c>
      <c r="O122" s="39">
        <f t="shared" si="5"/>
        <v>9.5890410958904104E-2</v>
      </c>
      <c r="P122" s="40">
        <v>20</v>
      </c>
      <c r="Q122" s="36" t="str">
        <f t="shared" si="6"/>
        <v>Paid</v>
      </c>
      <c r="R122" s="38">
        <v>4.3</v>
      </c>
      <c r="S122" s="36">
        <v>4</v>
      </c>
      <c r="T122" s="36"/>
      <c r="U122" s="38">
        <v>3.6</v>
      </c>
      <c r="V122" s="41">
        <f t="shared" si="7"/>
        <v>0.73469387755102056</v>
      </c>
      <c r="W122" s="36" t="s">
        <v>87</v>
      </c>
      <c r="X122" s="36"/>
      <c r="Y122" s="36" t="s">
        <v>452</v>
      </c>
    </row>
    <row r="123" spans="1:25" x14ac:dyDescent="0.3">
      <c r="A123" s="36" t="s">
        <v>453</v>
      </c>
      <c r="B123" s="36"/>
      <c r="C123" s="36" t="str">
        <f t="shared" si="4"/>
        <v/>
      </c>
      <c r="D123" s="36" t="s">
        <v>133</v>
      </c>
      <c r="E123" s="36" t="s">
        <v>64</v>
      </c>
      <c r="F123" s="36" t="s">
        <v>46</v>
      </c>
      <c r="G123" s="36" t="s">
        <v>138</v>
      </c>
      <c r="H123" s="36" t="s">
        <v>177</v>
      </c>
      <c r="I123" s="36" t="s">
        <v>92</v>
      </c>
      <c r="J123" s="37">
        <v>83</v>
      </c>
      <c r="K123" s="36" t="s">
        <v>27</v>
      </c>
      <c r="L123" s="36" t="s">
        <v>38</v>
      </c>
      <c r="M123" s="38">
        <v>2.2999999999999998</v>
      </c>
      <c r="N123" s="38">
        <v>6.4</v>
      </c>
      <c r="O123" s="39">
        <f t="shared" si="5"/>
        <v>0.35937499999999994</v>
      </c>
      <c r="P123" s="40">
        <v>20</v>
      </c>
      <c r="Q123" s="36" t="str">
        <f t="shared" si="6"/>
        <v>Paid</v>
      </c>
      <c r="R123" s="38">
        <v>6.1</v>
      </c>
      <c r="S123" s="36">
        <v>3</v>
      </c>
      <c r="T123" s="36">
        <v>5</v>
      </c>
      <c r="U123" s="38">
        <v>2.2999999999999998</v>
      </c>
      <c r="V123" s="41">
        <f t="shared" si="7"/>
        <v>0.14285714285714288</v>
      </c>
      <c r="W123" s="36" t="s">
        <v>87</v>
      </c>
      <c r="X123" s="36"/>
      <c r="Y123" s="36"/>
    </row>
    <row r="124" spans="1:25" x14ac:dyDescent="0.3">
      <c r="A124" s="36" t="s">
        <v>454</v>
      </c>
      <c r="B124" s="36">
        <v>27</v>
      </c>
      <c r="C124" s="36" t="str">
        <f t="shared" si="4"/>
        <v>25-34</v>
      </c>
      <c r="D124" s="36" t="s">
        <v>133</v>
      </c>
      <c r="E124" s="36" t="s">
        <v>68</v>
      </c>
      <c r="F124" s="36" t="s">
        <v>46</v>
      </c>
      <c r="G124" s="36" t="s">
        <v>148</v>
      </c>
      <c r="H124" s="36" t="s">
        <v>171</v>
      </c>
      <c r="I124" s="36" t="s">
        <v>95</v>
      </c>
      <c r="J124" s="37">
        <v>578</v>
      </c>
      <c r="K124" s="36" t="s">
        <v>24</v>
      </c>
      <c r="L124" s="36" t="s">
        <v>38</v>
      </c>
      <c r="M124" s="38">
        <v>4</v>
      </c>
      <c r="N124" s="38">
        <v>5.3</v>
      </c>
      <c r="O124" s="39">
        <f t="shared" si="5"/>
        <v>0.75471698113207553</v>
      </c>
      <c r="P124" s="40">
        <v>0</v>
      </c>
      <c r="Q124" s="36" t="str">
        <f t="shared" si="6"/>
        <v>Free</v>
      </c>
      <c r="R124" s="38">
        <v>7.5</v>
      </c>
      <c r="S124" s="36">
        <v>3</v>
      </c>
      <c r="T124" s="36">
        <v>8</v>
      </c>
      <c r="U124" s="38">
        <v>7.9</v>
      </c>
      <c r="V124" s="41">
        <f t="shared" si="7"/>
        <v>0.28214285714285714</v>
      </c>
      <c r="W124" s="36" t="s">
        <v>86</v>
      </c>
      <c r="X124" s="36"/>
      <c r="Y124" s="36" t="s">
        <v>455</v>
      </c>
    </row>
    <row r="125" spans="1:25" x14ac:dyDescent="0.3">
      <c r="A125" s="36" t="s">
        <v>456</v>
      </c>
      <c r="B125" s="36">
        <v>36</v>
      </c>
      <c r="C125" s="36" t="str">
        <f t="shared" si="4"/>
        <v>35-44</v>
      </c>
      <c r="D125" s="36" t="s">
        <v>144</v>
      </c>
      <c r="E125" s="36" t="s">
        <v>62</v>
      </c>
      <c r="F125" s="36" t="s">
        <v>47</v>
      </c>
      <c r="G125" s="36" t="s">
        <v>245</v>
      </c>
      <c r="H125" s="36" t="s">
        <v>457</v>
      </c>
      <c r="I125" s="36" t="s">
        <v>42</v>
      </c>
      <c r="J125" s="37">
        <v>9938</v>
      </c>
      <c r="K125" s="36" t="s">
        <v>27</v>
      </c>
      <c r="L125" s="36"/>
      <c r="M125" s="38">
        <v>1.7</v>
      </c>
      <c r="N125" s="38">
        <v>7.6</v>
      </c>
      <c r="O125" s="39">
        <f t="shared" si="5"/>
        <v>0.22368421052631579</v>
      </c>
      <c r="P125" s="40">
        <v>0</v>
      </c>
      <c r="Q125" s="36" t="str">
        <f t="shared" si="6"/>
        <v>Free</v>
      </c>
      <c r="R125" s="38">
        <v>5.8</v>
      </c>
      <c r="S125" s="36"/>
      <c r="T125" s="36">
        <v>5</v>
      </c>
      <c r="U125" s="38">
        <v>7.1</v>
      </c>
      <c r="V125" s="41">
        <f t="shared" si="7"/>
        <v>0.59663865546218486</v>
      </c>
      <c r="W125" s="36" t="s">
        <v>88</v>
      </c>
      <c r="X125" s="36"/>
      <c r="Y125" s="36" t="s">
        <v>458</v>
      </c>
    </row>
    <row r="126" spans="1:25" x14ac:dyDescent="0.3">
      <c r="A126" s="36" t="s">
        <v>459</v>
      </c>
      <c r="B126" s="36">
        <v>58</v>
      </c>
      <c r="C126" s="36" t="str">
        <f t="shared" si="4"/>
        <v>45+</v>
      </c>
      <c r="D126" s="36" t="s">
        <v>133</v>
      </c>
      <c r="E126" s="36" t="s">
        <v>66</v>
      </c>
      <c r="F126" s="36" t="s">
        <v>47</v>
      </c>
      <c r="G126" s="36" t="s">
        <v>138</v>
      </c>
      <c r="H126" s="36" t="s">
        <v>460</v>
      </c>
      <c r="I126" s="36" t="s">
        <v>42</v>
      </c>
      <c r="J126" s="37">
        <v>1469</v>
      </c>
      <c r="K126" s="36"/>
      <c r="L126" s="36" t="s">
        <v>42</v>
      </c>
      <c r="M126" s="38">
        <v>2.2000000000000002</v>
      </c>
      <c r="N126" s="38">
        <v>7.1</v>
      </c>
      <c r="O126" s="39">
        <f t="shared" si="5"/>
        <v>0.3098591549295775</v>
      </c>
      <c r="P126" s="40">
        <v>0</v>
      </c>
      <c r="Q126" s="36" t="str">
        <f t="shared" si="6"/>
        <v>Free</v>
      </c>
      <c r="R126" s="38">
        <v>5.7</v>
      </c>
      <c r="S126" s="36">
        <v>2</v>
      </c>
      <c r="T126" s="36">
        <v>3</v>
      </c>
      <c r="U126" s="38">
        <v>1.3</v>
      </c>
      <c r="V126" s="41">
        <f t="shared" si="7"/>
        <v>8.4415584415584402E-2</v>
      </c>
      <c r="W126" s="36" t="s">
        <v>86</v>
      </c>
      <c r="X126" s="36"/>
      <c r="Y126" s="36" t="s">
        <v>461</v>
      </c>
    </row>
    <row r="127" spans="1:25" x14ac:dyDescent="0.3">
      <c r="A127" s="36" t="s">
        <v>462</v>
      </c>
      <c r="B127" s="36">
        <v>17</v>
      </c>
      <c r="C127" s="36" t="str">
        <f t="shared" si="4"/>
        <v>Under 18</v>
      </c>
      <c r="D127" s="36"/>
      <c r="E127" s="36" t="s">
        <v>67</v>
      </c>
      <c r="F127" s="36" t="s">
        <v>46</v>
      </c>
      <c r="G127" s="36" t="s">
        <v>134</v>
      </c>
      <c r="H127" s="36" t="s">
        <v>463</v>
      </c>
      <c r="I127" s="36" t="s">
        <v>91</v>
      </c>
      <c r="J127" s="37">
        <v>130</v>
      </c>
      <c r="K127" s="36" t="s">
        <v>27</v>
      </c>
      <c r="L127" s="36"/>
      <c r="M127" s="38">
        <v>2.4</v>
      </c>
      <c r="N127" s="38">
        <v>3.2</v>
      </c>
      <c r="O127" s="39">
        <f t="shared" si="5"/>
        <v>0.74999999999999989</v>
      </c>
      <c r="P127" s="40">
        <v>20</v>
      </c>
      <c r="Q127" s="36" t="str">
        <f t="shared" si="6"/>
        <v>Paid</v>
      </c>
      <c r="R127" s="38">
        <v>4.8</v>
      </c>
      <c r="S127" s="36">
        <v>4</v>
      </c>
      <c r="T127" s="36">
        <v>8</v>
      </c>
      <c r="U127" s="38">
        <v>4.7</v>
      </c>
      <c r="V127" s="41">
        <f t="shared" si="7"/>
        <v>0.27976190476190477</v>
      </c>
      <c r="W127" s="36" t="s">
        <v>86</v>
      </c>
      <c r="X127" s="36"/>
      <c r="Y127" s="36" t="s">
        <v>464</v>
      </c>
    </row>
    <row r="128" spans="1:25" x14ac:dyDescent="0.3">
      <c r="A128" s="36" t="s">
        <v>465</v>
      </c>
      <c r="B128" s="36">
        <v>23</v>
      </c>
      <c r="C128" s="36" t="str">
        <f t="shared" si="4"/>
        <v>18-24</v>
      </c>
      <c r="D128" s="36" t="s">
        <v>144</v>
      </c>
      <c r="E128" s="36"/>
      <c r="F128" s="36" t="s">
        <v>47</v>
      </c>
      <c r="G128" s="36" t="s">
        <v>138</v>
      </c>
      <c r="H128" s="36" t="s">
        <v>139</v>
      </c>
      <c r="I128" s="36" t="s">
        <v>42</v>
      </c>
      <c r="J128" s="37">
        <v>5268</v>
      </c>
      <c r="K128" s="36" t="s">
        <v>28</v>
      </c>
      <c r="L128" s="36" t="s">
        <v>42</v>
      </c>
      <c r="M128" s="38">
        <v>1.2</v>
      </c>
      <c r="N128" s="38">
        <v>8.8000000000000007</v>
      </c>
      <c r="O128" s="39">
        <f t="shared" si="5"/>
        <v>0.13636363636363635</v>
      </c>
      <c r="P128" s="40">
        <v>0</v>
      </c>
      <c r="Q128" s="36" t="str">
        <f t="shared" si="6"/>
        <v>Free</v>
      </c>
      <c r="R128" s="38">
        <v>2.4</v>
      </c>
      <c r="S128" s="36">
        <v>4</v>
      </c>
      <c r="T128" s="36"/>
      <c r="U128" s="38">
        <v>0.4</v>
      </c>
      <c r="V128" s="41">
        <f t="shared" si="7"/>
        <v>4.7619047619047616E-2</v>
      </c>
      <c r="W128" s="36" t="s">
        <v>88</v>
      </c>
      <c r="X128" s="36"/>
      <c r="Y128" s="36" t="s">
        <v>466</v>
      </c>
    </row>
    <row r="129" spans="1:25" x14ac:dyDescent="0.3">
      <c r="A129" s="36" t="s">
        <v>467</v>
      </c>
      <c r="B129" s="36">
        <v>23</v>
      </c>
      <c r="C129" s="36" t="str">
        <f t="shared" si="4"/>
        <v>18-24</v>
      </c>
      <c r="D129" s="36" t="s">
        <v>133</v>
      </c>
      <c r="E129" s="36" t="s">
        <v>62</v>
      </c>
      <c r="F129" s="36" t="s">
        <v>46</v>
      </c>
      <c r="G129" s="36" t="s">
        <v>148</v>
      </c>
      <c r="H129" s="36" t="s">
        <v>142</v>
      </c>
      <c r="I129" s="36" t="s">
        <v>92</v>
      </c>
      <c r="J129" s="37">
        <v>221</v>
      </c>
      <c r="K129" s="36" t="s">
        <v>31</v>
      </c>
      <c r="L129" s="36" t="s">
        <v>36</v>
      </c>
      <c r="M129" s="38">
        <v>1.3</v>
      </c>
      <c r="N129" s="38">
        <v>6.3</v>
      </c>
      <c r="O129" s="39">
        <f t="shared" si="5"/>
        <v>0.20634920634920637</v>
      </c>
      <c r="P129" s="40">
        <v>25</v>
      </c>
      <c r="Q129" s="36" t="str">
        <f t="shared" si="6"/>
        <v>Paid</v>
      </c>
      <c r="R129" s="38">
        <v>4.5</v>
      </c>
      <c r="S129" s="36">
        <v>2</v>
      </c>
      <c r="T129" s="36">
        <v>4</v>
      </c>
      <c r="U129" s="38">
        <v>3.8</v>
      </c>
      <c r="V129" s="41">
        <f t="shared" si="7"/>
        <v>0.4175824175824176</v>
      </c>
      <c r="W129" s="36" t="s">
        <v>88</v>
      </c>
      <c r="X129" s="36"/>
      <c r="Y129" s="36" t="s">
        <v>468</v>
      </c>
    </row>
    <row r="130" spans="1:25" x14ac:dyDescent="0.3">
      <c r="A130" s="36" t="s">
        <v>469</v>
      </c>
      <c r="B130" s="36">
        <v>26</v>
      </c>
      <c r="C130" s="36" t="str">
        <f t="shared" ref="C130:C193" si="8">IF(B130="","",IF(B130&lt;18,"Under 18",IF(B130&lt;25,"18-24",IF(B130&lt;35,"25-34",IF(B130&lt;45,"35-44","45+")))))</f>
        <v>25-34</v>
      </c>
      <c r="D130" s="36" t="s">
        <v>144</v>
      </c>
      <c r="E130" s="36" t="s">
        <v>62</v>
      </c>
      <c r="F130" s="36" t="s">
        <v>46</v>
      </c>
      <c r="G130" s="36" t="s">
        <v>134</v>
      </c>
      <c r="H130" s="36" t="s">
        <v>426</v>
      </c>
      <c r="I130" s="36" t="s">
        <v>93</v>
      </c>
      <c r="J130" s="37">
        <v>520</v>
      </c>
      <c r="K130" s="36" t="s">
        <v>24</v>
      </c>
      <c r="L130" s="36" t="s">
        <v>38</v>
      </c>
      <c r="M130" s="38">
        <v>2.7</v>
      </c>
      <c r="N130" s="38">
        <v>5.4</v>
      </c>
      <c r="O130" s="39">
        <f t="shared" ref="O130:O193" si="9">IF(OR(M130="",N130=""),"",M130/N130)</f>
        <v>0.5</v>
      </c>
      <c r="P130" s="40">
        <v>0</v>
      </c>
      <c r="Q130" s="36" t="str">
        <f t="shared" ref="Q130:Q193" si="10">IF(P130="","",IF(P130=0,"Free","Paid"))</f>
        <v>Free</v>
      </c>
      <c r="R130" s="38">
        <v>5.7</v>
      </c>
      <c r="S130" s="36">
        <v>4</v>
      </c>
      <c r="T130" s="36">
        <v>7</v>
      </c>
      <c r="U130" s="38">
        <v>8.4</v>
      </c>
      <c r="V130" s="41">
        <f t="shared" ref="V130:V193" si="11">IF(OR(U130="",M130="",M130=0),"",U130/(M130*7))</f>
        <v>0.44444444444444442</v>
      </c>
      <c r="W130" s="36" t="s">
        <v>86</v>
      </c>
      <c r="X130" s="36"/>
      <c r="Y130" s="36" t="s">
        <v>470</v>
      </c>
    </row>
    <row r="131" spans="1:25" x14ac:dyDescent="0.3">
      <c r="A131" s="36" t="s">
        <v>471</v>
      </c>
      <c r="B131" s="36">
        <v>30</v>
      </c>
      <c r="C131" s="36" t="str">
        <f t="shared" si="8"/>
        <v>25-34</v>
      </c>
      <c r="D131" s="36"/>
      <c r="E131" s="36" t="s">
        <v>64</v>
      </c>
      <c r="F131" s="36" t="s">
        <v>46</v>
      </c>
      <c r="G131" s="36"/>
      <c r="H131" s="36" t="s">
        <v>177</v>
      </c>
      <c r="I131" s="36" t="s">
        <v>92</v>
      </c>
      <c r="J131" s="37">
        <v>67</v>
      </c>
      <c r="K131" s="36" t="s">
        <v>24</v>
      </c>
      <c r="L131" s="36" t="s">
        <v>36</v>
      </c>
      <c r="M131" s="38">
        <v>1.4</v>
      </c>
      <c r="N131" s="38">
        <v>5.6</v>
      </c>
      <c r="O131" s="39">
        <f t="shared" si="9"/>
        <v>0.25</v>
      </c>
      <c r="P131" s="40">
        <v>20</v>
      </c>
      <c r="Q131" s="36" t="str">
        <f t="shared" si="10"/>
        <v>Paid</v>
      </c>
      <c r="R131" s="38">
        <v>2.9</v>
      </c>
      <c r="S131" s="36">
        <v>3</v>
      </c>
      <c r="T131" s="36">
        <v>3</v>
      </c>
      <c r="U131" s="38">
        <v>0.8</v>
      </c>
      <c r="V131" s="41">
        <f t="shared" si="11"/>
        <v>8.1632653061224497E-2</v>
      </c>
      <c r="W131" s="36" t="s">
        <v>88</v>
      </c>
      <c r="X131" s="36"/>
      <c r="Y131" s="36" t="s">
        <v>472</v>
      </c>
    </row>
    <row r="132" spans="1:25" x14ac:dyDescent="0.3">
      <c r="A132" s="36" t="s">
        <v>473</v>
      </c>
      <c r="B132" s="36">
        <v>20</v>
      </c>
      <c r="C132" s="36" t="str">
        <f t="shared" si="8"/>
        <v>18-24</v>
      </c>
      <c r="D132" s="36" t="s">
        <v>277</v>
      </c>
      <c r="E132" s="36" t="s">
        <v>62</v>
      </c>
      <c r="F132" s="36" t="s">
        <v>46</v>
      </c>
      <c r="G132" s="36"/>
      <c r="H132" s="36" t="s">
        <v>426</v>
      </c>
      <c r="I132" s="36" t="s">
        <v>93</v>
      </c>
      <c r="J132" s="37">
        <v>698</v>
      </c>
      <c r="K132" s="36" t="s">
        <v>25</v>
      </c>
      <c r="L132" s="36" t="s">
        <v>39</v>
      </c>
      <c r="M132" s="38">
        <v>1.2</v>
      </c>
      <c r="N132" s="38">
        <v>4.7</v>
      </c>
      <c r="O132" s="39">
        <f t="shared" si="9"/>
        <v>0.25531914893617019</v>
      </c>
      <c r="P132" s="40">
        <v>0</v>
      </c>
      <c r="Q132" s="36" t="str">
        <f t="shared" si="10"/>
        <v>Free</v>
      </c>
      <c r="R132" s="38">
        <v>3.7</v>
      </c>
      <c r="S132" s="36">
        <v>3</v>
      </c>
      <c r="T132" s="36">
        <v>4</v>
      </c>
      <c r="U132" s="38">
        <v>1.7</v>
      </c>
      <c r="V132" s="41">
        <f t="shared" si="11"/>
        <v>0.20238095238095236</v>
      </c>
      <c r="W132" s="36" t="s">
        <v>88</v>
      </c>
      <c r="X132" s="36"/>
      <c r="Y132" s="36" t="s">
        <v>474</v>
      </c>
    </row>
    <row r="133" spans="1:25" x14ac:dyDescent="0.3">
      <c r="A133" s="36" t="s">
        <v>475</v>
      </c>
      <c r="B133" s="36">
        <v>22</v>
      </c>
      <c r="C133" s="36" t="str">
        <f t="shared" si="8"/>
        <v>18-24</v>
      </c>
      <c r="D133" s="36" t="s">
        <v>133</v>
      </c>
      <c r="E133" s="36" t="s">
        <v>62</v>
      </c>
      <c r="F133" s="36" t="s">
        <v>46</v>
      </c>
      <c r="G133" s="36" t="s">
        <v>148</v>
      </c>
      <c r="H133" s="36" t="s">
        <v>426</v>
      </c>
      <c r="I133" s="36" t="s">
        <v>93</v>
      </c>
      <c r="J133" s="37">
        <v>600</v>
      </c>
      <c r="K133" s="36" t="s">
        <v>24</v>
      </c>
      <c r="L133" s="36" t="s">
        <v>38</v>
      </c>
      <c r="M133" s="38">
        <v>1.4</v>
      </c>
      <c r="N133" s="38">
        <v>4.9000000000000004</v>
      </c>
      <c r="O133" s="39">
        <f t="shared" si="9"/>
        <v>0.2857142857142857</v>
      </c>
      <c r="P133" s="40">
        <v>25</v>
      </c>
      <c r="Q133" s="36" t="str">
        <f t="shared" si="10"/>
        <v>Paid</v>
      </c>
      <c r="R133" s="38">
        <v>2.9</v>
      </c>
      <c r="S133" s="36">
        <v>4</v>
      </c>
      <c r="T133" s="36">
        <v>4</v>
      </c>
      <c r="U133" s="38">
        <v>4.5999999999999996</v>
      </c>
      <c r="V133" s="41">
        <f t="shared" si="11"/>
        <v>0.46938775510204084</v>
      </c>
      <c r="W133" s="36" t="s">
        <v>88</v>
      </c>
      <c r="X133" s="36"/>
      <c r="Y133" s="36" t="s">
        <v>476</v>
      </c>
    </row>
    <row r="134" spans="1:25" x14ac:dyDescent="0.3">
      <c r="A134" s="36" t="s">
        <v>477</v>
      </c>
      <c r="B134" s="36">
        <v>24</v>
      </c>
      <c r="C134" s="36" t="str">
        <f t="shared" si="8"/>
        <v>18-24</v>
      </c>
      <c r="D134" s="36" t="s">
        <v>133</v>
      </c>
      <c r="E134" s="36" t="s">
        <v>67</v>
      </c>
      <c r="F134" s="36" t="s">
        <v>46</v>
      </c>
      <c r="G134" s="36" t="s">
        <v>159</v>
      </c>
      <c r="H134" s="36" t="s">
        <v>188</v>
      </c>
      <c r="I134" s="36" t="s">
        <v>91</v>
      </c>
      <c r="J134" s="37">
        <v>63</v>
      </c>
      <c r="K134" s="36" t="s">
        <v>27</v>
      </c>
      <c r="L134" s="36" t="s">
        <v>37</v>
      </c>
      <c r="M134" s="38">
        <v>3</v>
      </c>
      <c r="N134" s="38">
        <v>6.4</v>
      </c>
      <c r="O134" s="39">
        <f t="shared" si="9"/>
        <v>0.46875</v>
      </c>
      <c r="P134" s="40">
        <v>0</v>
      </c>
      <c r="Q134" s="36" t="str">
        <f t="shared" si="10"/>
        <v>Free</v>
      </c>
      <c r="R134" s="38">
        <v>7</v>
      </c>
      <c r="S134" s="36">
        <v>4</v>
      </c>
      <c r="T134" s="36">
        <v>9</v>
      </c>
      <c r="U134" s="38">
        <v>10.5</v>
      </c>
      <c r="V134" s="41">
        <f t="shared" si="11"/>
        <v>0.5</v>
      </c>
      <c r="W134" s="36" t="s">
        <v>86</v>
      </c>
      <c r="X134" s="36"/>
      <c r="Y134" s="36" t="s">
        <v>478</v>
      </c>
    </row>
    <row r="135" spans="1:25" x14ac:dyDescent="0.3">
      <c r="A135" s="36" t="s">
        <v>479</v>
      </c>
      <c r="B135" s="36">
        <v>26</v>
      </c>
      <c r="C135" s="36" t="str">
        <f t="shared" si="8"/>
        <v>25-34</v>
      </c>
      <c r="D135" s="36" t="s">
        <v>277</v>
      </c>
      <c r="E135" s="36" t="s">
        <v>67</v>
      </c>
      <c r="F135" s="36" t="s">
        <v>46</v>
      </c>
      <c r="G135" s="36" t="s">
        <v>245</v>
      </c>
      <c r="H135" s="36" t="s">
        <v>480</v>
      </c>
      <c r="I135" s="36" t="s">
        <v>92</v>
      </c>
      <c r="J135" s="37">
        <v>0</v>
      </c>
      <c r="K135" s="36" t="s">
        <v>25</v>
      </c>
      <c r="L135" s="36" t="s">
        <v>36</v>
      </c>
      <c r="M135" s="38">
        <v>0.8</v>
      </c>
      <c r="N135" s="38">
        <v>3.7</v>
      </c>
      <c r="O135" s="39">
        <f t="shared" si="9"/>
        <v>0.21621621621621623</v>
      </c>
      <c r="P135" s="40">
        <v>0</v>
      </c>
      <c r="Q135" s="36" t="str">
        <f t="shared" si="10"/>
        <v>Free</v>
      </c>
      <c r="R135" s="38"/>
      <c r="S135" s="36">
        <v>2</v>
      </c>
      <c r="T135" s="36">
        <v>3</v>
      </c>
      <c r="U135" s="38">
        <v>0</v>
      </c>
      <c r="V135" s="41">
        <f t="shared" si="11"/>
        <v>0</v>
      </c>
      <c r="W135" s="36" t="s">
        <v>88</v>
      </c>
      <c r="X135" s="36"/>
      <c r="Y135" s="36" t="s">
        <v>481</v>
      </c>
    </row>
    <row r="136" spans="1:25" x14ac:dyDescent="0.3">
      <c r="A136" s="36" t="s">
        <v>482</v>
      </c>
      <c r="B136" s="36">
        <v>32</v>
      </c>
      <c r="C136" s="36" t="str">
        <f t="shared" si="8"/>
        <v>25-34</v>
      </c>
      <c r="D136" s="36" t="s">
        <v>144</v>
      </c>
      <c r="E136" s="36" t="s">
        <v>62</v>
      </c>
      <c r="F136" s="36" t="s">
        <v>47</v>
      </c>
      <c r="G136" s="36" t="s">
        <v>138</v>
      </c>
      <c r="H136" s="36" t="s">
        <v>174</v>
      </c>
      <c r="I136" s="36" t="s">
        <v>92</v>
      </c>
      <c r="J136" s="37">
        <v>7739</v>
      </c>
      <c r="K136" s="36" t="s">
        <v>24</v>
      </c>
      <c r="L136" s="36" t="s">
        <v>36</v>
      </c>
      <c r="M136" s="38">
        <v>2.2000000000000002</v>
      </c>
      <c r="N136" s="38">
        <v>5.0999999999999996</v>
      </c>
      <c r="O136" s="39">
        <f t="shared" si="9"/>
        <v>0.43137254901960792</v>
      </c>
      <c r="P136" s="40">
        <v>0</v>
      </c>
      <c r="Q136" s="36" t="str">
        <f t="shared" si="10"/>
        <v>Free</v>
      </c>
      <c r="R136" s="38">
        <v>5.0999999999999996</v>
      </c>
      <c r="S136" s="36">
        <v>3</v>
      </c>
      <c r="T136" s="36">
        <v>6</v>
      </c>
      <c r="U136" s="38">
        <v>5.6</v>
      </c>
      <c r="V136" s="41">
        <f t="shared" si="11"/>
        <v>0.36363636363636354</v>
      </c>
      <c r="W136" s="36" t="s">
        <v>88</v>
      </c>
      <c r="X136" s="36"/>
      <c r="Y136" s="36" t="s">
        <v>483</v>
      </c>
    </row>
    <row r="137" spans="1:25" x14ac:dyDescent="0.3">
      <c r="A137" s="36" t="s">
        <v>484</v>
      </c>
      <c r="B137" s="36">
        <v>29</v>
      </c>
      <c r="C137" s="36" t="str">
        <f t="shared" si="8"/>
        <v>25-34</v>
      </c>
      <c r="D137" s="36" t="s">
        <v>277</v>
      </c>
      <c r="E137" s="36" t="s">
        <v>191</v>
      </c>
      <c r="F137" s="36" t="s">
        <v>47</v>
      </c>
      <c r="G137" s="36" t="s">
        <v>194</v>
      </c>
      <c r="H137" s="36" t="s">
        <v>181</v>
      </c>
      <c r="I137" s="36" t="s">
        <v>93</v>
      </c>
      <c r="J137" s="37">
        <v>898</v>
      </c>
      <c r="K137" s="36" t="s">
        <v>24</v>
      </c>
      <c r="L137" s="36" t="s">
        <v>41</v>
      </c>
      <c r="M137" s="38">
        <v>2.2999999999999998</v>
      </c>
      <c r="N137" s="38">
        <v>6.4</v>
      </c>
      <c r="O137" s="39">
        <f t="shared" si="9"/>
        <v>0.35937499999999994</v>
      </c>
      <c r="P137" s="40">
        <v>0</v>
      </c>
      <c r="Q137" s="36" t="str">
        <f t="shared" si="10"/>
        <v>Free</v>
      </c>
      <c r="R137" s="38">
        <v>4.5</v>
      </c>
      <c r="S137" s="36">
        <v>4</v>
      </c>
      <c r="T137" s="36">
        <v>5</v>
      </c>
      <c r="U137" s="38">
        <v>4.9000000000000004</v>
      </c>
      <c r="V137" s="41">
        <f t="shared" si="11"/>
        <v>0.3043478260869566</v>
      </c>
      <c r="W137" s="36" t="s">
        <v>86</v>
      </c>
      <c r="X137" s="36"/>
      <c r="Y137" s="36" t="s">
        <v>485</v>
      </c>
    </row>
    <row r="138" spans="1:25" x14ac:dyDescent="0.3">
      <c r="A138" s="36" t="s">
        <v>486</v>
      </c>
      <c r="B138" s="36">
        <v>49</v>
      </c>
      <c r="C138" s="36" t="str">
        <f t="shared" si="8"/>
        <v>45+</v>
      </c>
      <c r="D138" s="36" t="s">
        <v>144</v>
      </c>
      <c r="E138" s="36" t="s">
        <v>61</v>
      </c>
      <c r="F138" s="36" t="s">
        <v>47</v>
      </c>
      <c r="G138" s="36" t="s">
        <v>134</v>
      </c>
      <c r="H138" s="36" t="s">
        <v>487</v>
      </c>
      <c r="I138" s="36" t="s">
        <v>94</v>
      </c>
      <c r="J138" s="37">
        <v>1057</v>
      </c>
      <c r="K138" s="36" t="s">
        <v>24</v>
      </c>
      <c r="L138" s="36" t="s">
        <v>39</v>
      </c>
      <c r="M138" s="38">
        <v>2</v>
      </c>
      <c r="N138" s="38">
        <v>7.5</v>
      </c>
      <c r="O138" s="39">
        <f t="shared" si="9"/>
        <v>0.26666666666666666</v>
      </c>
      <c r="P138" s="40">
        <v>25</v>
      </c>
      <c r="Q138" s="36" t="str">
        <f t="shared" si="10"/>
        <v>Paid</v>
      </c>
      <c r="R138" s="38">
        <v>5.2</v>
      </c>
      <c r="S138" s="36">
        <v>5</v>
      </c>
      <c r="T138" s="36">
        <v>8</v>
      </c>
      <c r="U138" s="38">
        <v>5.7</v>
      </c>
      <c r="V138" s="41">
        <f t="shared" si="11"/>
        <v>0.40714285714285714</v>
      </c>
      <c r="W138" s="36" t="s">
        <v>88</v>
      </c>
      <c r="X138" s="36"/>
      <c r="Y138" s="36" t="s">
        <v>488</v>
      </c>
    </row>
    <row r="139" spans="1:25" x14ac:dyDescent="0.3">
      <c r="A139" s="36" t="s">
        <v>489</v>
      </c>
      <c r="B139" s="36">
        <v>21</v>
      </c>
      <c r="C139" s="36" t="str">
        <f t="shared" si="8"/>
        <v>18-24</v>
      </c>
      <c r="D139" s="36" t="s">
        <v>133</v>
      </c>
      <c r="E139" s="36" t="s">
        <v>155</v>
      </c>
      <c r="F139" s="36" t="s">
        <v>46</v>
      </c>
      <c r="G139" s="36" t="s">
        <v>159</v>
      </c>
      <c r="H139" s="36" t="s">
        <v>220</v>
      </c>
      <c r="I139" s="36" t="s">
        <v>96</v>
      </c>
      <c r="J139" s="37">
        <v>221</v>
      </c>
      <c r="K139" s="36" t="s">
        <v>28</v>
      </c>
      <c r="L139" s="36" t="s">
        <v>39</v>
      </c>
      <c r="M139" s="38">
        <v>6.5</v>
      </c>
      <c r="N139" s="38">
        <v>4.8</v>
      </c>
      <c r="O139" s="39">
        <f t="shared" si="9"/>
        <v>1.3541666666666667</v>
      </c>
      <c r="P139" s="40">
        <v>10</v>
      </c>
      <c r="Q139" s="36" t="str">
        <f t="shared" si="10"/>
        <v>Paid</v>
      </c>
      <c r="R139" s="38">
        <v>8.3000000000000007</v>
      </c>
      <c r="S139" s="36">
        <v>2</v>
      </c>
      <c r="T139" s="36">
        <v>6</v>
      </c>
      <c r="U139" s="38">
        <v>14.2</v>
      </c>
      <c r="V139" s="41">
        <f t="shared" si="11"/>
        <v>0.31208791208791209</v>
      </c>
      <c r="W139" s="36" t="s">
        <v>88</v>
      </c>
      <c r="X139" s="36" t="s">
        <v>178</v>
      </c>
      <c r="Y139" s="36" t="s">
        <v>490</v>
      </c>
    </row>
    <row r="140" spans="1:25" x14ac:dyDescent="0.3">
      <c r="A140" s="36" t="s">
        <v>491</v>
      </c>
      <c r="B140" s="36">
        <v>23</v>
      </c>
      <c r="C140" s="36" t="str">
        <f t="shared" si="8"/>
        <v>18-24</v>
      </c>
      <c r="D140" s="36" t="s">
        <v>133</v>
      </c>
      <c r="E140" s="36" t="s">
        <v>62</v>
      </c>
      <c r="F140" s="36" t="s">
        <v>46</v>
      </c>
      <c r="G140" s="36" t="s">
        <v>138</v>
      </c>
      <c r="H140" s="36" t="s">
        <v>439</v>
      </c>
      <c r="I140" s="36" t="s">
        <v>91</v>
      </c>
      <c r="J140" s="37">
        <v>237</v>
      </c>
      <c r="K140" s="36" t="s">
        <v>26</v>
      </c>
      <c r="L140" s="36" t="s">
        <v>40</v>
      </c>
      <c r="M140" s="38">
        <v>2.2000000000000002</v>
      </c>
      <c r="N140" s="38"/>
      <c r="O140" s="39" t="str">
        <f t="shared" si="9"/>
        <v/>
      </c>
      <c r="P140" s="40">
        <v>0</v>
      </c>
      <c r="Q140" s="36" t="str">
        <f t="shared" si="10"/>
        <v>Free</v>
      </c>
      <c r="R140" s="38">
        <v>4.5</v>
      </c>
      <c r="S140" s="36">
        <v>4</v>
      </c>
      <c r="T140" s="36">
        <v>5</v>
      </c>
      <c r="U140" s="38">
        <v>2</v>
      </c>
      <c r="V140" s="41">
        <f t="shared" si="11"/>
        <v>0.12987012987012986</v>
      </c>
      <c r="W140" s="36" t="s">
        <v>86</v>
      </c>
      <c r="X140" s="36"/>
      <c r="Y140" s="36" t="s">
        <v>492</v>
      </c>
    </row>
    <row r="141" spans="1:25" x14ac:dyDescent="0.3">
      <c r="A141" s="36" t="s">
        <v>493</v>
      </c>
      <c r="B141" s="36">
        <v>31</v>
      </c>
      <c r="C141" s="36" t="str">
        <f t="shared" si="8"/>
        <v>25-34</v>
      </c>
      <c r="D141" s="36" t="s">
        <v>133</v>
      </c>
      <c r="E141" s="36" t="s">
        <v>66</v>
      </c>
      <c r="F141" s="36" t="s">
        <v>47</v>
      </c>
      <c r="G141" s="36" t="s">
        <v>138</v>
      </c>
      <c r="H141" s="36" t="s">
        <v>494</v>
      </c>
      <c r="I141" s="36" t="s">
        <v>91</v>
      </c>
      <c r="J141" s="37">
        <v>1194</v>
      </c>
      <c r="K141" s="36" t="s">
        <v>27</v>
      </c>
      <c r="L141" s="36"/>
      <c r="M141" s="38">
        <v>2.1</v>
      </c>
      <c r="N141" s="38">
        <v>9.8000000000000007</v>
      </c>
      <c r="O141" s="39">
        <f t="shared" si="9"/>
        <v>0.21428571428571427</v>
      </c>
      <c r="P141" s="40">
        <v>0</v>
      </c>
      <c r="Q141" s="36" t="str">
        <f t="shared" si="10"/>
        <v>Free</v>
      </c>
      <c r="R141" s="38">
        <v>5.4</v>
      </c>
      <c r="S141" s="36">
        <v>2</v>
      </c>
      <c r="T141" s="36">
        <v>6</v>
      </c>
      <c r="U141" s="38">
        <v>2</v>
      </c>
      <c r="V141" s="41">
        <f t="shared" si="11"/>
        <v>0.13605442176870747</v>
      </c>
      <c r="W141" s="36" t="s">
        <v>86</v>
      </c>
      <c r="X141" s="36"/>
      <c r="Y141" s="36" t="s">
        <v>495</v>
      </c>
    </row>
    <row r="142" spans="1:25" x14ac:dyDescent="0.3">
      <c r="A142" s="36" t="s">
        <v>496</v>
      </c>
      <c r="B142" s="36">
        <v>21</v>
      </c>
      <c r="C142" s="36" t="str">
        <f t="shared" si="8"/>
        <v>18-24</v>
      </c>
      <c r="D142" s="36" t="s">
        <v>144</v>
      </c>
      <c r="E142" s="36" t="s">
        <v>64</v>
      </c>
      <c r="F142" s="36" t="s">
        <v>46</v>
      </c>
      <c r="G142" s="36" t="s">
        <v>148</v>
      </c>
      <c r="H142" s="36" t="s">
        <v>142</v>
      </c>
      <c r="I142" s="36" t="s">
        <v>92</v>
      </c>
      <c r="J142" s="37">
        <v>0</v>
      </c>
      <c r="K142" s="36" t="s">
        <v>31</v>
      </c>
      <c r="L142" s="36" t="s">
        <v>36</v>
      </c>
      <c r="M142" s="38">
        <v>2.9</v>
      </c>
      <c r="N142" s="38">
        <v>5.5</v>
      </c>
      <c r="O142" s="39">
        <f t="shared" si="9"/>
        <v>0.52727272727272723</v>
      </c>
      <c r="P142" s="40">
        <v>20</v>
      </c>
      <c r="Q142" s="36" t="str">
        <f t="shared" si="10"/>
        <v>Paid</v>
      </c>
      <c r="R142" s="38">
        <v>6.6</v>
      </c>
      <c r="S142" s="36">
        <v>2</v>
      </c>
      <c r="T142" s="36">
        <v>4</v>
      </c>
      <c r="U142" s="38"/>
      <c r="V142" s="41" t="str">
        <f t="shared" si="11"/>
        <v/>
      </c>
      <c r="W142" s="36"/>
      <c r="X142" s="36"/>
      <c r="Y142" s="36" t="s">
        <v>497</v>
      </c>
    </row>
    <row r="143" spans="1:25" x14ac:dyDescent="0.3">
      <c r="A143" s="36" t="s">
        <v>498</v>
      </c>
      <c r="B143" s="36">
        <v>34</v>
      </c>
      <c r="C143" s="36" t="str">
        <f t="shared" si="8"/>
        <v>25-34</v>
      </c>
      <c r="D143" s="36" t="s">
        <v>144</v>
      </c>
      <c r="E143" s="36" t="s">
        <v>67</v>
      </c>
      <c r="F143" s="36" t="s">
        <v>47</v>
      </c>
      <c r="G143" s="36" t="s">
        <v>194</v>
      </c>
      <c r="H143" s="36" t="s">
        <v>499</v>
      </c>
      <c r="I143" s="36" t="s">
        <v>92</v>
      </c>
      <c r="J143" s="37">
        <v>874</v>
      </c>
      <c r="K143" s="36" t="s">
        <v>24</v>
      </c>
      <c r="L143" s="36" t="s">
        <v>36</v>
      </c>
      <c r="M143" s="38">
        <v>1.9</v>
      </c>
      <c r="N143" s="38">
        <v>8.3000000000000007</v>
      </c>
      <c r="O143" s="39">
        <f t="shared" si="9"/>
        <v>0.22891566265060237</v>
      </c>
      <c r="P143" s="40">
        <v>0</v>
      </c>
      <c r="Q143" s="36" t="str">
        <f t="shared" si="10"/>
        <v>Free</v>
      </c>
      <c r="R143" s="38">
        <v>5.0999999999999996</v>
      </c>
      <c r="S143" s="36">
        <v>4</v>
      </c>
      <c r="T143" s="36">
        <v>7</v>
      </c>
      <c r="U143" s="38">
        <v>4.9000000000000004</v>
      </c>
      <c r="V143" s="41">
        <f t="shared" si="11"/>
        <v>0.36842105263157898</v>
      </c>
      <c r="W143" s="36" t="s">
        <v>86</v>
      </c>
      <c r="X143" s="36"/>
      <c r="Y143" s="36" t="s">
        <v>500</v>
      </c>
    </row>
    <row r="144" spans="1:25" x14ac:dyDescent="0.3">
      <c r="A144" s="36" t="s">
        <v>501</v>
      </c>
      <c r="B144" s="36">
        <v>17</v>
      </c>
      <c r="C144" s="36" t="str">
        <f t="shared" si="8"/>
        <v>Under 18</v>
      </c>
      <c r="D144" s="36" t="s">
        <v>144</v>
      </c>
      <c r="E144" s="36" t="s">
        <v>69</v>
      </c>
      <c r="F144" s="36" t="s">
        <v>46</v>
      </c>
      <c r="G144" s="36" t="s">
        <v>159</v>
      </c>
      <c r="H144" s="36" t="s">
        <v>188</v>
      </c>
      <c r="I144" s="36" t="s">
        <v>91</v>
      </c>
      <c r="J144" s="37">
        <v>0</v>
      </c>
      <c r="K144" s="36" t="s">
        <v>26</v>
      </c>
      <c r="L144" s="36" t="s">
        <v>37</v>
      </c>
      <c r="M144" s="38">
        <v>9.5</v>
      </c>
      <c r="N144" s="38">
        <v>5.7</v>
      </c>
      <c r="O144" s="39">
        <f t="shared" si="9"/>
        <v>1.6666666666666665</v>
      </c>
      <c r="P144" s="40">
        <v>25</v>
      </c>
      <c r="Q144" s="36" t="str">
        <f t="shared" si="10"/>
        <v>Paid</v>
      </c>
      <c r="R144" s="38">
        <v>8.6</v>
      </c>
      <c r="S144" s="36">
        <v>3</v>
      </c>
      <c r="T144" s="36">
        <v>9</v>
      </c>
      <c r="U144" s="38">
        <v>15.2</v>
      </c>
      <c r="V144" s="41">
        <f t="shared" si="11"/>
        <v>0.22857142857142856</v>
      </c>
      <c r="W144" s="36" t="s">
        <v>86</v>
      </c>
      <c r="X144" s="36" t="s">
        <v>178</v>
      </c>
      <c r="Y144" s="36" t="s">
        <v>502</v>
      </c>
    </row>
    <row r="145" spans="1:25" x14ac:dyDescent="0.3">
      <c r="A145" s="36" t="s">
        <v>503</v>
      </c>
      <c r="B145" s="36">
        <v>22</v>
      </c>
      <c r="C145" s="36" t="str">
        <f t="shared" si="8"/>
        <v>18-24</v>
      </c>
      <c r="D145" s="36" t="s">
        <v>133</v>
      </c>
      <c r="E145" s="36" t="s">
        <v>67</v>
      </c>
      <c r="F145" s="36" t="s">
        <v>46</v>
      </c>
      <c r="G145" s="36" t="s">
        <v>148</v>
      </c>
      <c r="H145" s="36" t="s">
        <v>235</v>
      </c>
      <c r="I145" s="36" t="s">
        <v>92</v>
      </c>
      <c r="J145" s="37">
        <v>106</v>
      </c>
      <c r="K145" s="36" t="s">
        <v>24</v>
      </c>
      <c r="L145" s="36" t="s">
        <v>41</v>
      </c>
      <c r="M145" s="38">
        <v>4.9000000000000004</v>
      </c>
      <c r="N145" s="38">
        <v>8.1</v>
      </c>
      <c r="O145" s="39">
        <f t="shared" si="9"/>
        <v>0.60493827160493829</v>
      </c>
      <c r="P145" s="40">
        <v>20</v>
      </c>
      <c r="Q145" s="36" t="str">
        <f t="shared" si="10"/>
        <v>Paid</v>
      </c>
      <c r="R145" s="38">
        <v>5.5</v>
      </c>
      <c r="S145" s="36">
        <v>4</v>
      </c>
      <c r="T145" s="36">
        <v>6</v>
      </c>
      <c r="U145" s="38">
        <v>8.1999999999999993</v>
      </c>
      <c r="V145" s="41">
        <f t="shared" si="11"/>
        <v>0.23906705539358594</v>
      </c>
      <c r="W145" s="36" t="s">
        <v>87</v>
      </c>
      <c r="X145" s="36"/>
      <c r="Y145" s="36" t="s">
        <v>504</v>
      </c>
    </row>
    <row r="146" spans="1:25" x14ac:dyDescent="0.3">
      <c r="A146" s="36" t="s">
        <v>505</v>
      </c>
      <c r="B146" s="36">
        <v>27</v>
      </c>
      <c r="C146" s="36" t="str">
        <f t="shared" si="8"/>
        <v>25-34</v>
      </c>
      <c r="D146" s="36" t="s">
        <v>144</v>
      </c>
      <c r="E146" s="36" t="s">
        <v>64</v>
      </c>
      <c r="F146" s="36" t="s">
        <v>46</v>
      </c>
      <c r="G146" s="36" t="s">
        <v>148</v>
      </c>
      <c r="H146" s="36" t="s">
        <v>439</v>
      </c>
      <c r="I146" s="36" t="s">
        <v>91</v>
      </c>
      <c r="J146" s="37">
        <v>74</v>
      </c>
      <c r="K146" s="36" t="s">
        <v>24</v>
      </c>
      <c r="L146" s="36" t="s">
        <v>40</v>
      </c>
      <c r="M146" s="38">
        <v>1.9</v>
      </c>
      <c r="N146" s="38">
        <v>7.4</v>
      </c>
      <c r="O146" s="39">
        <f t="shared" si="9"/>
        <v>0.25675675675675674</v>
      </c>
      <c r="P146" s="40">
        <v>0</v>
      </c>
      <c r="Q146" s="36" t="str">
        <f t="shared" si="10"/>
        <v>Free</v>
      </c>
      <c r="R146" s="38"/>
      <c r="S146" s="36">
        <v>4</v>
      </c>
      <c r="T146" s="36">
        <v>7</v>
      </c>
      <c r="U146" s="38">
        <v>1.4</v>
      </c>
      <c r="V146" s="41">
        <f t="shared" si="11"/>
        <v>0.10526315789473685</v>
      </c>
      <c r="W146" s="36" t="s">
        <v>86</v>
      </c>
      <c r="X146" s="36"/>
      <c r="Y146" s="36" t="s">
        <v>506</v>
      </c>
    </row>
    <row r="147" spans="1:25" x14ac:dyDescent="0.3">
      <c r="A147" s="36" t="s">
        <v>507</v>
      </c>
      <c r="B147" s="36">
        <v>40</v>
      </c>
      <c r="C147" s="36" t="str">
        <f t="shared" si="8"/>
        <v>35-44</v>
      </c>
      <c r="D147" s="36" t="s">
        <v>144</v>
      </c>
      <c r="E147" s="36" t="s">
        <v>70</v>
      </c>
      <c r="F147" s="36" t="s">
        <v>47</v>
      </c>
      <c r="G147" s="36" t="s">
        <v>159</v>
      </c>
      <c r="H147" s="36" t="s">
        <v>508</v>
      </c>
      <c r="I147" s="36" t="s">
        <v>42</v>
      </c>
      <c r="J147" s="37">
        <v>3054</v>
      </c>
      <c r="K147" s="36" t="s">
        <v>24</v>
      </c>
      <c r="L147" s="36" t="s">
        <v>42</v>
      </c>
      <c r="M147" s="38">
        <v>1.5</v>
      </c>
      <c r="N147" s="38">
        <v>7.6</v>
      </c>
      <c r="O147" s="39">
        <f t="shared" si="9"/>
        <v>0.19736842105263158</v>
      </c>
      <c r="P147" s="40">
        <v>0</v>
      </c>
      <c r="Q147" s="36" t="str">
        <f t="shared" si="10"/>
        <v>Free</v>
      </c>
      <c r="R147" s="38">
        <v>4</v>
      </c>
      <c r="S147" s="36">
        <v>2</v>
      </c>
      <c r="T147" s="36">
        <v>3</v>
      </c>
      <c r="U147" s="38">
        <v>7.1</v>
      </c>
      <c r="V147" s="41">
        <f t="shared" si="11"/>
        <v>0.67619047619047612</v>
      </c>
      <c r="W147" s="36" t="s">
        <v>88</v>
      </c>
      <c r="X147" s="36"/>
      <c r="Y147" s="36" t="s">
        <v>509</v>
      </c>
    </row>
    <row r="148" spans="1:25" x14ac:dyDescent="0.3">
      <c r="A148" s="36" t="s">
        <v>510</v>
      </c>
      <c r="B148" s="36">
        <v>22</v>
      </c>
      <c r="C148" s="36" t="str">
        <f t="shared" si="8"/>
        <v>18-24</v>
      </c>
      <c r="D148" s="36" t="s">
        <v>144</v>
      </c>
      <c r="E148" s="36" t="s">
        <v>70</v>
      </c>
      <c r="F148" s="36" t="s">
        <v>46</v>
      </c>
      <c r="G148" s="36" t="s">
        <v>138</v>
      </c>
      <c r="H148" s="36" t="s">
        <v>142</v>
      </c>
      <c r="I148" s="36" t="s">
        <v>92</v>
      </c>
      <c r="J148" s="37">
        <v>442</v>
      </c>
      <c r="K148" s="36" t="s">
        <v>24</v>
      </c>
      <c r="L148" s="36" t="s">
        <v>36</v>
      </c>
      <c r="M148" s="38">
        <v>1</v>
      </c>
      <c r="N148" s="38">
        <v>5.6</v>
      </c>
      <c r="O148" s="39">
        <f t="shared" si="9"/>
        <v>0.17857142857142858</v>
      </c>
      <c r="P148" s="40">
        <v>0</v>
      </c>
      <c r="Q148" s="36" t="str">
        <f t="shared" si="10"/>
        <v>Free</v>
      </c>
      <c r="R148" s="38">
        <v>3.6</v>
      </c>
      <c r="S148" s="36">
        <v>2</v>
      </c>
      <c r="T148" s="36">
        <v>5</v>
      </c>
      <c r="U148" s="38">
        <v>0</v>
      </c>
      <c r="V148" s="41">
        <f t="shared" si="11"/>
        <v>0</v>
      </c>
      <c r="W148" s="36" t="s">
        <v>86</v>
      </c>
      <c r="X148" s="36"/>
      <c r="Y148" s="36"/>
    </row>
    <row r="149" spans="1:25" x14ac:dyDescent="0.3">
      <c r="A149" s="36" t="s">
        <v>511</v>
      </c>
      <c r="B149" s="36">
        <v>23</v>
      </c>
      <c r="C149" s="36" t="str">
        <f t="shared" si="8"/>
        <v>18-24</v>
      </c>
      <c r="D149" s="36" t="s">
        <v>133</v>
      </c>
      <c r="E149" s="36" t="s">
        <v>61</v>
      </c>
      <c r="F149" s="36" t="s">
        <v>46</v>
      </c>
      <c r="G149" s="36" t="s">
        <v>148</v>
      </c>
      <c r="H149" s="36" t="s">
        <v>426</v>
      </c>
      <c r="I149" s="36" t="s">
        <v>93</v>
      </c>
      <c r="J149" s="37">
        <v>77</v>
      </c>
      <c r="K149" s="36" t="s">
        <v>29</v>
      </c>
      <c r="L149" s="36" t="s">
        <v>39</v>
      </c>
      <c r="M149" s="38">
        <v>1.5</v>
      </c>
      <c r="N149" s="38">
        <v>8</v>
      </c>
      <c r="O149" s="39">
        <f t="shared" si="9"/>
        <v>0.1875</v>
      </c>
      <c r="P149" s="40">
        <v>0</v>
      </c>
      <c r="Q149" s="36" t="str">
        <f t="shared" si="10"/>
        <v>Free</v>
      </c>
      <c r="R149" s="38">
        <v>3.4</v>
      </c>
      <c r="S149" s="36">
        <v>2</v>
      </c>
      <c r="T149" s="36">
        <v>4</v>
      </c>
      <c r="U149" s="38">
        <v>2.2000000000000002</v>
      </c>
      <c r="V149" s="41">
        <f t="shared" si="11"/>
        <v>0.20952380952380953</v>
      </c>
      <c r="W149" s="36" t="s">
        <v>88</v>
      </c>
      <c r="X149" s="36"/>
      <c r="Y149" s="36" t="s">
        <v>512</v>
      </c>
    </row>
    <row r="150" spans="1:25" x14ac:dyDescent="0.3">
      <c r="A150" s="36" t="s">
        <v>513</v>
      </c>
      <c r="B150" s="36"/>
      <c r="C150" s="36" t="str">
        <f t="shared" si="8"/>
        <v/>
      </c>
      <c r="D150" s="36" t="s">
        <v>144</v>
      </c>
      <c r="E150" s="36" t="s">
        <v>63</v>
      </c>
      <c r="F150" s="36" t="s">
        <v>47</v>
      </c>
      <c r="G150" s="36" t="s">
        <v>138</v>
      </c>
      <c r="H150" s="36" t="s">
        <v>139</v>
      </c>
      <c r="I150" s="36" t="s">
        <v>42</v>
      </c>
      <c r="J150" s="37">
        <v>6705</v>
      </c>
      <c r="K150" s="36" t="s">
        <v>31</v>
      </c>
      <c r="L150" s="36" t="s">
        <v>42</v>
      </c>
      <c r="M150" s="38">
        <v>9.6999999999999993</v>
      </c>
      <c r="N150" s="38">
        <v>11.6</v>
      </c>
      <c r="O150" s="39">
        <f t="shared" si="9"/>
        <v>0.83620689655172409</v>
      </c>
      <c r="P150" s="40">
        <v>20</v>
      </c>
      <c r="Q150" s="36" t="str">
        <f t="shared" si="10"/>
        <v>Paid</v>
      </c>
      <c r="R150" s="38">
        <v>7.7</v>
      </c>
      <c r="S150" s="36">
        <v>5</v>
      </c>
      <c r="T150" s="36">
        <v>9</v>
      </c>
      <c r="U150" s="38"/>
      <c r="V150" s="41" t="str">
        <f t="shared" si="11"/>
        <v/>
      </c>
      <c r="W150" s="36" t="s">
        <v>86</v>
      </c>
      <c r="X150" s="36"/>
      <c r="Y150" s="36" t="s">
        <v>514</v>
      </c>
    </row>
    <row r="151" spans="1:25" x14ac:dyDescent="0.3">
      <c r="A151" s="36" t="s">
        <v>515</v>
      </c>
      <c r="B151" s="36">
        <v>36</v>
      </c>
      <c r="C151" s="36" t="str">
        <f t="shared" si="8"/>
        <v>35-44</v>
      </c>
      <c r="D151" s="36" t="s">
        <v>133</v>
      </c>
      <c r="E151" s="36" t="s">
        <v>61</v>
      </c>
      <c r="F151" s="36" t="s">
        <v>47</v>
      </c>
      <c r="G151" s="36" t="s">
        <v>138</v>
      </c>
      <c r="H151" s="36" t="s">
        <v>396</v>
      </c>
      <c r="I151" s="36" t="s">
        <v>92</v>
      </c>
      <c r="J151" s="37">
        <v>987</v>
      </c>
      <c r="K151" s="36" t="s">
        <v>24</v>
      </c>
      <c r="L151" s="36" t="s">
        <v>36</v>
      </c>
      <c r="M151" s="38">
        <v>1.5</v>
      </c>
      <c r="N151" s="38">
        <v>7.6</v>
      </c>
      <c r="O151" s="39">
        <f t="shared" si="9"/>
        <v>0.19736842105263158</v>
      </c>
      <c r="P151" s="40">
        <v>0</v>
      </c>
      <c r="Q151" s="36" t="str">
        <f t="shared" si="10"/>
        <v>Free</v>
      </c>
      <c r="R151" s="38">
        <v>4.2</v>
      </c>
      <c r="S151" s="36">
        <v>3</v>
      </c>
      <c r="T151" s="36">
        <v>6</v>
      </c>
      <c r="U151" s="38">
        <v>1.8</v>
      </c>
      <c r="V151" s="41">
        <f t="shared" si="11"/>
        <v>0.17142857142857143</v>
      </c>
      <c r="W151" s="36" t="s">
        <v>87</v>
      </c>
      <c r="X151" s="36"/>
      <c r="Y151" s="36" t="s">
        <v>516</v>
      </c>
    </row>
    <row r="152" spans="1:25" x14ac:dyDescent="0.3">
      <c r="A152" s="36" t="s">
        <v>517</v>
      </c>
      <c r="B152" s="36">
        <v>23</v>
      </c>
      <c r="C152" s="36" t="str">
        <f t="shared" si="8"/>
        <v>18-24</v>
      </c>
      <c r="D152" s="36" t="s">
        <v>133</v>
      </c>
      <c r="E152" s="36" t="s">
        <v>65</v>
      </c>
      <c r="F152" s="36" t="s">
        <v>46</v>
      </c>
      <c r="G152" s="36" t="s">
        <v>159</v>
      </c>
      <c r="H152" s="36" t="s">
        <v>220</v>
      </c>
      <c r="I152" s="36" t="s">
        <v>96</v>
      </c>
      <c r="J152" s="37">
        <v>109</v>
      </c>
      <c r="K152" s="36" t="s">
        <v>24</v>
      </c>
      <c r="L152" s="36" t="s">
        <v>38</v>
      </c>
      <c r="M152" s="38">
        <v>0.6</v>
      </c>
      <c r="N152" s="38">
        <v>2.2999999999999998</v>
      </c>
      <c r="O152" s="39">
        <f t="shared" si="9"/>
        <v>0.2608695652173913</v>
      </c>
      <c r="P152" s="40">
        <v>25</v>
      </c>
      <c r="Q152" s="36" t="str">
        <f t="shared" si="10"/>
        <v>Paid</v>
      </c>
      <c r="R152" s="38">
        <v>2.1</v>
      </c>
      <c r="S152" s="36">
        <v>4</v>
      </c>
      <c r="T152" s="36">
        <v>6</v>
      </c>
      <c r="U152" s="38">
        <v>0.1</v>
      </c>
      <c r="V152" s="41">
        <f t="shared" si="11"/>
        <v>2.3809523809523808E-2</v>
      </c>
      <c r="W152" s="36" t="s">
        <v>88</v>
      </c>
      <c r="X152" s="36"/>
      <c r="Y152" s="36" t="s">
        <v>518</v>
      </c>
    </row>
    <row r="153" spans="1:25" x14ac:dyDescent="0.3">
      <c r="A153" s="36" t="s">
        <v>519</v>
      </c>
      <c r="B153" s="36">
        <v>37</v>
      </c>
      <c r="C153" s="36" t="str">
        <f t="shared" si="8"/>
        <v>35-44</v>
      </c>
      <c r="D153" s="36" t="s">
        <v>144</v>
      </c>
      <c r="E153" s="36" t="s">
        <v>69</v>
      </c>
      <c r="F153" s="36" t="s">
        <v>47</v>
      </c>
      <c r="G153" s="36" t="s">
        <v>138</v>
      </c>
      <c r="H153" s="36" t="s">
        <v>249</v>
      </c>
      <c r="I153" s="36" t="s">
        <v>91</v>
      </c>
      <c r="J153" s="37">
        <v>889</v>
      </c>
      <c r="K153" s="36" t="s">
        <v>24</v>
      </c>
      <c r="L153" s="36" t="s">
        <v>37</v>
      </c>
      <c r="M153" s="38">
        <v>3.3</v>
      </c>
      <c r="N153" s="38">
        <v>8.9</v>
      </c>
      <c r="O153" s="39">
        <f t="shared" si="9"/>
        <v>0.37078651685393255</v>
      </c>
      <c r="P153" s="40">
        <v>0</v>
      </c>
      <c r="Q153" s="36" t="str">
        <f t="shared" si="10"/>
        <v>Free</v>
      </c>
      <c r="R153" s="38">
        <v>7.8</v>
      </c>
      <c r="S153" s="36">
        <v>4</v>
      </c>
      <c r="T153" s="36">
        <v>7</v>
      </c>
      <c r="U153" s="38">
        <v>6.5</v>
      </c>
      <c r="V153" s="41">
        <f t="shared" si="11"/>
        <v>0.2813852813852814</v>
      </c>
      <c r="W153" s="36" t="s">
        <v>86</v>
      </c>
      <c r="X153" s="36"/>
      <c r="Y153" s="36" t="s">
        <v>520</v>
      </c>
    </row>
    <row r="154" spans="1:25" x14ac:dyDescent="0.3">
      <c r="A154" s="36" t="s">
        <v>521</v>
      </c>
      <c r="B154" s="36">
        <v>21</v>
      </c>
      <c r="C154" s="36" t="str">
        <f t="shared" si="8"/>
        <v>18-24</v>
      </c>
      <c r="D154" s="36" t="s">
        <v>133</v>
      </c>
      <c r="E154" s="36"/>
      <c r="F154" s="36" t="s">
        <v>46</v>
      </c>
      <c r="G154" s="36" t="s">
        <v>159</v>
      </c>
      <c r="H154" s="36" t="s">
        <v>188</v>
      </c>
      <c r="I154" s="36" t="s">
        <v>91</v>
      </c>
      <c r="J154" s="37">
        <v>59</v>
      </c>
      <c r="K154" s="36" t="s">
        <v>24</v>
      </c>
      <c r="L154" s="36" t="s">
        <v>37</v>
      </c>
      <c r="M154" s="38">
        <v>3</v>
      </c>
      <c r="N154" s="38">
        <v>8.4</v>
      </c>
      <c r="O154" s="39">
        <f t="shared" si="9"/>
        <v>0.35714285714285715</v>
      </c>
      <c r="P154" s="40">
        <v>25</v>
      </c>
      <c r="Q154" s="36" t="str">
        <f t="shared" si="10"/>
        <v>Paid</v>
      </c>
      <c r="R154" s="38">
        <v>4.5</v>
      </c>
      <c r="S154" s="36">
        <v>4</v>
      </c>
      <c r="T154" s="36">
        <v>7</v>
      </c>
      <c r="U154" s="38">
        <v>4.9000000000000004</v>
      </c>
      <c r="V154" s="41">
        <f t="shared" si="11"/>
        <v>0.23333333333333334</v>
      </c>
      <c r="W154" s="36" t="s">
        <v>86</v>
      </c>
      <c r="X154" s="36"/>
      <c r="Y154" s="36" t="s">
        <v>522</v>
      </c>
    </row>
    <row r="155" spans="1:25" x14ac:dyDescent="0.3">
      <c r="A155" s="36" t="s">
        <v>523</v>
      </c>
      <c r="B155" s="36">
        <v>55</v>
      </c>
      <c r="C155" s="36" t="str">
        <f t="shared" si="8"/>
        <v>45+</v>
      </c>
      <c r="D155" s="36" t="s">
        <v>133</v>
      </c>
      <c r="E155" s="36" t="s">
        <v>66</v>
      </c>
      <c r="F155" s="36" t="s">
        <v>47</v>
      </c>
      <c r="G155" s="36" t="s">
        <v>134</v>
      </c>
      <c r="H155" s="36" t="s">
        <v>524</v>
      </c>
      <c r="I155" s="36" t="s">
        <v>93</v>
      </c>
      <c r="J155" s="37">
        <v>2116</v>
      </c>
      <c r="K155" s="36" t="s">
        <v>25</v>
      </c>
      <c r="L155" s="36" t="s">
        <v>39</v>
      </c>
      <c r="M155" s="38">
        <v>1.4</v>
      </c>
      <c r="N155" s="38">
        <v>8.3000000000000007</v>
      </c>
      <c r="O155" s="39">
        <f t="shared" si="9"/>
        <v>0.16867469879518071</v>
      </c>
      <c r="P155" s="40">
        <v>0</v>
      </c>
      <c r="Q155" s="36" t="str">
        <f t="shared" si="10"/>
        <v>Free</v>
      </c>
      <c r="R155" s="38">
        <v>3.9</v>
      </c>
      <c r="S155" s="36">
        <v>2</v>
      </c>
      <c r="T155" s="36">
        <v>4</v>
      </c>
      <c r="U155" s="38">
        <v>1.6</v>
      </c>
      <c r="V155" s="41">
        <f t="shared" si="11"/>
        <v>0.16326530612244899</v>
      </c>
      <c r="W155" s="36" t="s">
        <v>86</v>
      </c>
      <c r="X155" s="36"/>
      <c r="Y155" s="36" t="s">
        <v>525</v>
      </c>
    </row>
    <row r="156" spans="1:25" x14ac:dyDescent="0.3">
      <c r="A156" s="36" t="s">
        <v>526</v>
      </c>
      <c r="B156" s="36">
        <v>29</v>
      </c>
      <c r="C156" s="36" t="str">
        <f t="shared" si="8"/>
        <v>25-34</v>
      </c>
      <c r="D156" s="36" t="s">
        <v>277</v>
      </c>
      <c r="E156" s="36" t="s">
        <v>67</v>
      </c>
      <c r="F156" s="36" t="s">
        <v>47</v>
      </c>
      <c r="G156" s="36" t="s">
        <v>138</v>
      </c>
      <c r="H156" s="36" t="s">
        <v>301</v>
      </c>
      <c r="I156" s="36" t="s">
        <v>93</v>
      </c>
      <c r="J156" s="37">
        <v>765</v>
      </c>
      <c r="K156" s="36" t="s">
        <v>26</v>
      </c>
      <c r="L156" s="36" t="s">
        <v>41</v>
      </c>
      <c r="M156" s="38">
        <v>2.8</v>
      </c>
      <c r="N156" s="38">
        <v>11.3</v>
      </c>
      <c r="O156" s="39">
        <f t="shared" si="9"/>
        <v>0.247787610619469</v>
      </c>
      <c r="P156" s="40">
        <v>0</v>
      </c>
      <c r="Q156" s="36" t="str">
        <f t="shared" si="10"/>
        <v>Free</v>
      </c>
      <c r="R156" s="38">
        <v>6.6</v>
      </c>
      <c r="S156" s="36">
        <v>4</v>
      </c>
      <c r="T156" s="36">
        <v>9</v>
      </c>
      <c r="U156" s="38">
        <v>9.4</v>
      </c>
      <c r="V156" s="41">
        <f t="shared" si="11"/>
        <v>0.47959183673469397</v>
      </c>
      <c r="W156" s="36" t="s">
        <v>86</v>
      </c>
      <c r="X156" s="36"/>
      <c r="Y156" s="36" t="s">
        <v>527</v>
      </c>
    </row>
    <row r="157" spans="1:25" x14ac:dyDescent="0.3">
      <c r="A157" s="36" t="s">
        <v>528</v>
      </c>
      <c r="B157" s="36">
        <v>63</v>
      </c>
      <c r="C157" s="36" t="str">
        <f t="shared" si="8"/>
        <v>45+</v>
      </c>
      <c r="D157" s="36" t="s">
        <v>133</v>
      </c>
      <c r="E157" s="36" t="s">
        <v>68</v>
      </c>
      <c r="F157" s="36" t="s">
        <v>47</v>
      </c>
      <c r="G157" s="36" t="s">
        <v>138</v>
      </c>
      <c r="H157" s="36" t="s">
        <v>529</v>
      </c>
      <c r="I157" s="36" t="s">
        <v>91</v>
      </c>
      <c r="J157" s="37">
        <v>7178</v>
      </c>
      <c r="K157" s="36" t="s">
        <v>24</v>
      </c>
      <c r="L157" s="36" t="s">
        <v>37</v>
      </c>
      <c r="M157" s="38">
        <v>2.2999999999999998</v>
      </c>
      <c r="N157" s="38">
        <v>5.9</v>
      </c>
      <c r="O157" s="39">
        <f t="shared" si="9"/>
        <v>0.38983050847457623</v>
      </c>
      <c r="P157" s="40"/>
      <c r="Q157" s="36" t="str">
        <f t="shared" si="10"/>
        <v/>
      </c>
      <c r="R157" s="38">
        <v>4.8</v>
      </c>
      <c r="S157" s="36">
        <v>3</v>
      </c>
      <c r="T157" s="36">
        <v>5</v>
      </c>
      <c r="U157" s="38">
        <v>2</v>
      </c>
      <c r="V157" s="41">
        <f t="shared" si="11"/>
        <v>0.12422360248447206</v>
      </c>
      <c r="W157" s="36" t="s">
        <v>88</v>
      </c>
      <c r="X157" s="36"/>
      <c r="Y157" s="36" t="s">
        <v>530</v>
      </c>
    </row>
    <row r="158" spans="1:25" x14ac:dyDescent="0.3">
      <c r="A158" s="36" t="s">
        <v>531</v>
      </c>
      <c r="B158" s="36">
        <v>26</v>
      </c>
      <c r="C158" s="36" t="str">
        <f t="shared" si="8"/>
        <v>25-34</v>
      </c>
      <c r="D158" s="36" t="s">
        <v>133</v>
      </c>
      <c r="E158" s="36" t="s">
        <v>64</v>
      </c>
      <c r="F158" s="36" t="s">
        <v>46</v>
      </c>
      <c r="G158" s="36"/>
      <c r="H158" s="36" t="s">
        <v>171</v>
      </c>
      <c r="I158" s="36" t="s">
        <v>95</v>
      </c>
      <c r="J158" s="37">
        <v>54</v>
      </c>
      <c r="K158" s="36" t="s">
        <v>24</v>
      </c>
      <c r="L158" s="36" t="s">
        <v>39</v>
      </c>
      <c r="M158" s="38">
        <v>2.7</v>
      </c>
      <c r="N158" s="38">
        <v>6.9</v>
      </c>
      <c r="O158" s="39">
        <f t="shared" si="9"/>
        <v>0.39130434782608697</v>
      </c>
      <c r="P158" s="40">
        <v>20</v>
      </c>
      <c r="Q158" s="36" t="str">
        <f t="shared" si="10"/>
        <v>Paid</v>
      </c>
      <c r="R158" s="38"/>
      <c r="S158" s="36">
        <v>3</v>
      </c>
      <c r="T158" s="36">
        <v>5</v>
      </c>
      <c r="U158" s="38">
        <v>5</v>
      </c>
      <c r="V158" s="41">
        <f t="shared" si="11"/>
        <v>0.26455026455026454</v>
      </c>
      <c r="W158" s="36" t="s">
        <v>87</v>
      </c>
      <c r="X158" s="36"/>
      <c r="Y158" s="36" t="s">
        <v>532</v>
      </c>
    </row>
    <row r="159" spans="1:25" x14ac:dyDescent="0.3">
      <c r="A159" s="36" t="s">
        <v>533</v>
      </c>
      <c r="B159" s="36">
        <v>21</v>
      </c>
      <c r="C159" s="36" t="str">
        <f t="shared" si="8"/>
        <v>18-24</v>
      </c>
      <c r="D159" s="36" t="s">
        <v>133</v>
      </c>
      <c r="E159" s="36" t="s">
        <v>62</v>
      </c>
      <c r="F159" s="36" t="s">
        <v>46</v>
      </c>
      <c r="G159" s="36" t="s">
        <v>148</v>
      </c>
      <c r="H159" s="36" t="s">
        <v>149</v>
      </c>
      <c r="I159" s="36" t="s">
        <v>94</v>
      </c>
      <c r="J159" s="37">
        <v>98</v>
      </c>
      <c r="K159" s="36" t="s">
        <v>26</v>
      </c>
      <c r="L159" s="36"/>
      <c r="M159" s="38">
        <v>4.0999999999999996</v>
      </c>
      <c r="N159" s="38">
        <v>4.5999999999999996</v>
      </c>
      <c r="O159" s="39">
        <f t="shared" si="9"/>
        <v>0.89130434782608692</v>
      </c>
      <c r="P159" s="40">
        <v>0</v>
      </c>
      <c r="Q159" s="36" t="str">
        <f t="shared" si="10"/>
        <v>Free</v>
      </c>
      <c r="R159" s="38">
        <v>6.2</v>
      </c>
      <c r="S159" s="36">
        <v>4</v>
      </c>
      <c r="T159" s="36">
        <v>7</v>
      </c>
      <c r="U159" s="38">
        <v>4.3</v>
      </c>
      <c r="V159" s="41">
        <f t="shared" si="11"/>
        <v>0.14982578397212545</v>
      </c>
      <c r="W159" s="36" t="s">
        <v>86</v>
      </c>
      <c r="X159" s="36"/>
      <c r="Y159" s="36" t="s">
        <v>534</v>
      </c>
    </row>
    <row r="160" spans="1:25" x14ac:dyDescent="0.3">
      <c r="A160" s="36" t="s">
        <v>535</v>
      </c>
      <c r="B160" s="36">
        <v>17</v>
      </c>
      <c r="C160" s="36" t="str">
        <f t="shared" si="8"/>
        <v>Under 18</v>
      </c>
      <c r="D160" s="36" t="s">
        <v>144</v>
      </c>
      <c r="E160" s="36" t="s">
        <v>63</v>
      </c>
      <c r="F160" s="36" t="s">
        <v>46</v>
      </c>
      <c r="G160" s="36" t="s">
        <v>245</v>
      </c>
      <c r="H160" s="36" t="s">
        <v>536</v>
      </c>
      <c r="I160" s="36" t="s">
        <v>94</v>
      </c>
      <c r="J160" s="37">
        <v>518</v>
      </c>
      <c r="K160" s="36"/>
      <c r="L160" s="36" t="s">
        <v>38</v>
      </c>
      <c r="M160" s="38">
        <v>3.2</v>
      </c>
      <c r="N160" s="38">
        <v>20</v>
      </c>
      <c r="O160" s="39">
        <f t="shared" si="9"/>
        <v>0.16</v>
      </c>
      <c r="P160" s="40">
        <v>20</v>
      </c>
      <c r="Q160" s="36" t="str">
        <f t="shared" si="10"/>
        <v>Paid</v>
      </c>
      <c r="R160" s="38">
        <v>5.2</v>
      </c>
      <c r="S160" s="36">
        <v>4</v>
      </c>
      <c r="T160" s="36">
        <v>8</v>
      </c>
      <c r="U160" s="38">
        <v>4.8</v>
      </c>
      <c r="V160" s="41">
        <f t="shared" si="11"/>
        <v>0.21428571428571425</v>
      </c>
      <c r="W160" s="36" t="s">
        <v>86</v>
      </c>
      <c r="X160" s="36"/>
      <c r="Y160" s="36" t="s">
        <v>537</v>
      </c>
    </row>
    <row r="161" spans="1:25" x14ac:dyDescent="0.3">
      <c r="A161" s="36" t="s">
        <v>538</v>
      </c>
      <c r="B161" s="36">
        <v>39</v>
      </c>
      <c r="C161" s="36" t="str">
        <f t="shared" si="8"/>
        <v>35-44</v>
      </c>
      <c r="D161" s="36" t="s">
        <v>133</v>
      </c>
      <c r="E161" s="36" t="s">
        <v>69</v>
      </c>
      <c r="F161" s="36" t="s">
        <v>47</v>
      </c>
      <c r="G161" s="36" t="s">
        <v>159</v>
      </c>
      <c r="H161" s="36" t="s">
        <v>227</v>
      </c>
      <c r="I161" s="36" t="s">
        <v>94</v>
      </c>
      <c r="J161" s="37">
        <v>488</v>
      </c>
      <c r="K161" s="36" t="s">
        <v>31</v>
      </c>
      <c r="L161" s="36" t="s">
        <v>39</v>
      </c>
      <c r="M161" s="38">
        <v>1.2</v>
      </c>
      <c r="N161" s="38">
        <v>6.8</v>
      </c>
      <c r="O161" s="39">
        <f t="shared" si="9"/>
        <v>0.17647058823529413</v>
      </c>
      <c r="P161" s="40">
        <v>20</v>
      </c>
      <c r="Q161" s="36" t="str">
        <f t="shared" si="10"/>
        <v>Paid</v>
      </c>
      <c r="R161" s="38">
        <v>3.4</v>
      </c>
      <c r="S161" s="36">
        <v>3</v>
      </c>
      <c r="T161" s="36"/>
      <c r="U161" s="38">
        <v>2.9</v>
      </c>
      <c r="V161" s="41">
        <f t="shared" si="11"/>
        <v>0.34523809523809523</v>
      </c>
      <c r="W161" s="36" t="s">
        <v>87</v>
      </c>
      <c r="X161" s="36"/>
      <c r="Y161" s="36" t="s">
        <v>539</v>
      </c>
    </row>
    <row r="162" spans="1:25" x14ac:dyDescent="0.3">
      <c r="A162" s="36" t="s">
        <v>540</v>
      </c>
      <c r="B162" s="36">
        <v>17</v>
      </c>
      <c r="C162" s="36" t="str">
        <f t="shared" si="8"/>
        <v>Under 18</v>
      </c>
      <c r="D162" s="36" t="s">
        <v>133</v>
      </c>
      <c r="E162" s="36" t="s">
        <v>64</v>
      </c>
      <c r="F162" s="36" t="s">
        <v>46</v>
      </c>
      <c r="G162" s="36" t="s">
        <v>138</v>
      </c>
      <c r="H162" s="36" t="s">
        <v>230</v>
      </c>
      <c r="I162" s="36" t="s">
        <v>95</v>
      </c>
      <c r="J162" s="37">
        <v>75</v>
      </c>
      <c r="K162" s="36" t="s">
        <v>26</v>
      </c>
      <c r="L162" s="36" t="s">
        <v>38</v>
      </c>
      <c r="M162" s="38">
        <v>5.9</v>
      </c>
      <c r="N162" s="38"/>
      <c r="O162" s="39" t="str">
        <f t="shared" si="9"/>
        <v/>
      </c>
      <c r="P162" s="40">
        <v>0</v>
      </c>
      <c r="Q162" s="36" t="str">
        <f t="shared" si="10"/>
        <v>Free</v>
      </c>
      <c r="R162" s="38">
        <v>6.1</v>
      </c>
      <c r="S162" s="36">
        <v>2</v>
      </c>
      <c r="T162" s="36">
        <v>5</v>
      </c>
      <c r="U162" s="38">
        <v>12.1</v>
      </c>
      <c r="V162" s="41">
        <f t="shared" si="11"/>
        <v>0.29297820823244547</v>
      </c>
      <c r="W162" s="36" t="s">
        <v>88</v>
      </c>
      <c r="X162" s="36"/>
      <c r="Y162" s="36" t="s">
        <v>541</v>
      </c>
    </row>
    <row r="163" spans="1:25" x14ac:dyDescent="0.3">
      <c r="A163" s="36" t="s">
        <v>542</v>
      </c>
      <c r="B163" s="36">
        <v>18</v>
      </c>
      <c r="C163" s="36" t="str">
        <f t="shared" si="8"/>
        <v>18-24</v>
      </c>
      <c r="D163" s="36" t="s">
        <v>144</v>
      </c>
      <c r="E163" s="36" t="s">
        <v>61</v>
      </c>
      <c r="F163" s="36" t="s">
        <v>46</v>
      </c>
      <c r="G163" s="36" t="s">
        <v>148</v>
      </c>
      <c r="H163" s="36" t="s">
        <v>235</v>
      </c>
      <c r="I163" s="36" t="s">
        <v>92</v>
      </c>
      <c r="J163" s="37">
        <v>66</v>
      </c>
      <c r="K163" s="36" t="s">
        <v>24</v>
      </c>
      <c r="L163" s="36"/>
      <c r="M163" s="38">
        <v>1.1000000000000001</v>
      </c>
      <c r="N163" s="38">
        <v>6.3</v>
      </c>
      <c r="O163" s="39">
        <f t="shared" si="9"/>
        <v>0.17460317460317462</v>
      </c>
      <c r="P163" s="40">
        <v>20</v>
      </c>
      <c r="Q163" s="36" t="str">
        <f t="shared" si="10"/>
        <v>Paid</v>
      </c>
      <c r="R163" s="38">
        <v>4.0999999999999996</v>
      </c>
      <c r="S163" s="36"/>
      <c r="T163" s="36">
        <v>7</v>
      </c>
      <c r="U163" s="38">
        <v>5.6</v>
      </c>
      <c r="V163" s="41">
        <f t="shared" si="11"/>
        <v>0.72727272727272707</v>
      </c>
      <c r="W163" s="36" t="s">
        <v>86</v>
      </c>
      <c r="X163" s="36"/>
      <c r="Y163" s="36" t="s">
        <v>543</v>
      </c>
    </row>
    <row r="164" spans="1:25" x14ac:dyDescent="0.3">
      <c r="A164" s="36" t="s">
        <v>544</v>
      </c>
      <c r="B164" s="36"/>
      <c r="C164" s="36" t="str">
        <f t="shared" si="8"/>
        <v/>
      </c>
      <c r="D164" s="36" t="s">
        <v>144</v>
      </c>
      <c r="E164" s="36" t="s">
        <v>68</v>
      </c>
      <c r="F164" s="36" t="s">
        <v>46</v>
      </c>
      <c r="G164" s="36" t="s">
        <v>148</v>
      </c>
      <c r="H164" s="36" t="s">
        <v>545</v>
      </c>
      <c r="I164" s="36" t="s">
        <v>94</v>
      </c>
      <c r="J164" s="37">
        <v>133</v>
      </c>
      <c r="K164" s="36" t="s">
        <v>24</v>
      </c>
      <c r="L164" s="36" t="s">
        <v>38</v>
      </c>
      <c r="M164" s="38">
        <v>1.2</v>
      </c>
      <c r="N164" s="38">
        <v>7.1</v>
      </c>
      <c r="O164" s="39">
        <f t="shared" si="9"/>
        <v>0.16901408450704225</v>
      </c>
      <c r="P164" s="40">
        <v>0</v>
      </c>
      <c r="Q164" s="36" t="str">
        <f t="shared" si="10"/>
        <v>Free</v>
      </c>
      <c r="R164" s="38">
        <v>2.6</v>
      </c>
      <c r="S164" s="36">
        <v>4</v>
      </c>
      <c r="T164" s="36">
        <v>7</v>
      </c>
      <c r="U164" s="38">
        <v>5.3</v>
      </c>
      <c r="V164" s="41">
        <f t="shared" si="11"/>
        <v>0.63095238095238093</v>
      </c>
      <c r="W164" s="36" t="s">
        <v>86</v>
      </c>
      <c r="X164" s="36"/>
      <c r="Y164" s="36" t="s">
        <v>546</v>
      </c>
    </row>
    <row r="165" spans="1:25" x14ac:dyDescent="0.3">
      <c r="A165" s="36" t="s">
        <v>547</v>
      </c>
      <c r="B165" s="36">
        <v>16</v>
      </c>
      <c r="C165" s="36" t="str">
        <f t="shared" si="8"/>
        <v>Under 18</v>
      </c>
      <c r="D165" s="36" t="s">
        <v>133</v>
      </c>
      <c r="E165" s="36" t="s">
        <v>61</v>
      </c>
      <c r="F165" s="36" t="s">
        <v>46</v>
      </c>
      <c r="G165" s="36" t="s">
        <v>134</v>
      </c>
      <c r="H165" s="36" t="s">
        <v>548</v>
      </c>
      <c r="I165" s="36" t="s">
        <v>94</v>
      </c>
      <c r="J165" s="37">
        <v>96</v>
      </c>
      <c r="K165" s="36" t="s">
        <v>24</v>
      </c>
      <c r="L165" s="36" t="s">
        <v>38</v>
      </c>
      <c r="M165" s="38">
        <v>0.7</v>
      </c>
      <c r="N165" s="38"/>
      <c r="O165" s="39" t="str">
        <f t="shared" si="9"/>
        <v/>
      </c>
      <c r="P165" s="40">
        <v>0</v>
      </c>
      <c r="Q165" s="36" t="str">
        <f t="shared" si="10"/>
        <v>Free</v>
      </c>
      <c r="R165" s="38">
        <v>4.3</v>
      </c>
      <c r="S165" s="36">
        <v>4</v>
      </c>
      <c r="T165" s="36">
        <v>7</v>
      </c>
      <c r="U165" s="38">
        <v>0</v>
      </c>
      <c r="V165" s="41">
        <f t="shared" si="11"/>
        <v>0</v>
      </c>
      <c r="W165" s="36" t="s">
        <v>86</v>
      </c>
      <c r="X165" s="36"/>
      <c r="Y165" s="36" t="s">
        <v>549</v>
      </c>
    </row>
    <row r="166" spans="1:25" x14ac:dyDescent="0.3">
      <c r="A166" s="36" t="s">
        <v>550</v>
      </c>
      <c r="B166" s="36">
        <v>23</v>
      </c>
      <c r="C166" s="36" t="str">
        <f t="shared" si="8"/>
        <v>18-24</v>
      </c>
      <c r="D166" s="36" t="s">
        <v>133</v>
      </c>
      <c r="E166" s="36" t="s">
        <v>65</v>
      </c>
      <c r="F166" s="36" t="s">
        <v>46</v>
      </c>
      <c r="G166" s="36" t="s">
        <v>138</v>
      </c>
      <c r="H166" s="36" t="s">
        <v>188</v>
      </c>
      <c r="I166" s="36" t="s">
        <v>91</v>
      </c>
      <c r="J166" s="37">
        <v>504</v>
      </c>
      <c r="K166" s="36" t="s">
        <v>24</v>
      </c>
      <c r="L166" s="36"/>
      <c r="M166" s="38">
        <v>0.6</v>
      </c>
      <c r="N166" s="38">
        <v>4.5</v>
      </c>
      <c r="O166" s="39">
        <f t="shared" si="9"/>
        <v>0.13333333333333333</v>
      </c>
      <c r="P166" s="40">
        <v>20</v>
      </c>
      <c r="Q166" s="36" t="str">
        <f t="shared" si="10"/>
        <v>Paid</v>
      </c>
      <c r="R166" s="38">
        <v>1.9</v>
      </c>
      <c r="S166" s="36">
        <v>3</v>
      </c>
      <c r="T166" s="36">
        <v>4</v>
      </c>
      <c r="U166" s="38">
        <v>0</v>
      </c>
      <c r="V166" s="41">
        <f t="shared" si="11"/>
        <v>0</v>
      </c>
      <c r="W166" s="36" t="s">
        <v>86</v>
      </c>
      <c r="X166" s="36"/>
      <c r="Y166" s="36" t="s">
        <v>551</v>
      </c>
    </row>
    <row r="167" spans="1:25" x14ac:dyDescent="0.3">
      <c r="A167" s="36" t="s">
        <v>552</v>
      </c>
      <c r="B167" s="36">
        <v>24</v>
      </c>
      <c r="C167" s="36" t="str">
        <f t="shared" si="8"/>
        <v>18-24</v>
      </c>
      <c r="D167" s="36" t="s">
        <v>144</v>
      </c>
      <c r="E167" s="36" t="s">
        <v>64</v>
      </c>
      <c r="F167" s="36" t="s">
        <v>46</v>
      </c>
      <c r="G167" s="36"/>
      <c r="H167" s="36" t="s">
        <v>188</v>
      </c>
      <c r="I167" s="36" t="s">
        <v>91</v>
      </c>
      <c r="J167" s="37">
        <v>95</v>
      </c>
      <c r="K167" s="36" t="s">
        <v>26</v>
      </c>
      <c r="L167" s="36" t="s">
        <v>37</v>
      </c>
      <c r="M167" s="38">
        <v>3.7</v>
      </c>
      <c r="N167" s="38">
        <v>9</v>
      </c>
      <c r="O167" s="39">
        <f t="shared" si="9"/>
        <v>0.41111111111111115</v>
      </c>
      <c r="P167" s="40">
        <v>0</v>
      </c>
      <c r="Q167" s="36" t="str">
        <f t="shared" si="10"/>
        <v>Free</v>
      </c>
      <c r="R167" s="38">
        <v>7.7</v>
      </c>
      <c r="S167" s="36">
        <v>4</v>
      </c>
      <c r="T167" s="36">
        <v>7</v>
      </c>
      <c r="U167" s="38">
        <v>9.9</v>
      </c>
      <c r="V167" s="41">
        <f t="shared" si="11"/>
        <v>0.3822393822393822</v>
      </c>
      <c r="W167" s="36" t="s">
        <v>87</v>
      </c>
      <c r="X167" s="36"/>
      <c r="Y167" s="36" t="s">
        <v>553</v>
      </c>
    </row>
    <row r="168" spans="1:25" x14ac:dyDescent="0.3">
      <c r="A168" s="36" t="s">
        <v>554</v>
      </c>
      <c r="B168" s="36">
        <v>20</v>
      </c>
      <c r="C168" s="36" t="str">
        <f t="shared" si="8"/>
        <v>18-24</v>
      </c>
      <c r="D168" s="36" t="s">
        <v>133</v>
      </c>
      <c r="E168" s="36" t="s">
        <v>66</v>
      </c>
      <c r="F168" s="36" t="s">
        <v>46</v>
      </c>
      <c r="G168" s="36" t="s">
        <v>245</v>
      </c>
      <c r="H168" s="36" t="s">
        <v>555</v>
      </c>
      <c r="I168" s="36" t="s">
        <v>92</v>
      </c>
      <c r="J168" s="37">
        <v>238</v>
      </c>
      <c r="K168" s="36" t="s">
        <v>27</v>
      </c>
      <c r="L168" s="36" t="s">
        <v>40</v>
      </c>
      <c r="M168" s="38">
        <v>1</v>
      </c>
      <c r="N168" s="38">
        <v>6.2</v>
      </c>
      <c r="O168" s="39">
        <f t="shared" si="9"/>
        <v>0.16129032258064516</v>
      </c>
      <c r="P168" s="40">
        <v>0</v>
      </c>
      <c r="Q168" s="36" t="str">
        <f t="shared" si="10"/>
        <v>Free</v>
      </c>
      <c r="R168" s="38"/>
      <c r="S168" s="36"/>
      <c r="T168" s="36">
        <v>6</v>
      </c>
      <c r="U168" s="38">
        <v>2.7</v>
      </c>
      <c r="V168" s="41">
        <f t="shared" si="11"/>
        <v>0.38571428571428573</v>
      </c>
      <c r="W168" s="36" t="s">
        <v>87</v>
      </c>
      <c r="X168" s="36"/>
      <c r="Y168" s="36"/>
    </row>
    <row r="169" spans="1:25" x14ac:dyDescent="0.3">
      <c r="A169" s="36" t="s">
        <v>556</v>
      </c>
      <c r="B169" s="36">
        <v>23</v>
      </c>
      <c r="C169" s="36" t="str">
        <f t="shared" si="8"/>
        <v>18-24</v>
      </c>
      <c r="D169" s="36" t="s">
        <v>144</v>
      </c>
      <c r="E169" s="36" t="s">
        <v>64</v>
      </c>
      <c r="F169" s="36" t="s">
        <v>46</v>
      </c>
      <c r="G169" s="36" t="s">
        <v>159</v>
      </c>
      <c r="H169" s="36" t="s">
        <v>149</v>
      </c>
      <c r="I169" s="36" t="s">
        <v>94</v>
      </c>
      <c r="J169" s="37">
        <v>0</v>
      </c>
      <c r="K169" s="36" t="s">
        <v>25</v>
      </c>
      <c r="L169" s="36" t="s">
        <v>38</v>
      </c>
      <c r="M169" s="38">
        <v>0.8</v>
      </c>
      <c r="N169" s="38">
        <v>8.6</v>
      </c>
      <c r="O169" s="39">
        <f t="shared" si="9"/>
        <v>9.3023255813953501E-2</v>
      </c>
      <c r="P169" s="40">
        <v>20</v>
      </c>
      <c r="Q169" s="36" t="str">
        <f t="shared" si="10"/>
        <v>Paid</v>
      </c>
      <c r="R169" s="38">
        <v>4.3</v>
      </c>
      <c r="S169" s="36">
        <v>4</v>
      </c>
      <c r="T169" s="36">
        <v>5</v>
      </c>
      <c r="U169" s="38">
        <v>2.9</v>
      </c>
      <c r="V169" s="41">
        <f t="shared" si="11"/>
        <v>0.51785714285714279</v>
      </c>
      <c r="W169" s="36" t="s">
        <v>86</v>
      </c>
      <c r="X169" s="36"/>
      <c r="Y169" s="36" t="s">
        <v>557</v>
      </c>
    </row>
    <row r="170" spans="1:25" x14ac:dyDescent="0.3">
      <c r="A170" s="36" t="s">
        <v>558</v>
      </c>
      <c r="B170" s="36">
        <v>22</v>
      </c>
      <c r="C170" s="36" t="str">
        <f t="shared" si="8"/>
        <v>18-24</v>
      </c>
      <c r="D170" s="36" t="s">
        <v>144</v>
      </c>
      <c r="E170" s="36"/>
      <c r="F170" s="36" t="s">
        <v>46</v>
      </c>
      <c r="G170" s="36" t="s">
        <v>138</v>
      </c>
      <c r="H170" s="36" t="s">
        <v>559</v>
      </c>
      <c r="I170" s="36" t="s">
        <v>91</v>
      </c>
      <c r="J170" s="37">
        <v>0</v>
      </c>
      <c r="K170" s="36" t="s">
        <v>24</v>
      </c>
      <c r="L170" s="36" t="s">
        <v>37</v>
      </c>
      <c r="M170" s="38">
        <v>2.5</v>
      </c>
      <c r="N170" s="38">
        <v>7.8</v>
      </c>
      <c r="O170" s="39">
        <f t="shared" si="9"/>
        <v>0.32051282051282054</v>
      </c>
      <c r="P170" s="40">
        <v>10</v>
      </c>
      <c r="Q170" s="36" t="str">
        <f t="shared" si="10"/>
        <v>Paid</v>
      </c>
      <c r="R170" s="38">
        <v>5.2</v>
      </c>
      <c r="S170" s="36">
        <v>2</v>
      </c>
      <c r="T170" s="36">
        <v>5</v>
      </c>
      <c r="U170" s="38">
        <v>4.4000000000000004</v>
      </c>
      <c r="V170" s="41">
        <f t="shared" si="11"/>
        <v>0.25142857142857145</v>
      </c>
      <c r="W170" s="36" t="s">
        <v>88</v>
      </c>
      <c r="X170" s="36"/>
      <c r="Y170" s="36" t="s">
        <v>560</v>
      </c>
    </row>
    <row r="171" spans="1:25" x14ac:dyDescent="0.3">
      <c r="A171" s="36" t="s">
        <v>561</v>
      </c>
      <c r="B171" s="36">
        <v>23</v>
      </c>
      <c r="C171" s="36" t="str">
        <f t="shared" si="8"/>
        <v>18-24</v>
      </c>
      <c r="D171" s="36" t="s">
        <v>144</v>
      </c>
      <c r="E171" s="36" t="s">
        <v>61</v>
      </c>
      <c r="F171" s="36" t="s">
        <v>46</v>
      </c>
      <c r="G171" s="36" t="s">
        <v>148</v>
      </c>
      <c r="H171" s="36" t="s">
        <v>439</v>
      </c>
      <c r="I171" s="36" t="s">
        <v>91</v>
      </c>
      <c r="J171" s="37">
        <v>100</v>
      </c>
      <c r="K171" s="36" t="s">
        <v>28</v>
      </c>
      <c r="L171" s="36" t="s">
        <v>40</v>
      </c>
      <c r="M171" s="38"/>
      <c r="N171" s="38">
        <v>6</v>
      </c>
      <c r="O171" s="39" t="str">
        <f t="shared" si="9"/>
        <v/>
      </c>
      <c r="P171" s="40">
        <v>25</v>
      </c>
      <c r="Q171" s="36" t="str">
        <f t="shared" si="10"/>
        <v>Paid</v>
      </c>
      <c r="R171" s="38">
        <v>4.7</v>
      </c>
      <c r="S171" s="36">
        <v>3</v>
      </c>
      <c r="T171" s="36">
        <v>5</v>
      </c>
      <c r="U171" s="38">
        <v>2.1</v>
      </c>
      <c r="V171" s="41" t="str">
        <f t="shared" si="11"/>
        <v/>
      </c>
      <c r="W171" s="36" t="s">
        <v>86</v>
      </c>
      <c r="X171" s="36"/>
      <c r="Y171" s="36" t="s">
        <v>562</v>
      </c>
    </row>
    <row r="172" spans="1:25" x14ac:dyDescent="0.3">
      <c r="A172" s="36" t="s">
        <v>563</v>
      </c>
      <c r="B172" s="36">
        <v>61</v>
      </c>
      <c r="C172" s="36" t="str">
        <f t="shared" si="8"/>
        <v>45+</v>
      </c>
      <c r="D172" s="36" t="s">
        <v>144</v>
      </c>
      <c r="E172" s="36" t="s">
        <v>66</v>
      </c>
      <c r="F172" s="36" t="s">
        <v>47</v>
      </c>
      <c r="G172" s="36" t="s">
        <v>134</v>
      </c>
      <c r="H172" s="36" t="s">
        <v>564</v>
      </c>
      <c r="I172" s="36" t="s">
        <v>93</v>
      </c>
      <c r="J172" s="37">
        <v>1884</v>
      </c>
      <c r="K172" s="36" t="s">
        <v>25</v>
      </c>
      <c r="L172" s="36" t="s">
        <v>41</v>
      </c>
      <c r="M172" s="38">
        <v>1.5</v>
      </c>
      <c r="N172" s="38">
        <v>7.7</v>
      </c>
      <c r="O172" s="39">
        <f t="shared" si="9"/>
        <v>0.19480519480519481</v>
      </c>
      <c r="P172" s="40">
        <v>10</v>
      </c>
      <c r="Q172" s="36" t="str">
        <f t="shared" si="10"/>
        <v>Paid</v>
      </c>
      <c r="R172" s="38">
        <v>4.9000000000000004</v>
      </c>
      <c r="S172" s="36"/>
      <c r="T172" s="36">
        <v>4</v>
      </c>
      <c r="U172" s="38"/>
      <c r="V172" s="41" t="str">
        <f t="shared" si="11"/>
        <v/>
      </c>
      <c r="W172" s="36" t="s">
        <v>86</v>
      </c>
      <c r="X172" s="36"/>
      <c r="Y172" s="36" t="s">
        <v>565</v>
      </c>
    </row>
    <row r="173" spans="1:25" x14ac:dyDescent="0.3">
      <c r="A173" s="36" t="s">
        <v>566</v>
      </c>
      <c r="B173" s="36">
        <v>17</v>
      </c>
      <c r="C173" s="36" t="str">
        <f t="shared" si="8"/>
        <v>Under 18</v>
      </c>
      <c r="D173" s="36" t="s">
        <v>133</v>
      </c>
      <c r="E173" s="36"/>
      <c r="F173" s="36" t="s">
        <v>46</v>
      </c>
      <c r="G173" s="36" t="s">
        <v>148</v>
      </c>
      <c r="H173" s="36" t="s">
        <v>567</v>
      </c>
      <c r="I173" s="36" t="s">
        <v>91</v>
      </c>
      <c r="J173" s="37">
        <v>387</v>
      </c>
      <c r="K173" s="36" t="s">
        <v>26</v>
      </c>
      <c r="L173" s="36" t="s">
        <v>40</v>
      </c>
      <c r="M173" s="38">
        <v>1.5</v>
      </c>
      <c r="N173" s="38"/>
      <c r="O173" s="39" t="str">
        <f t="shared" si="9"/>
        <v/>
      </c>
      <c r="P173" s="40">
        <v>10</v>
      </c>
      <c r="Q173" s="36" t="str">
        <f t="shared" si="10"/>
        <v>Paid</v>
      </c>
      <c r="R173" s="38">
        <v>6.2</v>
      </c>
      <c r="S173" s="36">
        <v>3</v>
      </c>
      <c r="T173" s="36">
        <v>6</v>
      </c>
      <c r="U173" s="38">
        <v>7.5</v>
      </c>
      <c r="V173" s="41">
        <f t="shared" si="11"/>
        <v>0.7142857142857143</v>
      </c>
      <c r="W173" s="36" t="s">
        <v>88</v>
      </c>
      <c r="X173" s="36"/>
      <c r="Y173" s="36" t="s">
        <v>568</v>
      </c>
    </row>
    <row r="174" spans="1:25" x14ac:dyDescent="0.3">
      <c r="A174" s="36" t="s">
        <v>569</v>
      </c>
      <c r="B174" s="36">
        <v>25</v>
      </c>
      <c r="C174" s="36" t="str">
        <f t="shared" si="8"/>
        <v>25-34</v>
      </c>
      <c r="D174" s="36" t="s">
        <v>133</v>
      </c>
      <c r="E174" s="36"/>
      <c r="F174" s="36" t="s">
        <v>47</v>
      </c>
      <c r="G174" s="36" t="s">
        <v>245</v>
      </c>
      <c r="H174" s="36" t="s">
        <v>570</v>
      </c>
      <c r="I174" s="36" t="s">
        <v>91</v>
      </c>
      <c r="J174" s="37">
        <v>1632</v>
      </c>
      <c r="K174" s="36" t="s">
        <v>24</v>
      </c>
      <c r="L174" s="36" t="s">
        <v>40</v>
      </c>
      <c r="M174" s="38">
        <v>4.4000000000000004</v>
      </c>
      <c r="N174" s="38">
        <v>5.8</v>
      </c>
      <c r="O174" s="39">
        <f t="shared" si="9"/>
        <v>0.75862068965517249</v>
      </c>
      <c r="P174" s="40">
        <v>0</v>
      </c>
      <c r="Q174" s="36" t="str">
        <f t="shared" si="10"/>
        <v>Free</v>
      </c>
      <c r="R174" s="38">
        <v>7.8</v>
      </c>
      <c r="S174" s="36">
        <v>4</v>
      </c>
      <c r="T174" s="36">
        <v>9</v>
      </c>
      <c r="U174" s="38">
        <v>7.1</v>
      </c>
      <c r="V174" s="41">
        <f t="shared" si="11"/>
        <v>0.23051948051948049</v>
      </c>
      <c r="W174" s="36" t="s">
        <v>86</v>
      </c>
      <c r="X174" s="36"/>
      <c r="Y174" s="36" t="s">
        <v>571</v>
      </c>
    </row>
    <row r="175" spans="1:25" x14ac:dyDescent="0.3">
      <c r="A175" s="36" t="s">
        <v>572</v>
      </c>
      <c r="B175" s="36">
        <v>49</v>
      </c>
      <c r="C175" s="36" t="str">
        <f t="shared" si="8"/>
        <v>45+</v>
      </c>
      <c r="D175" s="36" t="s">
        <v>144</v>
      </c>
      <c r="E175" s="36" t="s">
        <v>67</v>
      </c>
      <c r="F175" s="36" t="s">
        <v>47</v>
      </c>
      <c r="G175" s="36" t="s">
        <v>245</v>
      </c>
      <c r="H175" s="36" t="s">
        <v>487</v>
      </c>
      <c r="I175" s="36" t="s">
        <v>94</v>
      </c>
      <c r="J175" s="37">
        <v>1193</v>
      </c>
      <c r="K175" s="36" t="s">
        <v>24</v>
      </c>
      <c r="L175" s="36" t="s">
        <v>41</v>
      </c>
      <c r="M175" s="38">
        <v>5.8</v>
      </c>
      <c r="N175" s="38">
        <v>7.9</v>
      </c>
      <c r="O175" s="39">
        <f t="shared" si="9"/>
        <v>0.73417721518987333</v>
      </c>
      <c r="P175" s="40">
        <v>20</v>
      </c>
      <c r="Q175" s="36" t="str">
        <f t="shared" si="10"/>
        <v>Paid</v>
      </c>
      <c r="R175" s="38">
        <v>8.1</v>
      </c>
      <c r="S175" s="36">
        <v>2</v>
      </c>
      <c r="T175" s="36">
        <v>6</v>
      </c>
      <c r="U175" s="38">
        <v>13.5</v>
      </c>
      <c r="V175" s="41">
        <f t="shared" si="11"/>
        <v>0.33251231527093594</v>
      </c>
      <c r="W175" s="36" t="s">
        <v>87</v>
      </c>
      <c r="X175" s="36"/>
      <c r="Y175" s="36" t="s">
        <v>573</v>
      </c>
    </row>
    <row r="176" spans="1:25" x14ac:dyDescent="0.3">
      <c r="A176" s="36" t="s">
        <v>574</v>
      </c>
      <c r="B176" s="36">
        <v>27</v>
      </c>
      <c r="C176" s="36" t="str">
        <f t="shared" si="8"/>
        <v>25-34</v>
      </c>
      <c r="D176" s="36" t="s">
        <v>144</v>
      </c>
      <c r="E176" s="36" t="s">
        <v>70</v>
      </c>
      <c r="F176" s="36" t="s">
        <v>47</v>
      </c>
      <c r="G176" s="36" t="s">
        <v>138</v>
      </c>
      <c r="H176" s="36" t="s">
        <v>575</v>
      </c>
      <c r="I176" s="36" t="s">
        <v>92</v>
      </c>
      <c r="J176" s="37">
        <v>3622</v>
      </c>
      <c r="K176" s="36" t="s">
        <v>24</v>
      </c>
      <c r="L176" s="36" t="s">
        <v>36</v>
      </c>
      <c r="M176" s="38">
        <v>4</v>
      </c>
      <c r="N176" s="38">
        <v>8.6</v>
      </c>
      <c r="O176" s="39">
        <f t="shared" si="9"/>
        <v>0.46511627906976744</v>
      </c>
      <c r="P176" s="40">
        <v>0</v>
      </c>
      <c r="Q176" s="36" t="str">
        <f t="shared" si="10"/>
        <v>Free</v>
      </c>
      <c r="R176" s="38">
        <v>5</v>
      </c>
      <c r="S176" s="36">
        <v>4</v>
      </c>
      <c r="T176" s="36">
        <v>6</v>
      </c>
      <c r="U176" s="38">
        <v>5.7</v>
      </c>
      <c r="V176" s="41">
        <f t="shared" si="11"/>
        <v>0.20357142857142857</v>
      </c>
      <c r="W176" s="36" t="s">
        <v>86</v>
      </c>
      <c r="X176" s="36"/>
      <c r="Y176" s="36" t="s">
        <v>576</v>
      </c>
    </row>
    <row r="177" spans="1:25" x14ac:dyDescent="0.3">
      <c r="A177" s="36" t="s">
        <v>577</v>
      </c>
      <c r="B177" s="36">
        <v>26</v>
      </c>
      <c r="C177" s="36" t="str">
        <f t="shared" si="8"/>
        <v>25-34</v>
      </c>
      <c r="D177" s="36" t="s">
        <v>144</v>
      </c>
      <c r="E177" s="36" t="s">
        <v>68</v>
      </c>
      <c r="F177" s="36" t="s">
        <v>46</v>
      </c>
      <c r="G177" s="36" t="s">
        <v>134</v>
      </c>
      <c r="H177" s="36" t="s">
        <v>463</v>
      </c>
      <c r="I177" s="36" t="s">
        <v>91</v>
      </c>
      <c r="J177" s="37">
        <v>661</v>
      </c>
      <c r="K177" s="36" t="s">
        <v>24</v>
      </c>
      <c r="L177" s="36" t="s">
        <v>37</v>
      </c>
      <c r="M177" s="38">
        <v>3.5</v>
      </c>
      <c r="N177" s="38">
        <v>6</v>
      </c>
      <c r="O177" s="39">
        <f t="shared" si="9"/>
        <v>0.58333333333333337</v>
      </c>
      <c r="P177" s="40">
        <v>0</v>
      </c>
      <c r="Q177" s="36" t="str">
        <f t="shared" si="10"/>
        <v>Free</v>
      </c>
      <c r="R177" s="38">
        <v>4.9000000000000004</v>
      </c>
      <c r="S177" s="36">
        <v>3</v>
      </c>
      <c r="T177" s="36">
        <v>4</v>
      </c>
      <c r="U177" s="38">
        <v>7</v>
      </c>
      <c r="V177" s="41">
        <f t="shared" si="11"/>
        <v>0.2857142857142857</v>
      </c>
      <c r="W177" s="36" t="s">
        <v>86</v>
      </c>
      <c r="X177" s="36"/>
      <c r="Y177" s="36" t="s">
        <v>578</v>
      </c>
    </row>
    <row r="178" spans="1:25" x14ac:dyDescent="0.3">
      <c r="A178" s="36" t="s">
        <v>579</v>
      </c>
      <c r="B178" s="36">
        <v>39</v>
      </c>
      <c r="C178" s="36" t="str">
        <f t="shared" si="8"/>
        <v>35-44</v>
      </c>
      <c r="D178" s="36" t="s">
        <v>144</v>
      </c>
      <c r="E178" s="36" t="s">
        <v>67</v>
      </c>
      <c r="F178" s="36" t="s">
        <v>47</v>
      </c>
      <c r="G178" s="36"/>
      <c r="H178" s="36" t="s">
        <v>580</v>
      </c>
      <c r="I178" s="36" t="s">
        <v>91</v>
      </c>
      <c r="J178" s="37">
        <v>1192</v>
      </c>
      <c r="K178" s="36" t="s">
        <v>24</v>
      </c>
      <c r="L178" s="36" t="s">
        <v>40</v>
      </c>
      <c r="M178" s="38">
        <v>1.4</v>
      </c>
      <c r="N178" s="38">
        <v>6.7</v>
      </c>
      <c r="O178" s="39">
        <f t="shared" si="9"/>
        <v>0.20895522388059701</v>
      </c>
      <c r="P178" s="40">
        <v>30</v>
      </c>
      <c r="Q178" s="36" t="str">
        <f t="shared" si="10"/>
        <v>Paid</v>
      </c>
      <c r="R178" s="38">
        <v>3.5</v>
      </c>
      <c r="S178" s="36">
        <v>4</v>
      </c>
      <c r="T178" s="36">
        <v>6</v>
      </c>
      <c r="U178" s="38">
        <v>3.8</v>
      </c>
      <c r="V178" s="41">
        <f t="shared" si="11"/>
        <v>0.38775510204081637</v>
      </c>
      <c r="W178" s="36" t="s">
        <v>86</v>
      </c>
      <c r="X178" s="36"/>
      <c r="Y178" s="36"/>
    </row>
    <row r="179" spans="1:25" x14ac:dyDescent="0.3">
      <c r="A179" s="36" t="s">
        <v>581</v>
      </c>
      <c r="B179" s="36">
        <v>22</v>
      </c>
      <c r="C179" s="36" t="str">
        <f t="shared" si="8"/>
        <v>18-24</v>
      </c>
      <c r="D179" s="36" t="s">
        <v>133</v>
      </c>
      <c r="E179" s="36" t="s">
        <v>62</v>
      </c>
      <c r="F179" s="36" t="s">
        <v>46</v>
      </c>
      <c r="G179" s="36" t="s">
        <v>159</v>
      </c>
      <c r="H179" s="36" t="s">
        <v>142</v>
      </c>
      <c r="I179" s="36" t="s">
        <v>92</v>
      </c>
      <c r="J179" s="37">
        <v>0</v>
      </c>
      <c r="K179" s="36" t="s">
        <v>26</v>
      </c>
      <c r="L179" s="36"/>
      <c r="M179" s="38">
        <v>5.5</v>
      </c>
      <c r="N179" s="38">
        <v>7.4</v>
      </c>
      <c r="O179" s="39">
        <f t="shared" si="9"/>
        <v>0.7432432432432432</v>
      </c>
      <c r="P179" s="40">
        <v>0</v>
      </c>
      <c r="Q179" s="36" t="str">
        <f t="shared" si="10"/>
        <v>Free</v>
      </c>
      <c r="R179" s="38">
        <v>8.3000000000000007</v>
      </c>
      <c r="S179" s="36">
        <v>3</v>
      </c>
      <c r="T179" s="36">
        <v>8</v>
      </c>
      <c r="U179" s="38">
        <v>10.9</v>
      </c>
      <c r="V179" s="41">
        <f t="shared" si="11"/>
        <v>0.2831168831168831</v>
      </c>
      <c r="W179" s="36" t="s">
        <v>86</v>
      </c>
      <c r="X179" s="36"/>
      <c r="Y179" s="36" t="s">
        <v>582</v>
      </c>
    </row>
    <row r="180" spans="1:25" x14ac:dyDescent="0.3">
      <c r="A180" s="36" t="s">
        <v>583</v>
      </c>
      <c r="B180" s="36">
        <v>22</v>
      </c>
      <c r="C180" s="36" t="str">
        <f t="shared" si="8"/>
        <v>18-24</v>
      </c>
      <c r="D180" s="36" t="s">
        <v>133</v>
      </c>
      <c r="E180" s="36" t="s">
        <v>68</v>
      </c>
      <c r="F180" s="36" t="s">
        <v>46</v>
      </c>
      <c r="G180" s="36" t="s">
        <v>148</v>
      </c>
      <c r="H180" s="36" t="s">
        <v>171</v>
      </c>
      <c r="I180" s="36" t="s">
        <v>95</v>
      </c>
      <c r="J180" s="37">
        <v>613</v>
      </c>
      <c r="K180" s="36" t="s">
        <v>25</v>
      </c>
      <c r="L180" s="36" t="s">
        <v>38</v>
      </c>
      <c r="M180" s="38">
        <v>1.9</v>
      </c>
      <c r="N180" s="38">
        <v>7.4</v>
      </c>
      <c r="O180" s="39">
        <f t="shared" si="9"/>
        <v>0.25675675675675674</v>
      </c>
      <c r="P180" s="40">
        <v>20</v>
      </c>
      <c r="Q180" s="36" t="str">
        <f t="shared" si="10"/>
        <v>Paid</v>
      </c>
      <c r="R180" s="38">
        <v>5.6</v>
      </c>
      <c r="S180" s="36">
        <v>2</v>
      </c>
      <c r="T180" s="36">
        <v>4</v>
      </c>
      <c r="U180" s="38">
        <v>8</v>
      </c>
      <c r="V180" s="41">
        <f t="shared" si="11"/>
        <v>0.60150375939849632</v>
      </c>
      <c r="W180" s="36" t="s">
        <v>88</v>
      </c>
      <c r="X180" s="36"/>
      <c r="Y180" s="36" t="s">
        <v>584</v>
      </c>
    </row>
    <row r="181" spans="1:25" x14ac:dyDescent="0.3">
      <c r="A181" s="36" t="s">
        <v>585</v>
      </c>
      <c r="B181" s="36">
        <v>48</v>
      </c>
      <c r="C181" s="36" t="str">
        <f t="shared" si="8"/>
        <v>45+</v>
      </c>
      <c r="D181" s="36" t="s">
        <v>144</v>
      </c>
      <c r="E181" s="36" t="s">
        <v>65</v>
      </c>
      <c r="F181" s="36" t="s">
        <v>47</v>
      </c>
      <c r="G181" s="36" t="s">
        <v>138</v>
      </c>
      <c r="H181" s="36" t="s">
        <v>343</v>
      </c>
      <c r="I181" s="36" t="s">
        <v>42</v>
      </c>
      <c r="J181" s="37">
        <v>5563</v>
      </c>
      <c r="K181" s="36" t="s">
        <v>24</v>
      </c>
      <c r="L181" s="36" t="s">
        <v>42</v>
      </c>
      <c r="M181" s="38">
        <v>0.9</v>
      </c>
      <c r="N181" s="38">
        <v>5.9</v>
      </c>
      <c r="O181" s="39">
        <f t="shared" si="9"/>
        <v>0.15254237288135591</v>
      </c>
      <c r="P181" s="40">
        <v>25</v>
      </c>
      <c r="Q181" s="36" t="str">
        <f t="shared" si="10"/>
        <v>Paid</v>
      </c>
      <c r="R181" s="38">
        <v>4.0999999999999996</v>
      </c>
      <c r="S181" s="36">
        <v>5</v>
      </c>
      <c r="T181" s="36">
        <v>6</v>
      </c>
      <c r="U181" s="38">
        <v>3.9</v>
      </c>
      <c r="V181" s="41">
        <f t="shared" si="11"/>
        <v>0.61904761904761907</v>
      </c>
      <c r="W181" s="36" t="s">
        <v>88</v>
      </c>
      <c r="X181" s="36"/>
      <c r="Y181" s="36" t="s">
        <v>586</v>
      </c>
    </row>
    <row r="182" spans="1:25" x14ac:dyDescent="0.3">
      <c r="A182" s="36" t="s">
        <v>587</v>
      </c>
      <c r="B182" s="36">
        <v>20</v>
      </c>
      <c r="C182" s="36" t="str">
        <f t="shared" si="8"/>
        <v>18-24</v>
      </c>
      <c r="D182" s="36" t="s">
        <v>133</v>
      </c>
      <c r="E182" s="36" t="s">
        <v>63</v>
      </c>
      <c r="F182" s="36" t="s">
        <v>46</v>
      </c>
      <c r="G182" s="36" t="s">
        <v>159</v>
      </c>
      <c r="H182" s="36" t="s">
        <v>149</v>
      </c>
      <c r="I182" s="36" t="s">
        <v>94</v>
      </c>
      <c r="J182" s="37">
        <v>670</v>
      </c>
      <c r="K182" s="36" t="s">
        <v>24</v>
      </c>
      <c r="L182" s="36" t="s">
        <v>38</v>
      </c>
      <c r="M182" s="38">
        <v>3.7</v>
      </c>
      <c r="N182" s="38">
        <v>9.4</v>
      </c>
      <c r="O182" s="39">
        <f t="shared" si="9"/>
        <v>0.39361702127659576</v>
      </c>
      <c r="P182" s="40">
        <v>30</v>
      </c>
      <c r="Q182" s="36" t="str">
        <f t="shared" si="10"/>
        <v>Paid</v>
      </c>
      <c r="R182" s="38">
        <v>7.9</v>
      </c>
      <c r="S182" s="36"/>
      <c r="T182" s="36">
        <v>9</v>
      </c>
      <c r="U182" s="38">
        <v>7.5</v>
      </c>
      <c r="V182" s="41">
        <f t="shared" si="11"/>
        <v>0.28957528957528955</v>
      </c>
      <c r="W182" s="36" t="s">
        <v>86</v>
      </c>
      <c r="X182" s="36"/>
      <c r="Y182" s="36" t="s">
        <v>588</v>
      </c>
    </row>
    <row r="183" spans="1:25" x14ac:dyDescent="0.3">
      <c r="A183" s="36" t="s">
        <v>589</v>
      </c>
      <c r="B183" s="36">
        <v>39</v>
      </c>
      <c r="C183" s="36" t="str">
        <f t="shared" si="8"/>
        <v>35-44</v>
      </c>
      <c r="D183" s="36" t="s">
        <v>144</v>
      </c>
      <c r="E183" s="36" t="s">
        <v>61</v>
      </c>
      <c r="F183" s="36" t="s">
        <v>47</v>
      </c>
      <c r="G183" s="36" t="s">
        <v>134</v>
      </c>
      <c r="H183" s="36" t="s">
        <v>396</v>
      </c>
      <c r="I183" s="36" t="s">
        <v>92</v>
      </c>
      <c r="J183" s="37">
        <v>1106</v>
      </c>
      <c r="K183" s="36" t="s">
        <v>26</v>
      </c>
      <c r="L183" s="36" t="s">
        <v>36</v>
      </c>
      <c r="M183" s="38">
        <v>4.4000000000000004</v>
      </c>
      <c r="N183" s="38">
        <v>6.4</v>
      </c>
      <c r="O183" s="39">
        <f t="shared" si="9"/>
        <v>0.6875</v>
      </c>
      <c r="P183" s="40">
        <v>0</v>
      </c>
      <c r="Q183" s="36" t="str">
        <f t="shared" si="10"/>
        <v>Free</v>
      </c>
      <c r="R183" s="38">
        <v>6.1</v>
      </c>
      <c r="S183" s="36">
        <v>4</v>
      </c>
      <c r="T183" s="36">
        <v>8</v>
      </c>
      <c r="U183" s="38">
        <v>7.7</v>
      </c>
      <c r="V183" s="41">
        <f t="shared" si="11"/>
        <v>0.24999999999999997</v>
      </c>
      <c r="W183" s="36" t="s">
        <v>86</v>
      </c>
      <c r="X183" s="36"/>
      <c r="Y183" s="36" t="s">
        <v>590</v>
      </c>
    </row>
    <row r="184" spans="1:25" x14ac:dyDescent="0.3">
      <c r="A184" s="36" t="s">
        <v>591</v>
      </c>
      <c r="B184" s="36">
        <v>23</v>
      </c>
      <c r="C184" s="36" t="str">
        <f t="shared" si="8"/>
        <v>18-24</v>
      </c>
      <c r="D184" s="36" t="s">
        <v>144</v>
      </c>
      <c r="E184" s="36" t="s">
        <v>61</v>
      </c>
      <c r="F184" s="36" t="s">
        <v>46</v>
      </c>
      <c r="G184" s="36"/>
      <c r="H184" s="36" t="s">
        <v>142</v>
      </c>
      <c r="I184" s="36" t="s">
        <v>92</v>
      </c>
      <c r="J184" s="37">
        <v>50</v>
      </c>
      <c r="K184" s="36" t="s">
        <v>29</v>
      </c>
      <c r="L184" s="36" t="s">
        <v>36</v>
      </c>
      <c r="M184" s="38">
        <v>9.8000000000000007</v>
      </c>
      <c r="N184" s="38">
        <v>5.2</v>
      </c>
      <c r="O184" s="39">
        <f t="shared" si="9"/>
        <v>1.8846153846153846</v>
      </c>
      <c r="P184" s="40">
        <v>0</v>
      </c>
      <c r="Q184" s="36" t="str">
        <f t="shared" si="10"/>
        <v>Free</v>
      </c>
      <c r="R184" s="38">
        <v>9.1</v>
      </c>
      <c r="S184" s="36">
        <v>4</v>
      </c>
      <c r="T184" s="36">
        <v>9</v>
      </c>
      <c r="U184" s="38">
        <v>15.8</v>
      </c>
      <c r="V184" s="41">
        <f t="shared" si="11"/>
        <v>0.23032069970845478</v>
      </c>
      <c r="W184" s="36" t="s">
        <v>86</v>
      </c>
      <c r="X184" s="36" t="s">
        <v>178</v>
      </c>
      <c r="Y184" s="36" t="s">
        <v>582</v>
      </c>
    </row>
    <row r="185" spans="1:25" x14ac:dyDescent="0.3">
      <c r="A185" s="36" t="s">
        <v>592</v>
      </c>
      <c r="B185" s="36">
        <v>63</v>
      </c>
      <c r="C185" s="36" t="str">
        <f t="shared" si="8"/>
        <v>45+</v>
      </c>
      <c r="D185" s="36" t="s">
        <v>144</v>
      </c>
      <c r="E185" s="36" t="s">
        <v>61</v>
      </c>
      <c r="F185" s="36" t="s">
        <v>47</v>
      </c>
      <c r="G185" s="36" t="s">
        <v>159</v>
      </c>
      <c r="H185" s="36"/>
      <c r="I185" s="36"/>
      <c r="J185" s="37">
        <v>1320</v>
      </c>
      <c r="K185" s="36" t="s">
        <v>27</v>
      </c>
      <c r="L185" s="36" t="s">
        <v>43</v>
      </c>
      <c r="M185" s="38">
        <v>1.7</v>
      </c>
      <c r="N185" s="38">
        <v>9.4</v>
      </c>
      <c r="O185" s="39">
        <f t="shared" si="9"/>
        <v>0.18085106382978722</v>
      </c>
      <c r="P185" s="40"/>
      <c r="Q185" s="36" t="str">
        <f t="shared" si="10"/>
        <v/>
      </c>
      <c r="R185" s="38">
        <v>5.2</v>
      </c>
      <c r="S185" s="36">
        <v>3</v>
      </c>
      <c r="T185" s="36">
        <v>6</v>
      </c>
      <c r="U185" s="38">
        <v>3.5</v>
      </c>
      <c r="V185" s="41">
        <f t="shared" si="11"/>
        <v>0.29411764705882354</v>
      </c>
      <c r="W185" s="36" t="s">
        <v>86</v>
      </c>
      <c r="X185" s="36"/>
      <c r="Y185" s="36" t="s">
        <v>593</v>
      </c>
    </row>
    <row r="186" spans="1:25" x14ac:dyDescent="0.3">
      <c r="A186" s="36" t="s">
        <v>594</v>
      </c>
      <c r="B186" s="36">
        <v>22</v>
      </c>
      <c r="C186" s="36" t="str">
        <f t="shared" si="8"/>
        <v>18-24</v>
      </c>
      <c r="D186" s="36" t="s">
        <v>144</v>
      </c>
      <c r="E186" s="36" t="s">
        <v>64</v>
      </c>
      <c r="F186" s="36" t="s">
        <v>46</v>
      </c>
      <c r="G186" s="36" t="s">
        <v>148</v>
      </c>
      <c r="H186" s="36" t="s">
        <v>188</v>
      </c>
      <c r="I186" s="36" t="s">
        <v>91</v>
      </c>
      <c r="J186" s="37">
        <v>0</v>
      </c>
      <c r="K186" s="36" t="s">
        <v>24</v>
      </c>
      <c r="L186" s="36" t="s">
        <v>37</v>
      </c>
      <c r="M186" s="38">
        <v>3.9</v>
      </c>
      <c r="N186" s="38">
        <v>7.3</v>
      </c>
      <c r="O186" s="39">
        <f t="shared" si="9"/>
        <v>0.53424657534246578</v>
      </c>
      <c r="P186" s="40">
        <v>0</v>
      </c>
      <c r="Q186" s="36" t="str">
        <f t="shared" si="10"/>
        <v>Free</v>
      </c>
      <c r="R186" s="38">
        <v>6.9</v>
      </c>
      <c r="S186" s="36">
        <v>4</v>
      </c>
      <c r="T186" s="36">
        <v>9</v>
      </c>
      <c r="U186" s="38">
        <v>6.7</v>
      </c>
      <c r="V186" s="41">
        <f t="shared" si="11"/>
        <v>0.24542124542124541</v>
      </c>
      <c r="W186" s="36" t="s">
        <v>86</v>
      </c>
      <c r="X186" s="36"/>
      <c r="Y186" s="36" t="s">
        <v>595</v>
      </c>
    </row>
    <row r="187" spans="1:25" x14ac:dyDescent="0.3">
      <c r="A187" s="36" t="s">
        <v>596</v>
      </c>
      <c r="B187" s="36">
        <v>20</v>
      </c>
      <c r="C187" s="36" t="str">
        <f t="shared" si="8"/>
        <v>18-24</v>
      </c>
      <c r="D187" s="36" t="s">
        <v>144</v>
      </c>
      <c r="E187" s="36" t="s">
        <v>69</v>
      </c>
      <c r="F187" s="36" t="s">
        <v>46</v>
      </c>
      <c r="G187" s="36" t="s">
        <v>134</v>
      </c>
      <c r="H187" s="36" t="s">
        <v>597</v>
      </c>
      <c r="I187" s="36" t="s">
        <v>94</v>
      </c>
      <c r="J187" s="37">
        <v>135</v>
      </c>
      <c r="K187" s="36" t="s">
        <v>27</v>
      </c>
      <c r="L187" s="36" t="s">
        <v>39</v>
      </c>
      <c r="M187" s="38">
        <v>1.6</v>
      </c>
      <c r="N187" s="38"/>
      <c r="O187" s="39" t="str">
        <f t="shared" si="9"/>
        <v/>
      </c>
      <c r="P187" s="40">
        <v>30</v>
      </c>
      <c r="Q187" s="36" t="str">
        <f t="shared" si="10"/>
        <v>Paid</v>
      </c>
      <c r="R187" s="38">
        <v>4.5</v>
      </c>
      <c r="S187" s="36">
        <v>4</v>
      </c>
      <c r="T187" s="36">
        <v>6</v>
      </c>
      <c r="U187" s="38">
        <v>3.5</v>
      </c>
      <c r="V187" s="41">
        <f t="shared" si="11"/>
        <v>0.31249999999999994</v>
      </c>
      <c r="W187" s="36" t="s">
        <v>87</v>
      </c>
      <c r="X187" s="36"/>
      <c r="Y187" s="36" t="s">
        <v>598</v>
      </c>
    </row>
    <row r="188" spans="1:25" x14ac:dyDescent="0.3">
      <c r="A188" s="36" t="s">
        <v>599</v>
      </c>
      <c r="B188" s="36">
        <v>41</v>
      </c>
      <c r="C188" s="36" t="str">
        <f t="shared" si="8"/>
        <v>35-44</v>
      </c>
      <c r="D188" s="36" t="s">
        <v>144</v>
      </c>
      <c r="E188" s="36" t="s">
        <v>63</v>
      </c>
      <c r="F188" s="36" t="s">
        <v>47</v>
      </c>
      <c r="G188" s="36" t="s">
        <v>194</v>
      </c>
      <c r="H188" s="36" t="s">
        <v>195</v>
      </c>
      <c r="I188" s="36" t="s">
        <v>94</v>
      </c>
      <c r="J188" s="37">
        <v>3218</v>
      </c>
      <c r="K188" s="36" t="s">
        <v>30</v>
      </c>
      <c r="L188" s="36" t="s">
        <v>39</v>
      </c>
      <c r="M188" s="38">
        <v>2.7</v>
      </c>
      <c r="N188" s="38">
        <v>8.6</v>
      </c>
      <c r="O188" s="39">
        <f t="shared" si="9"/>
        <v>0.31395348837209308</v>
      </c>
      <c r="P188" s="40">
        <v>10</v>
      </c>
      <c r="Q188" s="36" t="str">
        <f t="shared" si="10"/>
        <v>Paid</v>
      </c>
      <c r="R188" s="38">
        <v>4.8</v>
      </c>
      <c r="S188" s="36">
        <v>4</v>
      </c>
      <c r="T188" s="36">
        <v>7</v>
      </c>
      <c r="U188" s="38">
        <v>6.4</v>
      </c>
      <c r="V188" s="41">
        <f t="shared" si="11"/>
        <v>0.33862433862433861</v>
      </c>
      <c r="W188" s="36" t="s">
        <v>86</v>
      </c>
      <c r="X188" s="36"/>
      <c r="Y188" s="36" t="s">
        <v>600</v>
      </c>
    </row>
    <row r="189" spans="1:25" x14ac:dyDescent="0.3">
      <c r="A189" s="36" t="s">
        <v>601</v>
      </c>
      <c r="B189" s="36">
        <v>17</v>
      </c>
      <c r="C189" s="36" t="str">
        <f t="shared" si="8"/>
        <v>Under 18</v>
      </c>
      <c r="D189" s="36" t="s">
        <v>277</v>
      </c>
      <c r="E189" s="36"/>
      <c r="F189" s="36" t="s">
        <v>46</v>
      </c>
      <c r="G189" s="36" t="s">
        <v>148</v>
      </c>
      <c r="H189" s="36" t="s">
        <v>335</v>
      </c>
      <c r="I189" s="36" t="s">
        <v>94</v>
      </c>
      <c r="J189" s="37"/>
      <c r="K189" s="36" t="s">
        <v>24</v>
      </c>
      <c r="L189" s="36" t="s">
        <v>39</v>
      </c>
      <c r="M189" s="38">
        <v>6.1</v>
      </c>
      <c r="N189" s="38">
        <v>7.8</v>
      </c>
      <c r="O189" s="39">
        <f t="shared" si="9"/>
        <v>0.78205128205128205</v>
      </c>
      <c r="P189" s="40">
        <v>30</v>
      </c>
      <c r="Q189" s="36" t="str">
        <f t="shared" si="10"/>
        <v>Paid</v>
      </c>
      <c r="R189" s="38">
        <v>7</v>
      </c>
      <c r="S189" s="36">
        <v>4</v>
      </c>
      <c r="T189" s="36">
        <v>8</v>
      </c>
      <c r="U189" s="38">
        <v>8.9</v>
      </c>
      <c r="V189" s="41">
        <f t="shared" si="11"/>
        <v>0.20843091334894617</v>
      </c>
      <c r="W189" s="36" t="s">
        <v>86</v>
      </c>
      <c r="X189" s="36"/>
      <c r="Y189" s="36" t="s">
        <v>602</v>
      </c>
    </row>
    <row r="190" spans="1:25" x14ac:dyDescent="0.3">
      <c r="A190" s="36" t="s">
        <v>603</v>
      </c>
      <c r="B190" s="36"/>
      <c r="C190" s="36" t="str">
        <f t="shared" si="8"/>
        <v/>
      </c>
      <c r="D190" s="36" t="s">
        <v>144</v>
      </c>
      <c r="E190" s="36" t="s">
        <v>63</v>
      </c>
      <c r="F190" s="36" t="s">
        <v>46</v>
      </c>
      <c r="G190" s="36" t="s">
        <v>148</v>
      </c>
      <c r="H190" s="36" t="s">
        <v>604</v>
      </c>
      <c r="I190" s="36" t="s">
        <v>94</v>
      </c>
      <c r="J190" s="37">
        <v>624</v>
      </c>
      <c r="K190" s="36" t="s">
        <v>25</v>
      </c>
      <c r="L190" s="36" t="s">
        <v>39</v>
      </c>
      <c r="M190" s="38">
        <v>0.9</v>
      </c>
      <c r="N190" s="38">
        <v>7.4</v>
      </c>
      <c r="O190" s="39">
        <f t="shared" si="9"/>
        <v>0.12162162162162161</v>
      </c>
      <c r="P190" s="40">
        <v>0</v>
      </c>
      <c r="Q190" s="36" t="str">
        <f t="shared" si="10"/>
        <v>Free</v>
      </c>
      <c r="R190" s="38">
        <v>4.4000000000000004</v>
      </c>
      <c r="S190" s="36">
        <v>3</v>
      </c>
      <c r="T190" s="36">
        <v>5</v>
      </c>
      <c r="U190" s="38">
        <v>0.1</v>
      </c>
      <c r="V190" s="41">
        <f t="shared" si="11"/>
        <v>1.5873015873015876E-2</v>
      </c>
      <c r="W190" s="36" t="s">
        <v>86</v>
      </c>
      <c r="X190" s="36"/>
      <c r="Y190" s="36" t="s">
        <v>605</v>
      </c>
    </row>
    <row r="191" spans="1:25" x14ac:dyDescent="0.3">
      <c r="A191" s="36" t="s">
        <v>606</v>
      </c>
      <c r="B191" s="36">
        <v>20</v>
      </c>
      <c r="C191" s="36" t="str">
        <f t="shared" si="8"/>
        <v>18-24</v>
      </c>
      <c r="D191" s="36" t="s">
        <v>133</v>
      </c>
      <c r="E191" s="36" t="s">
        <v>63</v>
      </c>
      <c r="F191" s="36" t="s">
        <v>46</v>
      </c>
      <c r="G191" s="36" t="s">
        <v>148</v>
      </c>
      <c r="H191" s="36"/>
      <c r="I191" s="36"/>
      <c r="J191" s="37">
        <v>415</v>
      </c>
      <c r="K191" s="36" t="s">
        <v>26</v>
      </c>
      <c r="L191" s="36" t="s">
        <v>39</v>
      </c>
      <c r="M191" s="38">
        <v>3</v>
      </c>
      <c r="N191" s="38">
        <v>5.5</v>
      </c>
      <c r="O191" s="39">
        <f t="shared" si="9"/>
        <v>0.54545454545454541</v>
      </c>
      <c r="P191" s="40">
        <v>0</v>
      </c>
      <c r="Q191" s="36" t="str">
        <f t="shared" si="10"/>
        <v>Free</v>
      </c>
      <c r="R191" s="38">
        <v>4.4000000000000004</v>
      </c>
      <c r="S191" s="36">
        <v>3</v>
      </c>
      <c r="T191" s="36">
        <v>5</v>
      </c>
      <c r="U191" s="38">
        <v>3.1</v>
      </c>
      <c r="V191" s="41">
        <f t="shared" si="11"/>
        <v>0.14761904761904762</v>
      </c>
      <c r="W191" s="36" t="s">
        <v>86</v>
      </c>
      <c r="X191" s="36"/>
      <c r="Y191" s="36" t="s">
        <v>607</v>
      </c>
    </row>
    <row r="192" spans="1:25" x14ac:dyDescent="0.3">
      <c r="A192" s="36" t="s">
        <v>608</v>
      </c>
      <c r="B192" s="36">
        <v>22</v>
      </c>
      <c r="C192" s="36" t="str">
        <f t="shared" si="8"/>
        <v>18-24</v>
      </c>
      <c r="D192" s="36" t="s">
        <v>133</v>
      </c>
      <c r="E192" s="36" t="s">
        <v>68</v>
      </c>
      <c r="F192" s="36" t="s">
        <v>46</v>
      </c>
      <c r="G192" s="36" t="s">
        <v>134</v>
      </c>
      <c r="H192" s="36" t="s">
        <v>426</v>
      </c>
      <c r="I192" s="36" t="s">
        <v>93</v>
      </c>
      <c r="J192" s="37">
        <v>0</v>
      </c>
      <c r="K192" s="36" t="s">
        <v>26</v>
      </c>
      <c r="L192" s="36" t="s">
        <v>38</v>
      </c>
      <c r="M192" s="38">
        <v>5.9</v>
      </c>
      <c r="N192" s="38">
        <v>7.3</v>
      </c>
      <c r="O192" s="39">
        <f t="shared" si="9"/>
        <v>0.8082191780821919</v>
      </c>
      <c r="P192" s="40">
        <v>0</v>
      </c>
      <c r="Q192" s="36" t="str">
        <f t="shared" si="10"/>
        <v>Free</v>
      </c>
      <c r="R192" s="38">
        <v>8.1</v>
      </c>
      <c r="S192" s="36">
        <v>3</v>
      </c>
      <c r="T192" s="36">
        <v>7</v>
      </c>
      <c r="U192" s="38">
        <v>9</v>
      </c>
      <c r="V192" s="41">
        <f t="shared" si="11"/>
        <v>0.21791767554479416</v>
      </c>
      <c r="W192" s="36" t="s">
        <v>86</v>
      </c>
      <c r="X192" s="36"/>
      <c r="Y192" s="36" t="s">
        <v>609</v>
      </c>
    </row>
    <row r="193" spans="1:25" x14ac:dyDescent="0.3">
      <c r="A193" s="36" t="s">
        <v>610</v>
      </c>
      <c r="B193" s="36">
        <v>32</v>
      </c>
      <c r="C193" s="36" t="str">
        <f t="shared" si="8"/>
        <v>25-34</v>
      </c>
      <c r="D193" s="36" t="s">
        <v>133</v>
      </c>
      <c r="E193" s="36" t="s">
        <v>70</v>
      </c>
      <c r="F193" s="36" t="s">
        <v>47</v>
      </c>
      <c r="G193" s="36" t="s">
        <v>159</v>
      </c>
      <c r="H193" s="36" t="s">
        <v>611</v>
      </c>
      <c r="I193" s="36" t="s">
        <v>93</v>
      </c>
      <c r="J193" s="37">
        <v>4499</v>
      </c>
      <c r="K193" s="36" t="s">
        <v>27</v>
      </c>
      <c r="L193" s="36" t="s">
        <v>41</v>
      </c>
      <c r="M193" s="38">
        <v>1.3</v>
      </c>
      <c r="N193" s="38">
        <v>6.2</v>
      </c>
      <c r="O193" s="39">
        <f t="shared" si="9"/>
        <v>0.20967741935483872</v>
      </c>
      <c r="P193" s="40">
        <v>20</v>
      </c>
      <c r="Q193" s="36" t="str">
        <f t="shared" si="10"/>
        <v>Paid</v>
      </c>
      <c r="R193" s="38">
        <v>2.7</v>
      </c>
      <c r="S193" s="36">
        <v>4</v>
      </c>
      <c r="T193" s="36">
        <v>4</v>
      </c>
      <c r="U193" s="38">
        <v>0.5</v>
      </c>
      <c r="V193" s="41">
        <f t="shared" si="11"/>
        <v>5.4945054945054944E-2</v>
      </c>
      <c r="W193" s="36" t="s">
        <v>86</v>
      </c>
      <c r="X193" s="36"/>
      <c r="Y193" s="36" t="s">
        <v>612</v>
      </c>
    </row>
    <row r="194" spans="1:25" x14ac:dyDescent="0.3">
      <c r="A194" s="36" t="s">
        <v>613</v>
      </c>
      <c r="B194" s="36">
        <v>30</v>
      </c>
      <c r="C194" s="36" t="str">
        <f t="shared" ref="C194:C257" si="12">IF(B194="","",IF(B194&lt;18,"Under 18",IF(B194&lt;25,"18-24",IF(B194&lt;35,"25-34",IF(B194&lt;45,"35-44","45+")))))</f>
        <v>25-34</v>
      </c>
      <c r="D194" s="36" t="s">
        <v>133</v>
      </c>
      <c r="E194" s="36" t="s">
        <v>65</v>
      </c>
      <c r="F194" s="36" t="s">
        <v>47</v>
      </c>
      <c r="G194" s="36" t="s">
        <v>138</v>
      </c>
      <c r="H194" s="36" t="s">
        <v>174</v>
      </c>
      <c r="I194" s="36" t="s">
        <v>92</v>
      </c>
      <c r="J194" s="37">
        <v>6437</v>
      </c>
      <c r="K194" s="36" t="s">
        <v>25</v>
      </c>
      <c r="L194" s="36" t="s">
        <v>36</v>
      </c>
      <c r="M194" s="38">
        <v>1.9</v>
      </c>
      <c r="N194" s="38">
        <v>6.7</v>
      </c>
      <c r="O194" s="39">
        <f t="shared" ref="O194:O257" si="13">IF(OR(M194="",N194=""),"",M194/N194)</f>
        <v>0.28358208955223879</v>
      </c>
      <c r="P194" s="40">
        <v>0</v>
      </c>
      <c r="Q194" s="36" t="str">
        <f t="shared" ref="Q194:Q257" si="14">IF(P194="","",IF(P194=0,"Free","Paid"))</f>
        <v>Free</v>
      </c>
      <c r="R194" s="38">
        <v>4.9000000000000004</v>
      </c>
      <c r="S194" s="36">
        <v>5</v>
      </c>
      <c r="T194" s="36">
        <v>8</v>
      </c>
      <c r="U194" s="38">
        <v>2.1</v>
      </c>
      <c r="V194" s="41">
        <f t="shared" ref="V194:V257" si="15">IF(OR(U194="",M194="",M194=0),"",U194/(M194*7))</f>
        <v>0.15789473684210528</v>
      </c>
      <c r="W194" s="36" t="s">
        <v>86</v>
      </c>
      <c r="X194" s="36"/>
      <c r="Y194" s="36" t="s">
        <v>614</v>
      </c>
    </row>
    <row r="195" spans="1:25" x14ac:dyDescent="0.3">
      <c r="A195" s="36" t="s">
        <v>615</v>
      </c>
      <c r="B195" s="36">
        <v>17</v>
      </c>
      <c r="C195" s="36" t="str">
        <f t="shared" si="12"/>
        <v>Under 18</v>
      </c>
      <c r="D195" s="36" t="s">
        <v>144</v>
      </c>
      <c r="E195" s="36" t="s">
        <v>68</v>
      </c>
      <c r="F195" s="36" t="s">
        <v>46</v>
      </c>
      <c r="G195" s="36" t="s">
        <v>134</v>
      </c>
      <c r="H195" s="36" t="s">
        <v>426</v>
      </c>
      <c r="I195" s="36" t="s">
        <v>93</v>
      </c>
      <c r="J195" s="37">
        <v>440</v>
      </c>
      <c r="K195" s="36" t="s">
        <v>24</v>
      </c>
      <c r="L195" s="36" t="s">
        <v>41</v>
      </c>
      <c r="M195" s="38">
        <v>0.5</v>
      </c>
      <c r="N195" s="38">
        <v>7.5</v>
      </c>
      <c r="O195" s="39">
        <f t="shared" si="13"/>
        <v>6.6666666666666666E-2</v>
      </c>
      <c r="P195" s="40">
        <v>10</v>
      </c>
      <c r="Q195" s="36" t="str">
        <f t="shared" si="14"/>
        <v>Paid</v>
      </c>
      <c r="R195" s="38">
        <v>4.3</v>
      </c>
      <c r="S195" s="36">
        <v>4</v>
      </c>
      <c r="T195" s="36">
        <v>6</v>
      </c>
      <c r="U195" s="38">
        <v>0.5</v>
      </c>
      <c r="V195" s="41">
        <f t="shared" si="15"/>
        <v>0.14285714285714285</v>
      </c>
      <c r="W195" s="36" t="s">
        <v>88</v>
      </c>
      <c r="X195" s="36"/>
      <c r="Y195" s="36" t="s">
        <v>616</v>
      </c>
    </row>
    <row r="196" spans="1:25" x14ac:dyDescent="0.3">
      <c r="A196" s="36" t="s">
        <v>617</v>
      </c>
      <c r="B196" s="36">
        <v>25</v>
      </c>
      <c r="C196" s="36" t="str">
        <f t="shared" si="12"/>
        <v>25-34</v>
      </c>
      <c r="D196" s="36" t="s">
        <v>144</v>
      </c>
      <c r="E196" s="36" t="s">
        <v>61</v>
      </c>
      <c r="F196" s="36" t="s">
        <v>46</v>
      </c>
      <c r="G196" s="36" t="s">
        <v>245</v>
      </c>
      <c r="H196" s="36" t="s">
        <v>618</v>
      </c>
      <c r="I196" s="36" t="s">
        <v>94</v>
      </c>
      <c r="J196" s="37">
        <v>60</v>
      </c>
      <c r="K196" s="36" t="s">
        <v>29</v>
      </c>
      <c r="L196" s="36" t="s">
        <v>38</v>
      </c>
      <c r="M196" s="38">
        <v>3.4</v>
      </c>
      <c r="N196" s="38">
        <v>8</v>
      </c>
      <c r="O196" s="39">
        <f t="shared" si="13"/>
        <v>0.42499999999999999</v>
      </c>
      <c r="P196" s="40">
        <v>50</v>
      </c>
      <c r="Q196" s="36" t="str">
        <f t="shared" si="14"/>
        <v>Paid</v>
      </c>
      <c r="R196" s="38">
        <v>4.9000000000000004</v>
      </c>
      <c r="S196" s="36">
        <v>4</v>
      </c>
      <c r="T196" s="36">
        <v>8</v>
      </c>
      <c r="U196" s="38">
        <v>7.2</v>
      </c>
      <c r="V196" s="41">
        <f t="shared" si="15"/>
        <v>0.30252100840336132</v>
      </c>
      <c r="W196" s="36" t="s">
        <v>86</v>
      </c>
      <c r="X196" s="36"/>
      <c r="Y196" s="36" t="s">
        <v>619</v>
      </c>
    </row>
    <row r="197" spans="1:25" x14ac:dyDescent="0.3">
      <c r="A197" s="36" t="s">
        <v>620</v>
      </c>
      <c r="B197" s="36">
        <v>23</v>
      </c>
      <c r="C197" s="36" t="str">
        <f t="shared" si="12"/>
        <v>18-24</v>
      </c>
      <c r="D197" s="36" t="s">
        <v>144</v>
      </c>
      <c r="E197" s="36" t="s">
        <v>61</v>
      </c>
      <c r="F197" s="36" t="s">
        <v>46</v>
      </c>
      <c r="G197" s="36" t="s">
        <v>148</v>
      </c>
      <c r="H197" s="36" t="s">
        <v>597</v>
      </c>
      <c r="I197" s="36" t="s">
        <v>94</v>
      </c>
      <c r="J197" s="37">
        <v>219</v>
      </c>
      <c r="K197" s="36" t="s">
        <v>29</v>
      </c>
      <c r="L197" s="36" t="s">
        <v>38</v>
      </c>
      <c r="M197" s="38">
        <v>1.4</v>
      </c>
      <c r="N197" s="38">
        <v>6.1</v>
      </c>
      <c r="O197" s="39">
        <f t="shared" si="13"/>
        <v>0.22950819672131148</v>
      </c>
      <c r="P197" s="40">
        <v>0</v>
      </c>
      <c r="Q197" s="36" t="str">
        <f t="shared" si="14"/>
        <v>Free</v>
      </c>
      <c r="R197" s="38">
        <v>4.8</v>
      </c>
      <c r="S197" s="36">
        <v>4</v>
      </c>
      <c r="T197" s="36">
        <v>6</v>
      </c>
      <c r="U197" s="38">
        <v>3.6</v>
      </c>
      <c r="V197" s="41">
        <f t="shared" si="15"/>
        <v>0.36734693877551028</v>
      </c>
      <c r="W197" s="36" t="s">
        <v>86</v>
      </c>
      <c r="X197" s="36"/>
      <c r="Y197" s="36" t="s">
        <v>621</v>
      </c>
    </row>
    <row r="198" spans="1:25" x14ac:dyDescent="0.3">
      <c r="A198" s="36" t="s">
        <v>622</v>
      </c>
      <c r="B198" s="36">
        <v>28</v>
      </c>
      <c r="C198" s="36" t="str">
        <f t="shared" si="12"/>
        <v>25-34</v>
      </c>
      <c r="D198" s="36" t="s">
        <v>144</v>
      </c>
      <c r="E198" s="36" t="s">
        <v>66</v>
      </c>
      <c r="F198" s="36" t="s">
        <v>46</v>
      </c>
      <c r="G198" s="36" t="s">
        <v>134</v>
      </c>
      <c r="H198" s="36" t="s">
        <v>177</v>
      </c>
      <c r="I198" s="36" t="s">
        <v>92</v>
      </c>
      <c r="J198" s="37">
        <v>82</v>
      </c>
      <c r="K198" s="36" t="s">
        <v>25</v>
      </c>
      <c r="L198" s="36" t="s">
        <v>36</v>
      </c>
      <c r="M198" s="38">
        <v>0.8</v>
      </c>
      <c r="N198" s="38">
        <v>8.3000000000000007</v>
      </c>
      <c r="O198" s="39">
        <f t="shared" si="13"/>
        <v>9.638554216867469E-2</v>
      </c>
      <c r="P198" s="40">
        <v>0</v>
      </c>
      <c r="Q198" s="36" t="str">
        <f t="shared" si="14"/>
        <v>Free</v>
      </c>
      <c r="R198" s="38">
        <v>2.1</v>
      </c>
      <c r="S198" s="36">
        <v>4</v>
      </c>
      <c r="T198" s="36">
        <v>6</v>
      </c>
      <c r="U198" s="38">
        <v>1.2</v>
      </c>
      <c r="V198" s="41">
        <f t="shared" si="15"/>
        <v>0.21428571428571425</v>
      </c>
      <c r="W198" s="36" t="s">
        <v>86</v>
      </c>
      <c r="X198" s="36"/>
      <c r="Y198" s="36" t="s">
        <v>623</v>
      </c>
    </row>
    <row r="199" spans="1:25" x14ac:dyDescent="0.3">
      <c r="A199" s="36" t="s">
        <v>624</v>
      </c>
      <c r="B199" s="36">
        <v>48</v>
      </c>
      <c r="C199" s="36" t="str">
        <f t="shared" si="12"/>
        <v>45+</v>
      </c>
      <c r="D199" s="36" t="s">
        <v>277</v>
      </c>
      <c r="E199" s="36" t="s">
        <v>68</v>
      </c>
      <c r="F199" s="36" t="s">
        <v>47</v>
      </c>
      <c r="G199" s="36" t="s">
        <v>134</v>
      </c>
      <c r="H199" s="36" t="s">
        <v>168</v>
      </c>
      <c r="I199" s="36" t="s">
        <v>93</v>
      </c>
      <c r="J199" s="37">
        <v>5903</v>
      </c>
      <c r="K199" s="36" t="s">
        <v>24</v>
      </c>
      <c r="L199" s="36" t="s">
        <v>39</v>
      </c>
      <c r="M199" s="38">
        <v>1.6</v>
      </c>
      <c r="N199" s="38">
        <v>9.6999999999999993</v>
      </c>
      <c r="O199" s="39">
        <f t="shared" si="13"/>
        <v>0.16494845360824745</v>
      </c>
      <c r="P199" s="40">
        <v>20</v>
      </c>
      <c r="Q199" s="36" t="str">
        <f t="shared" si="14"/>
        <v>Paid</v>
      </c>
      <c r="R199" s="38">
        <v>5.2</v>
      </c>
      <c r="S199" s="36">
        <v>3</v>
      </c>
      <c r="T199" s="36">
        <v>7</v>
      </c>
      <c r="U199" s="38">
        <v>6.5</v>
      </c>
      <c r="V199" s="41">
        <f t="shared" si="15"/>
        <v>0.58035714285714279</v>
      </c>
      <c r="W199" s="36" t="s">
        <v>86</v>
      </c>
      <c r="X199" s="36"/>
      <c r="Y199" s="36" t="s">
        <v>625</v>
      </c>
    </row>
    <row r="200" spans="1:25" x14ac:dyDescent="0.3">
      <c r="A200" s="36" t="s">
        <v>626</v>
      </c>
      <c r="B200" s="36">
        <v>53</v>
      </c>
      <c r="C200" s="36" t="str">
        <f t="shared" si="12"/>
        <v>45+</v>
      </c>
      <c r="D200" s="36" t="s">
        <v>133</v>
      </c>
      <c r="E200" s="36" t="s">
        <v>155</v>
      </c>
      <c r="F200" s="36" t="s">
        <v>47</v>
      </c>
      <c r="G200" s="36" t="s">
        <v>138</v>
      </c>
      <c r="H200" s="36" t="s">
        <v>627</v>
      </c>
      <c r="I200" s="36" t="s">
        <v>92</v>
      </c>
      <c r="J200" s="37">
        <v>3944</v>
      </c>
      <c r="K200" s="36" t="s">
        <v>28</v>
      </c>
      <c r="L200" s="36" t="s">
        <v>36</v>
      </c>
      <c r="M200" s="38">
        <v>1.4</v>
      </c>
      <c r="N200" s="38">
        <v>9.5</v>
      </c>
      <c r="O200" s="39">
        <f t="shared" si="13"/>
        <v>0.14736842105263157</v>
      </c>
      <c r="P200" s="40">
        <v>0</v>
      </c>
      <c r="Q200" s="36" t="str">
        <f t="shared" si="14"/>
        <v>Free</v>
      </c>
      <c r="R200" s="38">
        <v>1.9</v>
      </c>
      <c r="S200" s="36">
        <v>3</v>
      </c>
      <c r="T200" s="36">
        <v>3</v>
      </c>
      <c r="U200" s="38">
        <v>2.5</v>
      </c>
      <c r="V200" s="41">
        <f t="shared" si="15"/>
        <v>0.25510204081632654</v>
      </c>
      <c r="W200" s="36" t="s">
        <v>88</v>
      </c>
      <c r="X200" s="36"/>
      <c r="Y200" s="36" t="s">
        <v>628</v>
      </c>
    </row>
    <row r="201" spans="1:25" x14ac:dyDescent="0.3">
      <c r="A201" s="36" t="s">
        <v>629</v>
      </c>
      <c r="B201" s="36">
        <v>55</v>
      </c>
      <c r="C201" s="36" t="str">
        <f t="shared" si="12"/>
        <v>45+</v>
      </c>
      <c r="D201" s="36" t="s">
        <v>133</v>
      </c>
      <c r="E201" s="36" t="s">
        <v>62</v>
      </c>
      <c r="F201" s="36" t="s">
        <v>47</v>
      </c>
      <c r="G201" s="36" t="s">
        <v>138</v>
      </c>
      <c r="H201" s="36" t="s">
        <v>135</v>
      </c>
      <c r="I201" s="36" t="s">
        <v>93</v>
      </c>
      <c r="J201" s="37">
        <v>4070</v>
      </c>
      <c r="K201" s="36" t="s">
        <v>27</v>
      </c>
      <c r="L201" s="36" t="s">
        <v>43</v>
      </c>
      <c r="M201" s="38">
        <v>2.7</v>
      </c>
      <c r="N201" s="38">
        <v>10.7</v>
      </c>
      <c r="O201" s="39">
        <f t="shared" si="13"/>
        <v>0.25233644859813087</v>
      </c>
      <c r="P201" s="40">
        <v>20</v>
      </c>
      <c r="Q201" s="36" t="str">
        <f t="shared" si="14"/>
        <v>Paid</v>
      </c>
      <c r="R201" s="38">
        <v>6.8</v>
      </c>
      <c r="S201" s="36">
        <v>4</v>
      </c>
      <c r="T201" s="36">
        <v>7</v>
      </c>
      <c r="U201" s="38"/>
      <c r="V201" s="41" t="str">
        <f t="shared" si="15"/>
        <v/>
      </c>
      <c r="W201" s="36" t="s">
        <v>86</v>
      </c>
      <c r="X201" s="36"/>
      <c r="Y201" s="36" t="s">
        <v>630</v>
      </c>
    </row>
    <row r="202" spans="1:25" x14ac:dyDescent="0.3">
      <c r="A202" s="36" t="s">
        <v>631</v>
      </c>
      <c r="B202" s="36">
        <v>17</v>
      </c>
      <c r="C202" s="36" t="str">
        <f t="shared" si="12"/>
        <v>Under 18</v>
      </c>
      <c r="D202" s="36" t="s">
        <v>133</v>
      </c>
      <c r="E202" s="36" t="s">
        <v>61</v>
      </c>
      <c r="F202" s="36" t="s">
        <v>46</v>
      </c>
      <c r="G202" s="36" t="s">
        <v>148</v>
      </c>
      <c r="H202" s="36" t="s">
        <v>632</v>
      </c>
      <c r="I202" s="36" t="s">
        <v>91</v>
      </c>
      <c r="J202" s="37"/>
      <c r="K202" s="36" t="s">
        <v>24</v>
      </c>
      <c r="L202" s="36" t="s">
        <v>39</v>
      </c>
      <c r="M202" s="38">
        <v>1.7</v>
      </c>
      <c r="N202" s="38">
        <v>7</v>
      </c>
      <c r="O202" s="39">
        <f t="shared" si="13"/>
        <v>0.24285714285714285</v>
      </c>
      <c r="P202" s="40">
        <v>0</v>
      </c>
      <c r="Q202" s="36" t="str">
        <f t="shared" si="14"/>
        <v>Free</v>
      </c>
      <c r="R202" s="38">
        <v>5.8</v>
      </c>
      <c r="S202" s="36">
        <v>4</v>
      </c>
      <c r="T202" s="36">
        <v>7</v>
      </c>
      <c r="U202" s="38">
        <v>5</v>
      </c>
      <c r="V202" s="41">
        <f t="shared" si="15"/>
        <v>0.42016806722689076</v>
      </c>
      <c r="W202" s="36" t="s">
        <v>86</v>
      </c>
      <c r="X202" s="36" t="s">
        <v>633</v>
      </c>
      <c r="Y202" s="36" t="s">
        <v>634</v>
      </c>
    </row>
    <row r="203" spans="1:25" x14ac:dyDescent="0.3">
      <c r="A203" s="36" t="s">
        <v>635</v>
      </c>
      <c r="B203" s="36"/>
      <c r="C203" s="36" t="str">
        <f t="shared" si="12"/>
        <v/>
      </c>
      <c r="D203" s="36" t="s">
        <v>144</v>
      </c>
      <c r="E203" s="36" t="s">
        <v>62</v>
      </c>
      <c r="F203" s="36" t="s">
        <v>47</v>
      </c>
      <c r="G203" s="36" t="s">
        <v>138</v>
      </c>
      <c r="H203" s="36"/>
      <c r="I203" s="36"/>
      <c r="J203" s="37"/>
      <c r="K203" s="36"/>
      <c r="L203" s="36" t="s">
        <v>37</v>
      </c>
      <c r="M203" s="38">
        <v>3.1</v>
      </c>
      <c r="N203" s="38">
        <v>8.4</v>
      </c>
      <c r="O203" s="39">
        <f t="shared" si="13"/>
        <v>0.36904761904761907</v>
      </c>
      <c r="P203" s="40">
        <v>30</v>
      </c>
      <c r="Q203" s="36" t="str">
        <f t="shared" si="14"/>
        <v>Paid</v>
      </c>
      <c r="R203" s="38">
        <v>5.6</v>
      </c>
      <c r="S203" s="36">
        <v>3</v>
      </c>
      <c r="T203" s="36">
        <v>7</v>
      </c>
      <c r="U203" s="38">
        <v>5.2</v>
      </c>
      <c r="V203" s="41">
        <f t="shared" si="15"/>
        <v>0.23963133640552997</v>
      </c>
      <c r="W203" s="36" t="s">
        <v>86</v>
      </c>
      <c r="X203" s="36"/>
      <c r="Y203" s="36" t="s">
        <v>636</v>
      </c>
    </row>
    <row r="204" spans="1:25" x14ac:dyDescent="0.3">
      <c r="A204" s="36" t="s">
        <v>637</v>
      </c>
      <c r="B204" s="36">
        <v>32</v>
      </c>
      <c r="C204" s="36" t="str">
        <f t="shared" si="12"/>
        <v>25-34</v>
      </c>
      <c r="D204" s="36" t="s">
        <v>144</v>
      </c>
      <c r="E204" s="36" t="s">
        <v>63</v>
      </c>
      <c r="F204" s="36" t="s">
        <v>46</v>
      </c>
      <c r="G204" s="36" t="s">
        <v>148</v>
      </c>
      <c r="H204" s="36" t="s">
        <v>188</v>
      </c>
      <c r="I204" s="36" t="s">
        <v>91</v>
      </c>
      <c r="J204" s="37">
        <v>553</v>
      </c>
      <c r="K204" s="36" t="s">
        <v>28</v>
      </c>
      <c r="L204" s="36" t="s">
        <v>37</v>
      </c>
      <c r="M204" s="38">
        <v>1.5</v>
      </c>
      <c r="N204" s="38">
        <v>5.9</v>
      </c>
      <c r="O204" s="39">
        <f t="shared" si="13"/>
        <v>0.25423728813559321</v>
      </c>
      <c r="P204" s="40">
        <v>25</v>
      </c>
      <c r="Q204" s="36" t="str">
        <f t="shared" si="14"/>
        <v>Paid</v>
      </c>
      <c r="R204" s="38">
        <v>3.6</v>
      </c>
      <c r="S204" s="36">
        <v>4</v>
      </c>
      <c r="T204" s="36">
        <v>6</v>
      </c>
      <c r="U204" s="38">
        <v>5.5</v>
      </c>
      <c r="V204" s="41">
        <f t="shared" si="15"/>
        <v>0.52380952380952384</v>
      </c>
      <c r="W204" s="36" t="s">
        <v>87</v>
      </c>
      <c r="X204" s="36"/>
      <c r="Y204" s="36" t="s">
        <v>638</v>
      </c>
    </row>
    <row r="205" spans="1:25" x14ac:dyDescent="0.3">
      <c r="A205" s="36" t="s">
        <v>639</v>
      </c>
      <c r="B205" s="36">
        <v>23</v>
      </c>
      <c r="C205" s="36" t="str">
        <f t="shared" si="12"/>
        <v>18-24</v>
      </c>
      <c r="D205" s="36" t="s">
        <v>133</v>
      </c>
      <c r="E205" s="36" t="s">
        <v>155</v>
      </c>
      <c r="F205" s="36" t="s">
        <v>47</v>
      </c>
      <c r="G205" s="36" t="s">
        <v>138</v>
      </c>
      <c r="H205" s="36" t="s">
        <v>640</v>
      </c>
      <c r="I205" s="36" t="s">
        <v>92</v>
      </c>
      <c r="J205" s="37">
        <v>3693</v>
      </c>
      <c r="K205" s="36" t="s">
        <v>26</v>
      </c>
      <c r="L205" s="36" t="s">
        <v>36</v>
      </c>
      <c r="M205" s="38">
        <v>5.5</v>
      </c>
      <c r="N205" s="38">
        <v>6.1</v>
      </c>
      <c r="O205" s="39">
        <f t="shared" si="13"/>
        <v>0.90163934426229508</v>
      </c>
      <c r="P205" s="40">
        <v>20</v>
      </c>
      <c r="Q205" s="36" t="str">
        <f t="shared" si="14"/>
        <v>Paid</v>
      </c>
      <c r="R205" s="38">
        <v>7.6</v>
      </c>
      <c r="S205" s="36">
        <v>3</v>
      </c>
      <c r="T205" s="36">
        <v>7</v>
      </c>
      <c r="U205" s="38">
        <v>9.3000000000000007</v>
      </c>
      <c r="V205" s="41">
        <f t="shared" si="15"/>
        <v>0.24155844155844158</v>
      </c>
      <c r="W205" s="36" t="s">
        <v>86</v>
      </c>
      <c r="X205" s="36"/>
      <c r="Y205" s="36" t="s">
        <v>641</v>
      </c>
    </row>
    <row r="206" spans="1:25" x14ac:dyDescent="0.3">
      <c r="A206" s="36" t="s">
        <v>642</v>
      </c>
      <c r="B206" s="36">
        <v>47</v>
      </c>
      <c r="C206" s="36" t="str">
        <f t="shared" si="12"/>
        <v>45+</v>
      </c>
      <c r="D206" s="36" t="s">
        <v>144</v>
      </c>
      <c r="E206" s="36" t="s">
        <v>65</v>
      </c>
      <c r="F206" s="36" t="s">
        <v>47</v>
      </c>
      <c r="G206" s="36" t="s">
        <v>245</v>
      </c>
      <c r="H206" s="36" t="s">
        <v>643</v>
      </c>
      <c r="I206" s="36" t="s">
        <v>92</v>
      </c>
      <c r="J206" s="37">
        <v>7690</v>
      </c>
      <c r="K206" s="36" t="s">
        <v>27</v>
      </c>
      <c r="L206" s="36" t="s">
        <v>36</v>
      </c>
      <c r="M206" s="38">
        <v>0.5</v>
      </c>
      <c r="N206" s="38">
        <v>10.4</v>
      </c>
      <c r="O206" s="39">
        <f t="shared" si="13"/>
        <v>4.8076923076923073E-2</v>
      </c>
      <c r="P206" s="40"/>
      <c r="Q206" s="36" t="str">
        <f t="shared" si="14"/>
        <v/>
      </c>
      <c r="R206" s="38">
        <v>2</v>
      </c>
      <c r="S206" s="36">
        <v>2</v>
      </c>
      <c r="T206" s="36">
        <v>3</v>
      </c>
      <c r="U206" s="38">
        <v>2.7</v>
      </c>
      <c r="V206" s="41">
        <f t="shared" si="15"/>
        <v>0.77142857142857146</v>
      </c>
      <c r="W206" s="36" t="s">
        <v>88</v>
      </c>
      <c r="X206" s="36"/>
      <c r="Y206" s="36" t="s">
        <v>644</v>
      </c>
    </row>
    <row r="207" spans="1:25" x14ac:dyDescent="0.3">
      <c r="A207" s="36" t="s">
        <v>645</v>
      </c>
      <c r="B207" s="36">
        <v>21</v>
      </c>
      <c r="C207" s="36" t="str">
        <f t="shared" si="12"/>
        <v>18-24</v>
      </c>
      <c r="D207" s="36" t="s">
        <v>133</v>
      </c>
      <c r="E207" s="36" t="s">
        <v>63</v>
      </c>
      <c r="F207" s="36" t="s">
        <v>46</v>
      </c>
      <c r="G207" s="36" t="s">
        <v>159</v>
      </c>
      <c r="H207" s="36" t="s">
        <v>188</v>
      </c>
      <c r="I207" s="36" t="s">
        <v>91</v>
      </c>
      <c r="J207" s="37">
        <v>0</v>
      </c>
      <c r="K207" s="36" t="s">
        <v>27</v>
      </c>
      <c r="L207" s="36" t="s">
        <v>37</v>
      </c>
      <c r="M207" s="38">
        <v>2.9</v>
      </c>
      <c r="N207" s="38">
        <v>6.4</v>
      </c>
      <c r="O207" s="39">
        <f t="shared" si="13"/>
        <v>0.45312499999999994</v>
      </c>
      <c r="P207" s="40">
        <v>10</v>
      </c>
      <c r="Q207" s="36" t="str">
        <f t="shared" si="14"/>
        <v>Paid</v>
      </c>
      <c r="R207" s="38">
        <v>5.7</v>
      </c>
      <c r="S207" s="36">
        <v>2</v>
      </c>
      <c r="T207" s="36">
        <v>4</v>
      </c>
      <c r="U207" s="38">
        <v>6.6</v>
      </c>
      <c r="V207" s="41">
        <f t="shared" si="15"/>
        <v>0.3251231527093596</v>
      </c>
      <c r="W207" s="36" t="s">
        <v>88</v>
      </c>
      <c r="X207" s="36"/>
      <c r="Y207" s="36" t="s">
        <v>646</v>
      </c>
    </row>
    <row r="208" spans="1:25" x14ac:dyDescent="0.3">
      <c r="A208" s="36" t="s">
        <v>647</v>
      </c>
      <c r="B208" s="36">
        <v>28</v>
      </c>
      <c r="C208" s="36" t="str">
        <f t="shared" si="12"/>
        <v>25-34</v>
      </c>
      <c r="D208" s="36" t="s">
        <v>277</v>
      </c>
      <c r="E208" s="36"/>
      <c r="F208" s="36" t="s">
        <v>47</v>
      </c>
      <c r="G208" s="36" t="s">
        <v>245</v>
      </c>
      <c r="H208" s="36" t="s">
        <v>648</v>
      </c>
      <c r="I208" s="36" t="s">
        <v>93</v>
      </c>
      <c r="J208" s="37">
        <v>1208</v>
      </c>
      <c r="K208" s="36" t="s">
        <v>28</v>
      </c>
      <c r="L208" s="36" t="s">
        <v>43</v>
      </c>
      <c r="M208" s="38">
        <v>1</v>
      </c>
      <c r="N208" s="38">
        <v>8.3000000000000007</v>
      </c>
      <c r="O208" s="39">
        <f t="shared" si="13"/>
        <v>0.12048192771084336</v>
      </c>
      <c r="P208" s="40">
        <v>20</v>
      </c>
      <c r="Q208" s="36" t="str">
        <f t="shared" si="14"/>
        <v>Paid</v>
      </c>
      <c r="R208" s="38">
        <v>2.6</v>
      </c>
      <c r="S208" s="36">
        <v>4</v>
      </c>
      <c r="T208" s="36">
        <v>4</v>
      </c>
      <c r="U208" s="38"/>
      <c r="V208" s="41" t="str">
        <f t="shared" si="15"/>
        <v/>
      </c>
      <c r="W208" s="36" t="s">
        <v>88</v>
      </c>
      <c r="X208" s="36"/>
      <c r="Y208" s="36" t="s">
        <v>649</v>
      </c>
    </row>
    <row r="209" spans="1:25" x14ac:dyDescent="0.3">
      <c r="A209" s="36" t="s">
        <v>650</v>
      </c>
      <c r="B209" s="36"/>
      <c r="C209" s="36" t="str">
        <f t="shared" si="12"/>
        <v/>
      </c>
      <c r="D209" s="36" t="s">
        <v>133</v>
      </c>
      <c r="E209" s="36" t="s">
        <v>62</v>
      </c>
      <c r="F209" s="36" t="s">
        <v>47</v>
      </c>
      <c r="G209" s="36" t="s">
        <v>134</v>
      </c>
      <c r="H209" s="36" t="s">
        <v>651</v>
      </c>
      <c r="I209" s="36" t="s">
        <v>91</v>
      </c>
      <c r="J209" s="37">
        <v>10311</v>
      </c>
      <c r="K209" s="36" t="s">
        <v>25</v>
      </c>
      <c r="L209" s="36" t="s">
        <v>37</v>
      </c>
      <c r="M209" s="38">
        <v>2.1</v>
      </c>
      <c r="N209" s="38">
        <v>10.5</v>
      </c>
      <c r="O209" s="39">
        <f t="shared" si="13"/>
        <v>0.2</v>
      </c>
      <c r="P209" s="40">
        <v>20</v>
      </c>
      <c r="Q209" s="36" t="str">
        <f t="shared" si="14"/>
        <v>Paid</v>
      </c>
      <c r="R209" s="38">
        <v>4.2</v>
      </c>
      <c r="S209" s="36">
        <v>3</v>
      </c>
      <c r="T209" s="36">
        <v>5</v>
      </c>
      <c r="U209" s="38">
        <v>5.4</v>
      </c>
      <c r="V209" s="41">
        <f t="shared" si="15"/>
        <v>0.36734693877551022</v>
      </c>
      <c r="W209" s="36" t="s">
        <v>87</v>
      </c>
      <c r="X209" s="36"/>
      <c r="Y209" s="36" t="s">
        <v>652</v>
      </c>
    </row>
    <row r="210" spans="1:25" x14ac:dyDescent="0.3">
      <c r="A210" s="36" t="s">
        <v>653</v>
      </c>
      <c r="B210" s="36">
        <v>41</v>
      </c>
      <c r="C210" s="36" t="str">
        <f t="shared" si="12"/>
        <v>35-44</v>
      </c>
      <c r="D210" s="36" t="s">
        <v>133</v>
      </c>
      <c r="E210" s="36" t="s">
        <v>61</v>
      </c>
      <c r="F210" s="36" t="s">
        <v>47</v>
      </c>
      <c r="G210" s="36" t="s">
        <v>194</v>
      </c>
      <c r="H210" s="36" t="s">
        <v>654</v>
      </c>
      <c r="I210" s="36" t="s">
        <v>92</v>
      </c>
      <c r="J210" s="37">
        <v>1407</v>
      </c>
      <c r="K210" s="36" t="s">
        <v>29</v>
      </c>
      <c r="L210" s="36" t="s">
        <v>36</v>
      </c>
      <c r="M210" s="38">
        <v>0.6</v>
      </c>
      <c r="N210" s="38">
        <v>9.5</v>
      </c>
      <c r="O210" s="39">
        <f t="shared" si="13"/>
        <v>6.3157894736842107E-2</v>
      </c>
      <c r="P210" s="40">
        <v>0</v>
      </c>
      <c r="Q210" s="36" t="str">
        <f t="shared" si="14"/>
        <v>Free</v>
      </c>
      <c r="R210" s="38">
        <v>3.3</v>
      </c>
      <c r="S210" s="36">
        <v>3</v>
      </c>
      <c r="T210" s="36">
        <v>4</v>
      </c>
      <c r="U210" s="38">
        <v>3</v>
      </c>
      <c r="V210" s="41">
        <f t="shared" si="15"/>
        <v>0.7142857142857143</v>
      </c>
      <c r="W210" s="36" t="s">
        <v>88</v>
      </c>
      <c r="X210" s="36"/>
      <c r="Y210" s="36" t="s">
        <v>655</v>
      </c>
    </row>
    <row r="211" spans="1:25" x14ac:dyDescent="0.3">
      <c r="A211" s="36" t="s">
        <v>656</v>
      </c>
      <c r="B211" s="36">
        <v>64</v>
      </c>
      <c r="C211" s="36" t="str">
        <f t="shared" si="12"/>
        <v>45+</v>
      </c>
      <c r="D211" s="36" t="s">
        <v>144</v>
      </c>
      <c r="E211" s="36" t="s">
        <v>61</v>
      </c>
      <c r="F211" s="36" t="s">
        <v>47</v>
      </c>
      <c r="G211" s="36" t="s">
        <v>134</v>
      </c>
      <c r="H211" s="36" t="s">
        <v>267</v>
      </c>
      <c r="I211" s="36" t="s">
        <v>91</v>
      </c>
      <c r="J211" s="37">
        <v>2050</v>
      </c>
      <c r="K211" s="36" t="s">
        <v>30</v>
      </c>
      <c r="L211" s="36" t="s">
        <v>40</v>
      </c>
      <c r="M211" s="38">
        <v>5.3</v>
      </c>
      <c r="N211" s="38">
        <v>9.5</v>
      </c>
      <c r="O211" s="39">
        <f t="shared" si="13"/>
        <v>0.55789473684210522</v>
      </c>
      <c r="P211" s="40">
        <v>50</v>
      </c>
      <c r="Q211" s="36" t="str">
        <f t="shared" si="14"/>
        <v>Paid</v>
      </c>
      <c r="R211" s="38">
        <v>7.8</v>
      </c>
      <c r="S211" s="36">
        <v>3</v>
      </c>
      <c r="T211" s="36">
        <v>6</v>
      </c>
      <c r="U211" s="38">
        <v>10.7</v>
      </c>
      <c r="V211" s="41">
        <f t="shared" si="15"/>
        <v>0.2884097035040431</v>
      </c>
      <c r="W211" s="36" t="s">
        <v>87</v>
      </c>
      <c r="X211" s="36"/>
      <c r="Y211" s="36" t="s">
        <v>657</v>
      </c>
    </row>
    <row r="212" spans="1:25" x14ac:dyDescent="0.3">
      <c r="A212" s="36" t="s">
        <v>658</v>
      </c>
      <c r="B212" s="36"/>
      <c r="C212" s="36" t="str">
        <f t="shared" si="12"/>
        <v/>
      </c>
      <c r="D212" s="36" t="s">
        <v>144</v>
      </c>
      <c r="E212" s="36" t="s">
        <v>62</v>
      </c>
      <c r="F212" s="36" t="s">
        <v>46</v>
      </c>
      <c r="G212" s="36" t="s">
        <v>148</v>
      </c>
      <c r="H212" s="36" t="s">
        <v>149</v>
      </c>
      <c r="I212" s="36" t="s">
        <v>94</v>
      </c>
      <c r="J212" s="37">
        <v>243</v>
      </c>
      <c r="K212" s="36" t="s">
        <v>26</v>
      </c>
      <c r="L212" s="36" t="s">
        <v>38</v>
      </c>
      <c r="M212" s="38">
        <v>0.8</v>
      </c>
      <c r="N212" s="38">
        <v>6.8</v>
      </c>
      <c r="O212" s="39">
        <f t="shared" si="13"/>
        <v>0.11764705882352942</v>
      </c>
      <c r="P212" s="40">
        <v>0</v>
      </c>
      <c r="Q212" s="36" t="str">
        <f t="shared" si="14"/>
        <v>Free</v>
      </c>
      <c r="R212" s="38">
        <v>2.5</v>
      </c>
      <c r="S212" s="36">
        <v>3</v>
      </c>
      <c r="T212" s="36">
        <v>5</v>
      </c>
      <c r="U212" s="38">
        <v>1.3</v>
      </c>
      <c r="V212" s="41">
        <f t="shared" si="15"/>
        <v>0.23214285714285712</v>
      </c>
      <c r="W212" s="36" t="s">
        <v>88</v>
      </c>
      <c r="X212" s="36" t="s">
        <v>364</v>
      </c>
      <c r="Y212" s="36" t="s">
        <v>659</v>
      </c>
    </row>
    <row r="213" spans="1:25" x14ac:dyDescent="0.3">
      <c r="A213" s="36" t="s">
        <v>660</v>
      </c>
      <c r="B213" s="36">
        <v>63</v>
      </c>
      <c r="C213" s="36" t="str">
        <f t="shared" si="12"/>
        <v>45+</v>
      </c>
      <c r="D213" s="36" t="s">
        <v>133</v>
      </c>
      <c r="E213" s="36" t="s">
        <v>66</v>
      </c>
      <c r="F213" s="36" t="s">
        <v>47</v>
      </c>
      <c r="G213" s="36" t="s">
        <v>194</v>
      </c>
      <c r="H213" s="36" t="s">
        <v>661</v>
      </c>
      <c r="I213" s="36" t="s">
        <v>92</v>
      </c>
      <c r="J213" s="37">
        <v>1405</v>
      </c>
      <c r="K213" s="36" t="s">
        <v>24</v>
      </c>
      <c r="L213" s="36" t="s">
        <v>36</v>
      </c>
      <c r="M213" s="38">
        <v>3.4</v>
      </c>
      <c r="N213" s="38">
        <v>7.5</v>
      </c>
      <c r="O213" s="39">
        <f t="shared" si="13"/>
        <v>0.45333333333333331</v>
      </c>
      <c r="P213" s="40"/>
      <c r="Q213" s="36" t="str">
        <f t="shared" si="14"/>
        <v/>
      </c>
      <c r="R213" s="38">
        <v>6.8</v>
      </c>
      <c r="S213" s="36">
        <v>5</v>
      </c>
      <c r="T213" s="36">
        <v>10</v>
      </c>
      <c r="U213" s="38">
        <v>7.4</v>
      </c>
      <c r="V213" s="41">
        <f t="shared" si="15"/>
        <v>0.31092436974789917</v>
      </c>
      <c r="W213" s="36" t="s">
        <v>87</v>
      </c>
      <c r="X213" s="36"/>
      <c r="Y213" s="36" t="s">
        <v>662</v>
      </c>
    </row>
    <row r="214" spans="1:25" x14ac:dyDescent="0.3">
      <c r="A214" s="36" t="s">
        <v>663</v>
      </c>
      <c r="B214" s="36"/>
      <c r="C214" s="36" t="str">
        <f t="shared" si="12"/>
        <v/>
      </c>
      <c r="D214" s="36" t="s">
        <v>133</v>
      </c>
      <c r="E214" s="36" t="s">
        <v>69</v>
      </c>
      <c r="F214" s="36" t="s">
        <v>46</v>
      </c>
      <c r="G214" s="36" t="s">
        <v>148</v>
      </c>
      <c r="H214" s="36" t="s">
        <v>188</v>
      </c>
      <c r="I214" s="36" t="s">
        <v>91</v>
      </c>
      <c r="J214" s="37">
        <v>98</v>
      </c>
      <c r="K214" s="36" t="s">
        <v>27</v>
      </c>
      <c r="L214" s="36" t="s">
        <v>37</v>
      </c>
      <c r="M214" s="38">
        <v>1.7</v>
      </c>
      <c r="N214" s="38">
        <v>7.7</v>
      </c>
      <c r="O214" s="39">
        <f t="shared" si="13"/>
        <v>0.22077922077922077</v>
      </c>
      <c r="P214" s="40">
        <v>20</v>
      </c>
      <c r="Q214" s="36" t="str">
        <f t="shared" si="14"/>
        <v>Paid</v>
      </c>
      <c r="R214" s="38">
        <v>3.5</v>
      </c>
      <c r="S214" s="36">
        <v>3</v>
      </c>
      <c r="T214" s="36">
        <v>6</v>
      </c>
      <c r="U214" s="38">
        <v>2.9</v>
      </c>
      <c r="V214" s="41">
        <f t="shared" si="15"/>
        <v>0.24369747899159663</v>
      </c>
      <c r="W214" s="36" t="s">
        <v>86</v>
      </c>
      <c r="X214" s="36"/>
      <c r="Y214" s="36" t="s">
        <v>664</v>
      </c>
    </row>
    <row r="215" spans="1:25" x14ac:dyDescent="0.3">
      <c r="A215" s="36" t="s">
        <v>665</v>
      </c>
      <c r="B215" s="36">
        <v>20</v>
      </c>
      <c r="C215" s="36" t="str">
        <f t="shared" si="12"/>
        <v>18-24</v>
      </c>
      <c r="D215" s="36" t="s">
        <v>133</v>
      </c>
      <c r="E215" s="36" t="s">
        <v>61</v>
      </c>
      <c r="F215" s="36" t="s">
        <v>46</v>
      </c>
      <c r="G215" s="36" t="s">
        <v>138</v>
      </c>
      <c r="H215" s="36" t="s">
        <v>426</v>
      </c>
      <c r="I215" s="36" t="s">
        <v>93</v>
      </c>
      <c r="J215" s="37">
        <v>104</v>
      </c>
      <c r="K215" s="36" t="s">
        <v>24</v>
      </c>
      <c r="L215" s="36" t="s">
        <v>38</v>
      </c>
      <c r="M215" s="38">
        <v>6.8</v>
      </c>
      <c r="N215" s="38">
        <v>6.4</v>
      </c>
      <c r="O215" s="39">
        <f t="shared" si="13"/>
        <v>1.0625</v>
      </c>
      <c r="P215" s="40">
        <v>0</v>
      </c>
      <c r="Q215" s="36" t="str">
        <f t="shared" si="14"/>
        <v>Free</v>
      </c>
      <c r="R215" s="38">
        <v>6.9</v>
      </c>
      <c r="S215" s="36">
        <v>2</v>
      </c>
      <c r="T215" s="36">
        <v>6</v>
      </c>
      <c r="U215" s="38">
        <v>14.1</v>
      </c>
      <c r="V215" s="41">
        <f t="shared" si="15"/>
        <v>0.29621848739495799</v>
      </c>
      <c r="W215" s="36" t="s">
        <v>88</v>
      </c>
      <c r="X215" s="36" t="s">
        <v>178</v>
      </c>
      <c r="Y215" s="36" t="s">
        <v>666</v>
      </c>
    </row>
    <row r="216" spans="1:25" x14ac:dyDescent="0.3">
      <c r="A216" s="36" t="s">
        <v>667</v>
      </c>
      <c r="B216" s="36"/>
      <c r="C216" s="36" t="str">
        <f t="shared" si="12"/>
        <v/>
      </c>
      <c r="D216" s="36" t="s">
        <v>133</v>
      </c>
      <c r="E216" s="36" t="s">
        <v>66</v>
      </c>
      <c r="F216" s="36" t="s">
        <v>46</v>
      </c>
      <c r="G216" s="36" t="s">
        <v>138</v>
      </c>
      <c r="H216" s="36" t="s">
        <v>163</v>
      </c>
      <c r="I216" s="36" t="s">
        <v>91</v>
      </c>
      <c r="J216" s="37">
        <v>243</v>
      </c>
      <c r="K216" s="36" t="s">
        <v>27</v>
      </c>
      <c r="L216" s="36" t="s">
        <v>40</v>
      </c>
      <c r="M216" s="38">
        <v>2.8</v>
      </c>
      <c r="N216" s="38">
        <v>8.5</v>
      </c>
      <c r="O216" s="39">
        <f t="shared" si="13"/>
        <v>0.32941176470588235</v>
      </c>
      <c r="P216" s="40">
        <v>100</v>
      </c>
      <c r="Q216" s="36" t="str">
        <f t="shared" si="14"/>
        <v>Paid</v>
      </c>
      <c r="R216" s="38">
        <v>5.4</v>
      </c>
      <c r="S216" s="36">
        <v>3</v>
      </c>
      <c r="T216" s="36">
        <v>6</v>
      </c>
      <c r="U216" s="38">
        <v>6.8</v>
      </c>
      <c r="V216" s="41">
        <f t="shared" si="15"/>
        <v>0.34693877551020413</v>
      </c>
      <c r="W216" s="36" t="s">
        <v>86</v>
      </c>
      <c r="X216" s="36"/>
      <c r="Y216" s="36" t="s">
        <v>668</v>
      </c>
    </row>
    <row r="217" spans="1:25" x14ac:dyDescent="0.3">
      <c r="A217" s="36" t="s">
        <v>669</v>
      </c>
      <c r="B217" s="36">
        <v>22</v>
      </c>
      <c r="C217" s="36" t="str">
        <f t="shared" si="12"/>
        <v>18-24</v>
      </c>
      <c r="D217" s="36" t="s">
        <v>144</v>
      </c>
      <c r="E217" s="36" t="s">
        <v>62</v>
      </c>
      <c r="F217" s="36" t="s">
        <v>46</v>
      </c>
      <c r="G217" s="36" t="s">
        <v>148</v>
      </c>
      <c r="H217" s="36" t="s">
        <v>292</v>
      </c>
      <c r="I217" s="36" t="s">
        <v>91</v>
      </c>
      <c r="J217" s="37">
        <v>0</v>
      </c>
      <c r="K217" s="36" t="s">
        <v>24</v>
      </c>
      <c r="L217" s="36" t="s">
        <v>40</v>
      </c>
      <c r="M217" s="38">
        <v>5.9</v>
      </c>
      <c r="N217" s="38">
        <v>5.7</v>
      </c>
      <c r="O217" s="39">
        <f t="shared" si="13"/>
        <v>1.0350877192982457</v>
      </c>
      <c r="P217" s="40">
        <v>20</v>
      </c>
      <c r="Q217" s="36" t="str">
        <f t="shared" si="14"/>
        <v>Paid</v>
      </c>
      <c r="R217" s="38">
        <v>5.5</v>
      </c>
      <c r="S217" s="36">
        <v>3</v>
      </c>
      <c r="T217" s="36">
        <v>5</v>
      </c>
      <c r="U217" s="38">
        <v>12.4</v>
      </c>
      <c r="V217" s="41">
        <f t="shared" si="15"/>
        <v>0.3002421307506053</v>
      </c>
      <c r="W217" s="36" t="s">
        <v>88</v>
      </c>
      <c r="X217" s="36" t="s">
        <v>178</v>
      </c>
      <c r="Y217" s="36" t="s">
        <v>670</v>
      </c>
    </row>
    <row r="218" spans="1:25" x14ac:dyDescent="0.3">
      <c r="A218" s="36" t="s">
        <v>671</v>
      </c>
      <c r="B218" s="36"/>
      <c r="C218" s="36" t="str">
        <f t="shared" si="12"/>
        <v/>
      </c>
      <c r="D218" s="36" t="s">
        <v>144</v>
      </c>
      <c r="E218" s="36" t="s">
        <v>68</v>
      </c>
      <c r="F218" s="36" t="s">
        <v>47</v>
      </c>
      <c r="G218" s="36" t="s">
        <v>134</v>
      </c>
      <c r="H218" s="36" t="s">
        <v>672</v>
      </c>
      <c r="I218" s="36" t="s">
        <v>93</v>
      </c>
      <c r="J218" s="37">
        <v>3462</v>
      </c>
      <c r="K218" s="36" t="s">
        <v>25</v>
      </c>
      <c r="L218" s="36" t="s">
        <v>41</v>
      </c>
      <c r="M218" s="38">
        <v>4.5</v>
      </c>
      <c r="N218" s="38">
        <v>6.7</v>
      </c>
      <c r="O218" s="39">
        <f t="shared" si="13"/>
        <v>0.67164179104477606</v>
      </c>
      <c r="P218" s="40">
        <v>0</v>
      </c>
      <c r="Q218" s="36" t="str">
        <f t="shared" si="14"/>
        <v>Free</v>
      </c>
      <c r="R218" s="38">
        <v>5.6</v>
      </c>
      <c r="S218" s="36">
        <v>4</v>
      </c>
      <c r="T218" s="36">
        <v>5</v>
      </c>
      <c r="U218" s="38">
        <v>5.5</v>
      </c>
      <c r="V218" s="41">
        <f t="shared" si="15"/>
        <v>0.17460317460317459</v>
      </c>
      <c r="W218" s="36" t="s">
        <v>87</v>
      </c>
      <c r="X218" s="36"/>
      <c r="Y218" s="36" t="s">
        <v>673</v>
      </c>
    </row>
    <row r="219" spans="1:25" x14ac:dyDescent="0.3">
      <c r="A219" s="36" t="s">
        <v>674</v>
      </c>
      <c r="B219" s="36">
        <v>44</v>
      </c>
      <c r="C219" s="36" t="str">
        <f t="shared" si="12"/>
        <v>35-44</v>
      </c>
      <c r="D219" s="36" t="s">
        <v>144</v>
      </c>
      <c r="E219" s="36" t="s">
        <v>66</v>
      </c>
      <c r="F219" s="36" t="s">
        <v>47</v>
      </c>
      <c r="G219" s="36" t="s">
        <v>194</v>
      </c>
      <c r="H219" s="36" t="s">
        <v>675</v>
      </c>
      <c r="I219" s="36" t="s">
        <v>96</v>
      </c>
      <c r="J219" s="37">
        <v>1613</v>
      </c>
      <c r="K219" s="36" t="s">
        <v>25</v>
      </c>
      <c r="L219" s="36" t="s">
        <v>43</v>
      </c>
      <c r="M219" s="38">
        <v>4.2</v>
      </c>
      <c r="N219" s="38">
        <v>10</v>
      </c>
      <c r="O219" s="39">
        <f t="shared" si="13"/>
        <v>0.42000000000000004</v>
      </c>
      <c r="P219" s="40">
        <v>0</v>
      </c>
      <c r="Q219" s="36" t="str">
        <f t="shared" si="14"/>
        <v>Free</v>
      </c>
      <c r="R219" s="38">
        <v>5.9</v>
      </c>
      <c r="S219" s="36">
        <v>3</v>
      </c>
      <c r="T219" s="36">
        <v>6</v>
      </c>
      <c r="U219" s="38">
        <v>5.6</v>
      </c>
      <c r="V219" s="41">
        <f t="shared" si="15"/>
        <v>0.19047619047619044</v>
      </c>
      <c r="W219" s="36" t="s">
        <v>86</v>
      </c>
      <c r="X219" s="36"/>
      <c r="Y219" s="36" t="s">
        <v>676</v>
      </c>
    </row>
    <row r="220" spans="1:25" x14ac:dyDescent="0.3">
      <c r="A220" s="36" t="s">
        <v>677</v>
      </c>
      <c r="B220" s="36">
        <v>31</v>
      </c>
      <c r="C220" s="36" t="str">
        <f t="shared" si="12"/>
        <v>25-34</v>
      </c>
      <c r="D220" s="36" t="s">
        <v>144</v>
      </c>
      <c r="E220" s="36" t="s">
        <v>64</v>
      </c>
      <c r="F220" s="36" t="s">
        <v>47</v>
      </c>
      <c r="G220" s="36" t="s">
        <v>138</v>
      </c>
      <c r="H220" s="36" t="s">
        <v>249</v>
      </c>
      <c r="I220" s="36" t="s">
        <v>91</v>
      </c>
      <c r="J220" s="37">
        <v>969</v>
      </c>
      <c r="K220" s="36" t="s">
        <v>24</v>
      </c>
      <c r="L220" s="36" t="s">
        <v>37</v>
      </c>
      <c r="M220" s="38">
        <v>4.9000000000000004</v>
      </c>
      <c r="N220" s="38">
        <v>9.3000000000000007</v>
      </c>
      <c r="O220" s="39">
        <f t="shared" si="13"/>
        <v>0.5268817204301075</v>
      </c>
      <c r="P220" s="40">
        <v>0</v>
      </c>
      <c r="Q220" s="36" t="str">
        <f t="shared" si="14"/>
        <v>Free</v>
      </c>
      <c r="R220" s="38">
        <v>5.4</v>
      </c>
      <c r="S220" s="36">
        <v>3</v>
      </c>
      <c r="T220" s="36">
        <v>7</v>
      </c>
      <c r="U220" s="38">
        <v>6.5</v>
      </c>
      <c r="V220" s="41">
        <f t="shared" si="15"/>
        <v>0.18950437317784255</v>
      </c>
      <c r="W220" s="36" t="s">
        <v>86</v>
      </c>
      <c r="X220" s="36"/>
      <c r="Y220" s="36" t="s">
        <v>678</v>
      </c>
    </row>
    <row r="221" spans="1:25" x14ac:dyDescent="0.3">
      <c r="A221" s="36" t="s">
        <v>679</v>
      </c>
      <c r="B221" s="36">
        <v>31</v>
      </c>
      <c r="C221" s="36" t="str">
        <f t="shared" si="12"/>
        <v>25-34</v>
      </c>
      <c r="D221" s="36" t="s">
        <v>133</v>
      </c>
      <c r="E221" s="36" t="s">
        <v>70</v>
      </c>
      <c r="F221" s="36" t="s">
        <v>47</v>
      </c>
      <c r="G221" s="36" t="s">
        <v>138</v>
      </c>
      <c r="H221" s="36" t="s">
        <v>451</v>
      </c>
      <c r="I221" s="36" t="s">
        <v>91</v>
      </c>
      <c r="J221" s="37"/>
      <c r="K221" s="36" t="s">
        <v>26</v>
      </c>
      <c r="L221" s="36" t="s">
        <v>40</v>
      </c>
      <c r="M221" s="38">
        <v>3.4</v>
      </c>
      <c r="N221" s="38">
        <v>7.5</v>
      </c>
      <c r="O221" s="39">
        <f t="shared" si="13"/>
        <v>0.45333333333333331</v>
      </c>
      <c r="P221" s="40">
        <v>0</v>
      </c>
      <c r="Q221" s="36" t="str">
        <f t="shared" si="14"/>
        <v>Free</v>
      </c>
      <c r="R221" s="38">
        <v>4.8</v>
      </c>
      <c r="S221" s="36">
        <v>2</v>
      </c>
      <c r="T221" s="36">
        <v>5</v>
      </c>
      <c r="U221" s="38">
        <v>6</v>
      </c>
      <c r="V221" s="41">
        <f t="shared" si="15"/>
        <v>0.25210084033613445</v>
      </c>
      <c r="W221" s="36" t="s">
        <v>88</v>
      </c>
      <c r="X221" s="36"/>
      <c r="Y221" s="36" t="s">
        <v>680</v>
      </c>
    </row>
    <row r="222" spans="1:25" x14ac:dyDescent="0.3">
      <c r="A222" s="36" t="s">
        <v>681</v>
      </c>
      <c r="B222" s="36">
        <v>39</v>
      </c>
      <c r="C222" s="36" t="str">
        <f t="shared" si="12"/>
        <v>35-44</v>
      </c>
      <c r="D222" s="36" t="s">
        <v>144</v>
      </c>
      <c r="E222" s="36" t="s">
        <v>63</v>
      </c>
      <c r="F222" s="36" t="s">
        <v>47</v>
      </c>
      <c r="G222" s="36" t="s">
        <v>194</v>
      </c>
      <c r="H222" s="36" t="s">
        <v>174</v>
      </c>
      <c r="I222" s="36" t="s">
        <v>92</v>
      </c>
      <c r="J222" s="37">
        <v>3579</v>
      </c>
      <c r="K222" s="36" t="s">
        <v>26</v>
      </c>
      <c r="L222" s="36" t="s">
        <v>36</v>
      </c>
      <c r="M222" s="38">
        <v>4.4000000000000004</v>
      </c>
      <c r="N222" s="38">
        <v>8.4</v>
      </c>
      <c r="O222" s="39">
        <f t="shared" si="13"/>
        <v>0.52380952380952384</v>
      </c>
      <c r="P222" s="40">
        <v>0</v>
      </c>
      <c r="Q222" s="36" t="str">
        <f t="shared" si="14"/>
        <v>Free</v>
      </c>
      <c r="R222" s="38">
        <v>7.3</v>
      </c>
      <c r="S222" s="36">
        <v>4</v>
      </c>
      <c r="T222" s="36">
        <v>7</v>
      </c>
      <c r="U222" s="38">
        <v>5.7</v>
      </c>
      <c r="V222" s="41">
        <f t="shared" si="15"/>
        <v>0.18506493506493504</v>
      </c>
      <c r="W222" s="36" t="s">
        <v>86</v>
      </c>
      <c r="X222" s="36"/>
      <c r="Y222" s="36" t="s">
        <v>682</v>
      </c>
    </row>
    <row r="223" spans="1:25" x14ac:dyDescent="0.3">
      <c r="A223" s="36" t="s">
        <v>683</v>
      </c>
      <c r="B223" s="36">
        <v>48</v>
      </c>
      <c r="C223" s="36" t="str">
        <f t="shared" si="12"/>
        <v>45+</v>
      </c>
      <c r="D223" s="36" t="s">
        <v>133</v>
      </c>
      <c r="E223" s="36" t="s">
        <v>64</v>
      </c>
      <c r="F223" s="36" t="s">
        <v>47</v>
      </c>
      <c r="G223" s="36" t="s">
        <v>138</v>
      </c>
      <c r="H223" s="36" t="s">
        <v>684</v>
      </c>
      <c r="I223" s="36" t="s">
        <v>91</v>
      </c>
      <c r="J223" s="37">
        <v>210</v>
      </c>
      <c r="K223" s="36" t="s">
        <v>24</v>
      </c>
      <c r="L223" s="36" t="s">
        <v>40</v>
      </c>
      <c r="M223" s="38">
        <v>1.8</v>
      </c>
      <c r="N223" s="38">
        <v>9.5</v>
      </c>
      <c r="O223" s="39">
        <f t="shared" si="13"/>
        <v>0.18947368421052632</v>
      </c>
      <c r="P223" s="40">
        <v>10</v>
      </c>
      <c r="Q223" s="36" t="str">
        <f t="shared" si="14"/>
        <v>Paid</v>
      </c>
      <c r="R223" s="38">
        <v>3.6</v>
      </c>
      <c r="S223" s="36">
        <v>3</v>
      </c>
      <c r="T223" s="36">
        <v>4</v>
      </c>
      <c r="U223" s="38">
        <v>5.0999999999999996</v>
      </c>
      <c r="V223" s="41">
        <f t="shared" si="15"/>
        <v>0.40476190476190477</v>
      </c>
      <c r="W223" s="36" t="s">
        <v>88</v>
      </c>
      <c r="X223" s="36"/>
      <c r="Y223" s="36" t="s">
        <v>685</v>
      </c>
    </row>
    <row r="224" spans="1:25" x14ac:dyDescent="0.3">
      <c r="A224" s="36" t="s">
        <v>686</v>
      </c>
      <c r="B224" s="36">
        <v>19</v>
      </c>
      <c r="C224" s="36" t="str">
        <f t="shared" si="12"/>
        <v>18-24</v>
      </c>
      <c r="D224" s="36" t="s">
        <v>133</v>
      </c>
      <c r="E224" s="36" t="s">
        <v>64</v>
      </c>
      <c r="F224" s="36" t="s">
        <v>46</v>
      </c>
      <c r="G224" s="36" t="s">
        <v>148</v>
      </c>
      <c r="H224" s="36" t="s">
        <v>188</v>
      </c>
      <c r="I224" s="36" t="s">
        <v>91</v>
      </c>
      <c r="J224" s="37">
        <v>58</v>
      </c>
      <c r="K224" s="36" t="s">
        <v>24</v>
      </c>
      <c r="L224" s="36" t="s">
        <v>37</v>
      </c>
      <c r="M224" s="38">
        <v>6.3</v>
      </c>
      <c r="N224" s="38">
        <v>7.3</v>
      </c>
      <c r="O224" s="39">
        <f t="shared" si="13"/>
        <v>0.86301369863013699</v>
      </c>
      <c r="P224" s="40">
        <v>0</v>
      </c>
      <c r="Q224" s="36" t="str">
        <f t="shared" si="14"/>
        <v>Free</v>
      </c>
      <c r="R224" s="38">
        <v>8.8000000000000007</v>
      </c>
      <c r="S224" s="36">
        <v>3</v>
      </c>
      <c r="T224" s="36">
        <v>8</v>
      </c>
      <c r="U224" s="38">
        <v>10</v>
      </c>
      <c r="V224" s="41">
        <f t="shared" si="15"/>
        <v>0.22675736961451246</v>
      </c>
      <c r="W224" s="36" t="s">
        <v>86</v>
      </c>
      <c r="X224" s="36"/>
      <c r="Y224" s="36" t="s">
        <v>687</v>
      </c>
    </row>
    <row r="225" spans="1:25" x14ac:dyDescent="0.3">
      <c r="A225" s="36" t="s">
        <v>688</v>
      </c>
      <c r="B225" s="36">
        <v>21</v>
      </c>
      <c r="C225" s="36" t="str">
        <f t="shared" si="12"/>
        <v>18-24</v>
      </c>
      <c r="D225" s="36" t="s">
        <v>144</v>
      </c>
      <c r="E225" s="36" t="s">
        <v>67</v>
      </c>
      <c r="F225" s="36" t="s">
        <v>46</v>
      </c>
      <c r="G225" s="36" t="s">
        <v>138</v>
      </c>
      <c r="H225" s="36" t="s">
        <v>689</v>
      </c>
      <c r="I225" s="36" t="s">
        <v>94</v>
      </c>
      <c r="J225" s="37">
        <v>88</v>
      </c>
      <c r="K225" s="36" t="s">
        <v>24</v>
      </c>
      <c r="L225" s="36" t="s">
        <v>39</v>
      </c>
      <c r="M225" s="38">
        <v>1.6</v>
      </c>
      <c r="N225" s="38">
        <v>6.5</v>
      </c>
      <c r="O225" s="39">
        <f t="shared" si="13"/>
        <v>0.24615384615384617</v>
      </c>
      <c r="P225" s="40">
        <v>10</v>
      </c>
      <c r="Q225" s="36" t="str">
        <f t="shared" si="14"/>
        <v>Paid</v>
      </c>
      <c r="R225" s="38">
        <v>3.4</v>
      </c>
      <c r="S225" s="36">
        <v>3</v>
      </c>
      <c r="T225" s="36">
        <v>5</v>
      </c>
      <c r="U225" s="38">
        <v>5.9</v>
      </c>
      <c r="V225" s="41">
        <f t="shared" si="15"/>
        <v>0.5267857142857143</v>
      </c>
      <c r="W225" s="36" t="s">
        <v>88</v>
      </c>
      <c r="X225" s="36"/>
      <c r="Y225" s="36" t="s">
        <v>690</v>
      </c>
    </row>
    <row r="226" spans="1:25" x14ac:dyDescent="0.3">
      <c r="A226" s="36" t="s">
        <v>691</v>
      </c>
      <c r="B226" s="36">
        <v>27</v>
      </c>
      <c r="C226" s="36" t="str">
        <f t="shared" si="12"/>
        <v>25-34</v>
      </c>
      <c r="D226" s="36" t="s">
        <v>144</v>
      </c>
      <c r="E226" s="36" t="s">
        <v>62</v>
      </c>
      <c r="F226" s="36" t="s">
        <v>46</v>
      </c>
      <c r="G226" s="36" t="s">
        <v>134</v>
      </c>
      <c r="H226" s="36" t="s">
        <v>448</v>
      </c>
      <c r="I226" s="36" t="s">
        <v>92</v>
      </c>
      <c r="J226" s="37">
        <v>335</v>
      </c>
      <c r="K226" s="36" t="s">
        <v>28</v>
      </c>
      <c r="L226" s="36" t="s">
        <v>36</v>
      </c>
      <c r="M226" s="38">
        <v>1.5</v>
      </c>
      <c r="N226" s="38">
        <v>4.9000000000000004</v>
      </c>
      <c r="O226" s="39">
        <f t="shared" si="13"/>
        <v>0.30612244897959179</v>
      </c>
      <c r="P226" s="40">
        <v>20</v>
      </c>
      <c r="Q226" s="36" t="str">
        <f t="shared" si="14"/>
        <v>Paid</v>
      </c>
      <c r="R226" s="38">
        <v>4</v>
      </c>
      <c r="S226" s="36">
        <v>3</v>
      </c>
      <c r="T226" s="36">
        <v>6</v>
      </c>
      <c r="U226" s="38">
        <v>4.2</v>
      </c>
      <c r="V226" s="41">
        <f t="shared" si="15"/>
        <v>0.4</v>
      </c>
      <c r="W226" s="36" t="s">
        <v>88</v>
      </c>
      <c r="X226" s="36"/>
      <c r="Y226" s="36" t="s">
        <v>692</v>
      </c>
    </row>
    <row r="227" spans="1:25" x14ac:dyDescent="0.3">
      <c r="A227" s="36" t="s">
        <v>693</v>
      </c>
      <c r="B227" s="36">
        <v>22</v>
      </c>
      <c r="C227" s="36" t="str">
        <f t="shared" si="12"/>
        <v>18-24</v>
      </c>
      <c r="D227" s="36" t="s">
        <v>144</v>
      </c>
      <c r="E227" s="36" t="s">
        <v>61</v>
      </c>
      <c r="F227" s="36" t="s">
        <v>46</v>
      </c>
      <c r="G227" s="36" t="s">
        <v>148</v>
      </c>
      <c r="H227" s="36" t="s">
        <v>439</v>
      </c>
      <c r="I227" s="36" t="s">
        <v>91</v>
      </c>
      <c r="J227" s="37">
        <v>0</v>
      </c>
      <c r="K227" s="36" t="s">
        <v>26</v>
      </c>
      <c r="L227" s="36" t="s">
        <v>40</v>
      </c>
      <c r="M227" s="38">
        <v>0.7</v>
      </c>
      <c r="N227" s="38">
        <v>5.4</v>
      </c>
      <c r="O227" s="39">
        <f t="shared" si="13"/>
        <v>0.12962962962962962</v>
      </c>
      <c r="P227" s="40">
        <v>30</v>
      </c>
      <c r="Q227" s="36" t="str">
        <f t="shared" si="14"/>
        <v>Paid</v>
      </c>
      <c r="R227" s="38">
        <v>3.4</v>
      </c>
      <c r="S227" s="36">
        <v>4</v>
      </c>
      <c r="T227" s="36">
        <v>6</v>
      </c>
      <c r="U227" s="38">
        <v>5.9</v>
      </c>
      <c r="V227" s="41">
        <f t="shared" si="15"/>
        <v>1.2040816326530615</v>
      </c>
      <c r="W227" s="36" t="s">
        <v>88</v>
      </c>
      <c r="X227" s="36" t="s">
        <v>694</v>
      </c>
      <c r="Y227" s="36" t="s">
        <v>695</v>
      </c>
    </row>
    <row r="228" spans="1:25" x14ac:dyDescent="0.3">
      <c r="A228" s="36" t="s">
        <v>696</v>
      </c>
      <c r="B228" s="36"/>
      <c r="C228" s="36" t="str">
        <f t="shared" si="12"/>
        <v/>
      </c>
      <c r="D228" s="36" t="s">
        <v>133</v>
      </c>
      <c r="E228" s="36" t="s">
        <v>65</v>
      </c>
      <c r="F228" s="36" t="s">
        <v>47</v>
      </c>
      <c r="G228" s="36" t="s">
        <v>194</v>
      </c>
      <c r="H228" s="36" t="s">
        <v>249</v>
      </c>
      <c r="I228" s="36" t="s">
        <v>91</v>
      </c>
      <c r="J228" s="37">
        <v>2303</v>
      </c>
      <c r="K228" s="36" t="s">
        <v>28</v>
      </c>
      <c r="L228" s="36" t="s">
        <v>37</v>
      </c>
      <c r="M228" s="38">
        <v>4.4000000000000004</v>
      </c>
      <c r="N228" s="38">
        <v>7.8</v>
      </c>
      <c r="O228" s="39">
        <f t="shared" si="13"/>
        <v>0.56410256410256421</v>
      </c>
      <c r="P228" s="40">
        <v>20</v>
      </c>
      <c r="Q228" s="36" t="str">
        <f t="shared" si="14"/>
        <v>Paid</v>
      </c>
      <c r="R228" s="38">
        <v>5.8</v>
      </c>
      <c r="S228" s="36">
        <v>5</v>
      </c>
      <c r="T228" s="36">
        <v>9</v>
      </c>
      <c r="U228" s="38">
        <v>11.3</v>
      </c>
      <c r="V228" s="41">
        <f t="shared" si="15"/>
        <v>0.36688311688311687</v>
      </c>
      <c r="W228" s="36" t="s">
        <v>86</v>
      </c>
      <c r="X228" s="36"/>
      <c r="Y228" s="36" t="s">
        <v>697</v>
      </c>
    </row>
    <row r="229" spans="1:25" x14ac:dyDescent="0.3">
      <c r="A229" s="36" t="s">
        <v>698</v>
      </c>
      <c r="B229" s="36"/>
      <c r="C229" s="36" t="str">
        <f t="shared" si="12"/>
        <v/>
      </c>
      <c r="D229" s="36" t="s">
        <v>133</v>
      </c>
      <c r="E229" s="36" t="s">
        <v>63</v>
      </c>
      <c r="F229" s="36" t="s">
        <v>47</v>
      </c>
      <c r="G229" s="36" t="s">
        <v>159</v>
      </c>
      <c r="H229" s="36" t="s">
        <v>499</v>
      </c>
      <c r="I229" s="36" t="s">
        <v>92</v>
      </c>
      <c r="J229" s="37">
        <v>3779</v>
      </c>
      <c r="K229" s="36" t="s">
        <v>24</v>
      </c>
      <c r="L229" s="36" t="s">
        <v>36</v>
      </c>
      <c r="M229" s="38">
        <v>5.7</v>
      </c>
      <c r="N229" s="38">
        <v>6.6</v>
      </c>
      <c r="O229" s="39">
        <f t="shared" si="13"/>
        <v>0.86363636363636376</v>
      </c>
      <c r="P229" s="40">
        <v>0</v>
      </c>
      <c r="Q229" s="36" t="str">
        <f t="shared" si="14"/>
        <v>Free</v>
      </c>
      <c r="R229" s="38">
        <v>6.7</v>
      </c>
      <c r="S229" s="36">
        <v>2</v>
      </c>
      <c r="T229" s="36">
        <v>5</v>
      </c>
      <c r="U229" s="38">
        <v>13</v>
      </c>
      <c r="V229" s="41">
        <f t="shared" si="15"/>
        <v>0.32581453634085217</v>
      </c>
      <c r="W229" s="36" t="s">
        <v>87</v>
      </c>
      <c r="X229" s="36"/>
      <c r="Y229" s="36" t="s">
        <v>699</v>
      </c>
    </row>
    <row r="230" spans="1:25" x14ac:dyDescent="0.3">
      <c r="A230" s="36" t="s">
        <v>700</v>
      </c>
      <c r="B230" s="36">
        <v>41</v>
      </c>
      <c r="C230" s="36" t="str">
        <f t="shared" si="12"/>
        <v>35-44</v>
      </c>
      <c r="D230" s="36" t="s">
        <v>133</v>
      </c>
      <c r="E230" s="36" t="s">
        <v>64</v>
      </c>
      <c r="F230" s="36" t="s">
        <v>47</v>
      </c>
      <c r="G230" s="36" t="s">
        <v>159</v>
      </c>
      <c r="H230" s="36" t="s">
        <v>701</v>
      </c>
      <c r="I230" s="36" t="s">
        <v>91</v>
      </c>
      <c r="J230" s="37">
        <v>672</v>
      </c>
      <c r="K230" s="36" t="s">
        <v>27</v>
      </c>
      <c r="L230" s="36" t="s">
        <v>40</v>
      </c>
      <c r="M230" s="38">
        <v>8.1</v>
      </c>
      <c r="N230" s="38">
        <v>7.4</v>
      </c>
      <c r="O230" s="39">
        <f t="shared" si="13"/>
        <v>1.0945945945945945</v>
      </c>
      <c r="P230" s="40">
        <v>0</v>
      </c>
      <c r="Q230" s="36" t="str">
        <f t="shared" si="14"/>
        <v>Free</v>
      </c>
      <c r="R230" s="38">
        <v>5.6</v>
      </c>
      <c r="S230" s="36">
        <v>5</v>
      </c>
      <c r="T230" s="36">
        <v>8</v>
      </c>
      <c r="U230" s="38">
        <v>16.5</v>
      </c>
      <c r="V230" s="41">
        <f t="shared" si="15"/>
        <v>0.29100529100529104</v>
      </c>
      <c r="W230" s="36" t="s">
        <v>86</v>
      </c>
      <c r="X230" s="36" t="s">
        <v>178</v>
      </c>
      <c r="Y230" s="36" t="s">
        <v>702</v>
      </c>
    </row>
    <row r="231" spans="1:25" x14ac:dyDescent="0.3">
      <c r="A231" s="36" t="s">
        <v>703</v>
      </c>
      <c r="B231" s="36"/>
      <c r="C231" s="36" t="str">
        <f t="shared" si="12"/>
        <v/>
      </c>
      <c r="D231" s="36" t="s">
        <v>133</v>
      </c>
      <c r="E231" s="36" t="s">
        <v>61</v>
      </c>
      <c r="F231" s="36" t="s">
        <v>46</v>
      </c>
      <c r="G231" s="36" t="s">
        <v>159</v>
      </c>
      <c r="H231" s="36" t="s">
        <v>704</v>
      </c>
      <c r="I231" s="36" t="s">
        <v>93</v>
      </c>
      <c r="J231" s="37">
        <v>0</v>
      </c>
      <c r="K231" s="36" t="s">
        <v>25</v>
      </c>
      <c r="L231" s="36" t="s">
        <v>41</v>
      </c>
      <c r="M231" s="38">
        <v>2</v>
      </c>
      <c r="N231" s="38">
        <v>4.4000000000000004</v>
      </c>
      <c r="O231" s="39">
        <f t="shared" si="13"/>
        <v>0.45454545454545453</v>
      </c>
      <c r="P231" s="40">
        <v>0</v>
      </c>
      <c r="Q231" s="36" t="str">
        <f t="shared" si="14"/>
        <v>Free</v>
      </c>
      <c r="R231" s="38">
        <v>3.6</v>
      </c>
      <c r="S231" s="36">
        <v>5</v>
      </c>
      <c r="T231" s="36">
        <v>5</v>
      </c>
      <c r="U231" s="38">
        <v>3.6</v>
      </c>
      <c r="V231" s="41">
        <f t="shared" si="15"/>
        <v>0.25714285714285717</v>
      </c>
      <c r="W231" s="36" t="s">
        <v>87</v>
      </c>
      <c r="X231" s="36"/>
      <c r="Y231" s="36" t="s">
        <v>705</v>
      </c>
    </row>
    <row r="232" spans="1:25" x14ac:dyDescent="0.3">
      <c r="A232" s="36" t="s">
        <v>706</v>
      </c>
      <c r="B232" s="36">
        <v>19</v>
      </c>
      <c r="C232" s="36" t="str">
        <f t="shared" si="12"/>
        <v>18-24</v>
      </c>
      <c r="D232" s="36" t="s">
        <v>133</v>
      </c>
      <c r="E232" s="36" t="s">
        <v>62</v>
      </c>
      <c r="F232" s="36" t="s">
        <v>46</v>
      </c>
      <c r="G232" s="36" t="s">
        <v>138</v>
      </c>
      <c r="H232" s="36" t="s">
        <v>220</v>
      </c>
      <c r="I232" s="36" t="s">
        <v>96</v>
      </c>
      <c r="J232" s="37">
        <v>135</v>
      </c>
      <c r="K232" s="36" t="s">
        <v>27</v>
      </c>
      <c r="L232" s="36" t="s">
        <v>38</v>
      </c>
      <c r="M232" s="38">
        <v>3.9</v>
      </c>
      <c r="N232" s="38">
        <v>5.0999999999999996</v>
      </c>
      <c r="O232" s="39">
        <f t="shared" si="13"/>
        <v>0.76470588235294124</v>
      </c>
      <c r="P232" s="40">
        <v>0</v>
      </c>
      <c r="Q232" s="36" t="str">
        <f t="shared" si="14"/>
        <v>Free</v>
      </c>
      <c r="R232" s="38">
        <v>5.2</v>
      </c>
      <c r="S232" s="36">
        <v>4</v>
      </c>
      <c r="T232" s="36">
        <v>7</v>
      </c>
      <c r="U232" s="38">
        <v>9.8000000000000007</v>
      </c>
      <c r="V232" s="41">
        <f t="shared" si="15"/>
        <v>0.35897435897435898</v>
      </c>
      <c r="W232" s="36" t="s">
        <v>86</v>
      </c>
      <c r="X232" s="36"/>
      <c r="Y232" s="36"/>
    </row>
    <row r="233" spans="1:25" x14ac:dyDescent="0.3">
      <c r="A233" s="36" t="s">
        <v>707</v>
      </c>
      <c r="B233" s="36"/>
      <c r="C233" s="36" t="str">
        <f t="shared" si="12"/>
        <v/>
      </c>
      <c r="D233" s="36" t="s">
        <v>133</v>
      </c>
      <c r="E233" s="36" t="s">
        <v>65</v>
      </c>
      <c r="F233" s="36" t="s">
        <v>46</v>
      </c>
      <c r="G233" s="36" t="s">
        <v>138</v>
      </c>
      <c r="H233" s="36" t="s">
        <v>171</v>
      </c>
      <c r="I233" s="36" t="s">
        <v>95</v>
      </c>
      <c r="J233" s="37">
        <v>334</v>
      </c>
      <c r="K233" s="36" t="s">
        <v>24</v>
      </c>
      <c r="L233" s="36" t="s">
        <v>38</v>
      </c>
      <c r="M233" s="38">
        <v>4.0999999999999996</v>
      </c>
      <c r="N233" s="38">
        <v>5.9</v>
      </c>
      <c r="O233" s="39">
        <f t="shared" si="13"/>
        <v>0.69491525423728806</v>
      </c>
      <c r="P233" s="40">
        <v>20</v>
      </c>
      <c r="Q233" s="36" t="str">
        <f t="shared" si="14"/>
        <v>Paid</v>
      </c>
      <c r="R233" s="38">
        <v>5.2</v>
      </c>
      <c r="S233" s="36">
        <v>3</v>
      </c>
      <c r="T233" s="36">
        <v>7</v>
      </c>
      <c r="U233" s="38">
        <v>8.4</v>
      </c>
      <c r="V233" s="41">
        <f t="shared" si="15"/>
        <v>0.29268292682926833</v>
      </c>
      <c r="W233" s="36" t="s">
        <v>86</v>
      </c>
      <c r="X233" s="36"/>
      <c r="Y233" s="36" t="s">
        <v>708</v>
      </c>
    </row>
    <row r="234" spans="1:25" x14ac:dyDescent="0.3">
      <c r="A234" s="36" t="s">
        <v>709</v>
      </c>
      <c r="B234" s="36">
        <v>22</v>
      </c>
      <c r="C234" s="36" t="str">
        <f t="shared" si="12"/>
        <v>18-24</v>
      </c>
      <c r="D234" s="36" t="s">
        <v>133</v>
      </c>
      <c r="E234" s="36"/>
      <c r="F234" s="36" t="s">
        <v>46</v>
      </c>
      <c r="G234" s="36" t="s">
        <v>159</v>
      </c>
      <c r="H234" s="36" t="s">
        <v>142</v>
      </c>
      <c r="I234" s="36" t="s">
        <v>92</v>
      </c>
      <c r="J234" s="37">
        <v>158</v>
      </c>
      <c r="K234" s="36" t="s">
        <v>24</v>
      </c>
      <c r="L234" s="36" t="s">
        <v>36</v>
      </c>
      <c r="M234" s="38">
        <v>1.6</v>
      </c>
      <c r="N234" s="38">
        <v>8.4</v>
      </c>
      <c r="O234" s="39">
        <f t="shared" si="13"/>
        <v>0.19047619047619047</v>
      </c>
      <c r="P234" s="40">
        <v>10</v>
      </c>
      <c r="Q234" s="36" t="str">
        <f t="shared" si="14"/>
        <v>Paid</v>
      </c>
      <c r="R234" s="38">
        <v>3.1</v>
      </c>
      <c r="S234" s="36">
        <v>4</v>
      </c>
      <c r="T234" s="36">
        <v>6</v>
      </c>
      <c r="U234" s="38">
        <v>5.9</v>
      </c>
      <c r="V234" s="41">
        <f t="shared" si="15"/>
        <v>0.5267857142857143</v>
      </c>
      <c r="W234" s="36" t="s">
        <v>86</v>
      </c>
      <c r="X234" s="36"/>
      <c r="Y234" s="36" t="s">
        <v>710</v>
      </c>
    </row>
    <row r="235" spans="1:25" x14ac:dyDescent="0.3">
      <c r="A235" s="36" t="s">
        <v>711</v>
      </c>
      <c r="B235" s="36">
        <v>27</v>
      </c>
      <c r="C235" s="36" t="str">
        <f t="shared" si="12"/>
        <v>25-34</v>
      </c>
      <c r="D235" s="36" t="s">
        <v>144</v>
      </c>
      <c r="E235" s="36" t="s">
        <v>63</v>
      </c>
      <c r="F235" s="36" t="s">
        <v>46</v>
      </c>
      <c r="G235" s="36" t="s">
        <v>148</v>
      </c>
      <c r="H235" s="36" t="s">
        <v>177</v>
      </c>
      <c r="I235" s="36" t="s">
        <v>92</v>
      </c>
      <c r="J235" s="37">
        <v>0</v>
      </c>
      <c r="K235" s="36" t="s">
        <v>26</v>
      </c>
      <c r="L235" s="36" t="s">
        <v>36</v>
      </c>
      <c r="M235" s="38">
        <v>4.9000000000000004</v>
      </c>
      <c r="N235" s="38">
        <v>6</v>
      </c>
      <c r="O235" s="39">
        <f t="shared" si="13"/>
        <v>0.81666666666666676</v>
      </c>
      <c r="P235" s="40">
        <v>20</v>
      </c>
      <c r="Q235" s="36" t="str">
        <f t="shared" si="14"/>
        <v>Paid</v>
      </c>
      <c r="R235" s="38">
        <v>5.8</v>
      </c>
      <c r="S235" s="36">
        <v>4</v>
      </c>
      <c r="T235" s="36">
        <v>7</v>
      </c>
      <c r="U235" s="38">
        <v>9</v>
      </c>
      <c r="V235" s="41">
        <f t="shared" si="15"/>
        <v>0.26239067055393583</v>
      </c>
      <c r="W235" s="36" t="s">
        <v>86</v>
      </c>
      <c r="X235" s="36"/>
      <c r="Y235" s="36" t="s">
        <v>712</v>
      </c>
    </row>
    <row r="236" spans="1:25" x14ac:dyDescent="0.3">
      <c r="A236" s="36" t="s">
        <v>713</v>
      </c>
      <c r="B236" s="36">
        <v>18</v>
      </c>
      <c r="C236" s="36" t="str">
        <f t="shared" si="12"/>
        <v>18-24</v>
      </c>
      <c r="D236" s="36" t="s">
        <v>133</v>
      </c>
      <c r="E236" s="36" t="s">
        <v>63</v>
      </c>
      <c r="F236" s="36" t="s">
        <v>46</v>
      </c>
      <c r="G236" s="36"/>
      <c r="H236" s="36" t="s">
        <v>220</v>
      </c>
      <c r="I236" s="36" t="s">
        <v>96</v>
      </c>
      <c r="J236" s="37">
        <v>56</v>
      </c>
      <c r="K236" s="36" t="s">
        <v>25</v>
      </c>
      <c r="L236" s="36" t="s">
        <v>38</v>
      </c>
      <c r="M236" s="38">
        <v>1.7</v>
      </c>
      <c r="N236" s="38">
        <v>4.3</v>
      </c>
      <c r="O236" s="39">
        <f t="shared" si="13"/>
        <v>0.39534883720930231</v>
      </c>
      <c r="P236" s="40">
        <v>30</v>
      </c>
      <c r="Q236" s="36" t="str">
        <f t="shared" si="14"/>
        <v>Paid</v>
      </c>
      <c r="R236" s="38">
        <v>4.9000000000000004</v>
      </c>
      <c r="S236" s="36">
        <v>3</v>
      </c>
      <c r="T236" s="36">
        <v>5</v>
      </c>
      <c r="U236" s="38">
        <v>1.9</v>
      </c>
      <c r="V236" s="41">
        <f t="shared" si="15"/>
        <v>0.15966386554621848</v>
      </c>
      <c r="W236" s="36" t="s">
        <v>86</v>
      </c>
      <c r="X236" s="36"/>
      <c r="Y236" s="36" t="s">
        <v>714</v>
      </c>
    </row>
    <row r="237" spans="1:25" x14ac:dyDescent="0.3">
      <c r="A237" s="36" t="s">
        <v>715</v>
      </c>
      <c r="B237" s="36">
        <v>16</v>
      </c>
      <c r="C237" s="36" t="str">
        <f t="shared" si="12"/>
        <v>Under 18</v>
      </c>
      <c r="D237" s="36" t="s">
        <v>144</v>
      </c>
      <c r="E237" s="36" t="s">
        <v>62</v>
      </c>
      <c r="F237" s="36" t="s">
        <v>46</v>
      </c>
      <c r="G237" s="36" t="s">
        <v>159</v>
      </c>
      <c r="H237" s="36" t="s">
        <v>335</v>
      </c>
      <c r="I237" s="36" t="s">
        <v>94</v>
      </c>
      <c r="J237" s="37">
        <v>118</v>
      </c>
      <c r="K237" s="36" t="s">
        <v>30</v>
      </c>
      <c r="L237" s="36" t="s">
        <v>39</v>
      </c>
      <c r="M237" s="38">
        <v>0.7</v>
      </c>
      <c r="N237" s="38">
        <v>5.9</v>
      </c>
      <c r="O237" s="39">
        <f t="shared" si="13"/>
        <v>0.11864406779661016</v>
      </c>
      <c r="P237" s="40">
        <v>0</v>
      </c>
      <c r="Q237" s="36" t="str">
        <f t="shared" si="14"/>
        <v>Free</v>
      </c>
      <c r="R237" s="38">
        <v>4.5</v>
      </c>
      <c r="S237" s="36">
        <v>4</v>
      </c>
      <c r="T237" s="36">
        <v>7</v>
      </c>
      <c r="U237" s="38">
        <v>1</v>
      </c>
      <c r="V237" s="41">
        <f t="shared" si="15"/>
        <v>0.20408163265306126</v>
      </c>
      <c r="W237" s="36" t="s">
        <v>86</v>
      </c>
      <c r="X237" s="36"/>
      <c r="Y237" s="36" t="s">
        <v>716</v>
      </c>
    </row>
    <row r="238" spans="1:25" x14ac:dyDescent="0.3">
      <c r="A238" s="36" t="s">
        <v>717</v>
      </c>
      <c r="B238" s="36">
        <v>18</v>
      </c>
      <c r="C238" s="36" t="str">
        <f t="shared" si="12"/>
        <v>18-24</v>
      </c>
      <c r="D238" s="36" t="s">
        <v>144</v>
      </c>
      <c r="E238" s="36" t="s">
        <v>64</v>
      </c>
      <c r="F238" s="36" t="s">
        <v>46</v>
      </c>
      <c r="G238" s="36" t="s">
        <v>148</v>
      </c>
      <c r="H238" s="36" t="s">
        <v>597</v>
      </c>
      <c r="I238" s="36" t="s">
        <v>94</v>
      </c>
      <c r="J238" s="37">
        <v>80</v>
      </c>
      <c r="K238" s="36" t="s">
        <v>29</v>
      </c>
      <c r="L238" s="36" t="s">
        <v>39</v>
      </c>
      <c r="M238" s="38">
        <v>4.0999999999999996</v>
      </c>
      <c r="N238" s="38">
        <v>5.8</v>
      </c>
      <c r="O238" s="39">
        <f t="shared" si="13"/>
        <v>0.7068965517241379</v>
      </c>
      <c r="P238" s="40">
        <v>20</v>
      </c>
      <c r="Q238" s="36" t="str">
        <f t="shared" si="14"/>
        <v>Paid</v>
      </c>
      <c r="R238" s="38">
        <v>7</v>
      </c>
      <c r="S238" s="36">
        <v>5</v>
      </c>
      <c r="T238" s="36">
        <v>8</v>
      </c>
      <c r="U238" s="38">
        <v>10.5</v>
      </c>
      <c r="V238" s="41">
        <f t="shared" si="15"/>
        <v>0.36585365853658541</v>
      </c>
      <c r="W238" s="36" t="s">
        <v>86</v>
      </c>
      <c r="X238" s="36"/>
      <c r="Y238" s="36" t="s">
        <v>718</v>
      </c>
    </row>
    <row r="239" spans="1:25" x14ac:dyDescent="0.3">
      <c r="A239" s="36" t="s">
        <v>719</v>
      </c>
      <c r="B239" s="36">
        <v>41</v>
      </c>
      <c r="C239" s="36" t="str">
        <f t="shared" si="12"/>
        <v>35-44</v>
      </c>
      <c r="D239" s="36" t="s">
        <v>133</v>
      </c>
      <c r="E239" s="36" t="s">
        <v>61</v>
      </c>
      <c r="F239" s="36" t="s">
        <v>47</v>
      </c>
      <c r="G239" s="36" t="s">
        <v>194</v>
      </c>
      <c r="H239" s="36"/>
      <c r="I239" s="36"/>
      <c r="J239" s="37">
        <v>627</v>
      </c>
      <c r="K239" s="36" t="s">
        <v>29</v>
      </c>
      <c r="L239" s="36" t="s">
        <v>42</v>
      </c>
      <c r="M239" s="38">
        <v>0.7</v>
      </c>
      <c r="N239" s="38">
        <v>6.9</v>
      </c>
      <c r="O239" s="39">
        <f t="shared" si="13"/>
        <v>0.10144927536231883</v>
      </c>
      <c r="P239" s="40">
        <v>0</v>
      </c>
      <c r="Q239" s="36" t="str">
        <f t="shared" si="14"/>
        <v>Free</v>
      </c>
      <c r="R239" s="38">
        <v>2.2999999999999998</v>
      </c>
      <c r="S239" s="36">
        <v>4</v>
      </c>
      <c r="T239" s="36">
        <v>5</v>
      </c>
      <c r="U239" s="38">
        <v>3</v>
      </c>
      <c r="V239" s="41">
        <f t="shared" si="15"/>
        <v>0.61224489795918369</v>
      </c>
      <c r="W239" s="36" t="s">
        <v>86</v>
      </c>
      <c r="X239" s="36"/>
      <c r="Y239" s="36" t="s">
        <v>720</v>
      </c>
    </row>
    <row r="240" spans="1:25" x14ac:dyDescent="0.3">
      <c r="A240" s="36" t="s">
        <v>721</v>
      </c>
      <c r="B240" s="36">
        <v>25</v>
      </c>
      <c r="C240" s="36" t="str">
        <f t="shared" si="12"/>
        <v>25-34</v>
      </c>
      <c r="D240" s="36" t="s">
        <v>144</v>
      </c>
      <c r="E240" s="36" t="s">
        <v>64</v>
      </c>
      <c r="F240" s="36" t="s">
        <v>47</v>
      </c>
      <c r="G240" s="36" t="s">
        <v>138</v>
      </c>
      <c r="H240" s="36" t="s">
        <v>249</v>
      </c>
      <c r="I240" s="36" t="s">
        <v>91</v>
      </c>
      <c r="J240" s="37">
        <v>863</v>
      </c>
      <c r="K240" s="36" t="s">
        <v>29</v>
      </c>
      <c r="L240" s="36" t="s">
        <v>37</v>
      </c>
      <c r="M240" s="38">
        <v>1.8</v>
      </c>
      <c r="N240" s="38">
        <v>10.3</v>
      </c>
      <c r="O240" s="39">
        <f t="shared" si="13"/>
        <v>0.17475728155339806</v>
      </c>
      <c r="P240" s="40"/>
      <c r="Q240" s="36" t="str">
        <f t="shared" si="14"/>
        <v/>
      </c>
      <c r="R240" s="38">
        <v>5.0999999999999996</v>
      </c>
      <c r="S240" s="36">
        <v>4</v>
      </c>
      <c r="T240" s="36">
        <v>6</v>
      </c>
      <c r="U240" s="38">
        <v>2.7</v>
      </c>
      <c r="V240" s="41">
        <f t="shared" si="15"/>
        <v>0.2142857142857143</v>
      </c>
      <c r="W240" s="36" t="s">
        <v>87</v>
      </c>
      <c r="X240" s="36"/>
      <c r="Y240" s="36" t="s">
        <v>722</v>
      </c>
    </row>
    <row r="241" spans="1:25" x14ac:dyDescent="0.3">
      <c r="A241" s="36" t="s">
        <v>723</v>
      </c>
      <c r="B241" s="36">
        <v>22</v>
      </c>
      <c r="C241" s="36" t="str">
        <f t="shared" si="12"/>
        <v>18-24</v>
      </c>
      <c r="D241" s="36" t="s">
        <v>133</v>
      </c>
      <c r="E241" s="36" t="s">
        <v>63</v>
      </c>
      <c r="F241" s="36" t="s">
        <v>46</v>
      </c>
      <c r="G241" s="36" t="s">
        <v>159</v>
      </c>
      <c r="H241" s="36" t="s">
        <v>220</v>
      </c>
      <c r="I241" s="36" t="s">
        <v>96</v>
      </c>
      <c r="J241" s="37">
        <v>0</v>
      </c>
      <c r="K241" s="36" t="s">
        <v>25</v>
      </c>
      <c r="L241" s="36" t="s">
        <v>38</v>
      </c>
      <c r="M241" s="38">
        <v>2</v>
      </c>
      <c r="N241" s="38">
        <v>8.3000000000000007</v>
      </c>
      <c r="O241" s="39">
        <f t="shared" si="13"/>
        <v>0.24096385542168672</v>
      </c>
      <c r="P241" s="40">
        <v>0</v>
      </c>
      <c r="Q241" s="36" t="str">
        <f t="shared" si="14"/>
        <v>Free</v>
      </c>
      <c r="R241" s="38">
        <v>4.9000000000000004</v>
      </c>
      <c r="S241" s="36"/>
      <c r="T241" s="36">
        <v>6</v>
      </c>
      <c r="U241" s="38">
        <v>4.3</v>
      </c>
      <c r="V241" s="41">
        <f t="shared" si="15"/>
        <v>0.30714285714285711</v>
      </c>
      <c r="W241" s="36" t="s">
        <v>88</v>
      </c>
      <c r="X241" s="36"/>
      <c r="Y241" s="36" t="s">
        <v>724</v>
      </c>
    </row>
    <row r="242" spans="1:25" x14ac:dyDescent="0.3">
      <c r="A242" s="36" t="s">
        <v>725</v>
      </c>
      <c r="B242" s="36">
        <v>22</v>
      </c>
      <c r="C242" s="36" t="str">
        <f t="shared" si="12"/>
        <v>18-24</v>
      </c>
      <c r="D242" s="36" t="s">
        <v>144</v>
      </c>
      <c r="E242" s="36" t="s">
        <v>61</v>
      </c>
      <c r="F242" s="36" t="s">
        <v>46</v>
      </c>
      <c r="G242" s="36" t="s">
        <v>134</v>
      </c>
      <c r="H242" s="36" t="s">
        <v>188</v>
      </c>
      <c r="I242" s="36" t="s">
        <v>91</v>
      </c>
      <c r="J242" s="37">
        <v>167</v>
      </c>
      <c r="K242" s="36" t="s">
        <v>24</v>
      </c>
      <c r="L242" s="36" t="s">
        <v>37</v>
      </c>
      <c r="M242" s="38">
        <v>8.6</v>
      </c>
      <c r="N242" s="38">
        <v>5.5</v>
      </c>
      <c r="O242" s="39">
        <f t="shared" si="13"/>
        <v>1.5636363636363635</v>
      </c>
      <c r="P242" s="40">
        <v>0</v>
      </c>
      <c r="Q242" s="36" t="str">
        <f t="shared" si="14"/>
        <v>Free</v>
      </c>
      <c r="R242" s="38">
        <v>7.6</v>
      </c>
      <c r="S242" s="36"/>
      <c r="T242" s="36">
        <v>6</v>
      </c>
      <c r="U242" s="38">
        <v>17.7</v>
      </c>
      <c r="V242" s="41">
        <f t="shared" si="15"/>
        <v>0.29401993355481726</v>
      </c>
      <c r="W242" s="36" t="s">
        <v>88</v>
      </c>
      <c r="X242" s="36" t="s">
        <v>178</v>
      </c>
      <c r="Y242" s="36" t="s">
        <v>726</v>
      </c>
    </row>
    <row r="243" spans="1:25" x14ac:dyDescent="0.3">
      <c r="A243" s="36" t="s">
        <v>727</v>
      </c>
      <c r="B243" s="36">
        <v>26</v>
      </c>
      <c r="C243" s="36" t="str">
        <f t="shared" si="12"/>
        <v>25-34</v>
      </c>
      <c r="D243" s="36" t="s">
        <v>133</v>
      </c>
      <c r="E243" s="36" t="s">
        <v>66</v>
      </c>
      <c r="F243" s="36" t="s">
        <v>46</v>
      </c>
      <c r="G243" s="36" t="s">
        <v>148</v>
      </c>
      <c r="H243" s="36" t="s">
        <v>728</v>
      </c>
      <c r="I243" s="36" t="s">
        <v>91</v>
      </c>
      <c r="J243" s="37">
        <v>73</v>
      </c>
      <c r="K243" s="36" t="s">
        <v>24</v>
      </c>
      <c r="L243" s="36" t="s">
        <v>37</v>
      </c>
      <c r="M243" s="38"/>
      <c r="N243" s="38">
        <v>5.8</v>
      </c>
      <c r="O243" s="39" t="str">
        <f t="shared" si="13"/>
        <v/>
      </c>
      <c r="P243" s="40">
        <v>0</v>
      </c>
      <c r="Q243" s="36" t="str">
        <f t="shared" si="14"/>
        <v>Free</v>
      </c>
      <c r="R243" s="38">
        <v>3.4</v>
      </c>
      <c r="S243" s="36">
        <v>2</v>
      </c>
      <c r="T243" s="36">
        <v>4</v>
      </c>
      <c r="U243" s="38">
        <v>1.5</v>
      </c>
      <c r="V243" s="41" t="str">
        <f t="shared" si="15"/>
        <v/>
      </c>
      <c r="W243" s="36" t="s">
        <v>86</v>
      </c>
      <c r="X243" s="36"/>
      <c r="Y243" s="36" t="s">
        <v>729</v>
      </c>
    </row>
    <row r="244" spans="1:25" x14ac:dyDescent="0.3">
      <c r="A244" s="36" t="s">
        <v>730</v>
      </c>
      <c r="B244" s="36">
        <v>23</v>
      </c>
      <c r="C244" s="36" t="str">
        <f t="shared" si="12"/>
        <v>18-24</v>
      </c>
      <c r="D244" s="36" t="s">
        <v>133</v>
      </c>
      <c r="E244" s="36" t="s">
        <v>61</v>
      </c>
      <c r="F244" s="36" t="s">
        <v>46</v>
      </c>
      <c r="G244" s="36" t="s">
        <v>148</v>
      </c>
      <c r="H244" s="36" t="s">
        <v>188</v>
      </c>
      <c r="I244" s="36" t="s">
        <v>91</v>
      </c>
      <c r="J244" s="37"/>
      <c r="K244" s="36" t="s">
        <v>24</v>
      </c>
      <c r="L244" s="36" t="s">
        <v>37</v>
      </c>
      <c r="M244" s="38">
        <v>9.6999999999999993</v>
      </c>
      <c r="N244" s="38">
        <v>4.0999999999999996</v>
      </c>
      <c r="O244" s="39">
        <f t="shared" si="13"/>
        <v>2.3658536585365852</v>
      </c>
      <c r="P244" s="40">
        <v>0</v>
      </c>
      <c r="Q244" s="36" t="str">
        <f t="shared" si="14"/>
        <v>Free</v>
      </c>
      <c r="R244" s="38">
        <v>7.5</v>
      </c>
      <c r="S244" s="36">
        <v>4</v>
      </c>
      <c r="T244" s="36"/>
      <c r="U244" s="38">
        <v>17.2</v>
      </c>
      <c r="V244" s="41">
        <f t="shared" si="15"/>
        <v>0.25331369661266573</v>
      </c>
      <c r="W244" s="36" t="s">
        <v>86</v>
      </c>
      <c r="X244" s="36" t="s">
        <v>178</v>
      </c>
      <c r="Y244" s="36" t="s">
        <v>731</v>
      </c>
    </row>
    <row r="245" spans="1:25" x14ac:dyDescent="0.3">
      <c r="A245" s="36" t="s">
        <v>732</v>
      </c>
      <c r="B245" s="36">
        <v>38</v>
      </c>
      <c r="C245" s="36" t="str">
        <f t="shared" si="12"/>
        <v>35-44</v>
      </c>
      <c r="D245" s="36" t="s">
        <v>133</v>
      </c>
      <c r="E245" s="36" t="s">
        <v>61</v>
      </c>
      <c r="F245" s="36" t="s">
        <v>47</v>
      </c>
      <c r="G245" s="36" t="s">
        <v>134</v>
      </c>
      <c r="H245" s="36" t="s">
        <v>363</v>
      </c>
      <c r="I245" s="36" t="s">
        <v>91</v>
      </c>
      <c r="J245" s="37">
        <v>1114</v>
      </c>
      <c r="K245" s="36" t="s">
        <v>26</v>
      </c>
      <c r="L245" s="36" t="s">
        <v>37</v>
      </c>
      <c r="M245" s="38"/>
      <c r="N245" s="38">
        <v>7.9</v>
      </c>
      <c r="O245" s="39" t="str">
        <f t="shared" si="13"/>
        <v/>
      </c>
      <c r="P245" s="40">
        <v>30</v>
      </c>
      <c r="Q245" s="36" t="str">
        <f t="shared" si="14"/>
        <v>Paid</v>
      </c>
      <c r="R245" s="38">
        <v>3.8</v>
      </c>
      <c r="S245" s="36">
        <v>4</v>
      </c>
      <c r="T245" s="36">
        <v>7</v>
      </c>
      <c r="U245" s="38">
        <v>1.5</v>
      </c>
      <c r="V245" s="41" t="str">
        <f t="shared" si="15"/>
        <v/>
      </c>
      <c r="W245" s="36" t="s">
        <v>86</v>
      </c>
      <c r="X245" s="36"/>
      <c r="Y245" s="36" t="s">
        <v>733</v>
      </c>
    </row>
    <row r="246" spans="1:25" x14ac:dyDescent="0.3">
      <c r="A246" s="36" t="s">
        <v>734</v>
      </c>
      <c r="B246" s="36">
        <v>28</v>
      </c>
      <c r="C246" s="36" t="str">
        <f t="shared" si="12"/>
        <v>25-34</v>
      </c>
      <c r="D246" s="36" t="s">
        <v>133</v>
      </c>
      <c r="E246" s="36" t="s">
        <v>65</v>
      </c>
      <c r="F246" s="36" t="s">
        <v>46</v>
      </c>
      <c r="G246" s="36" t="s">
        <v>148</v>
      </c>
      <c r="H246" s="36" t="s">
        <v>426</v>
      </c>
      <c r="I246" s="36" t="s">
        <v>93</v>
      </c>
      <c r="J246" s="37">
        <v>528</v>
      </c>
      <c r="K246" s="36" t="s">
        <v>28</v>
      </c>
      <c r="L246" s="36" t="s">
        <v>38</v>
      </c>
      <c r="M246" s="38">
        <v>1.5</v>
      </c>
      <c r="N246" s="38">
        <v>5.7</v>
      </c>
      <c r="O246" s="39">
        <f t="shared" si="13"/>
        <v>0.26315789473684209</v>
      </c>
      <c r="P246" s="40">
        <v>10</v>
      </c>
      <c r="Q246" s="36" t="str">
        <f t="shared" si="14"/>
        <v>Paid</v>
      </c>
      <c r="R246" s="38"/>
      <c r="S246" s="36">
        <v>3</v>
      </c>
      <c r="T246" s="36">
        <v>5</v>
      </c>
      <c r="U246" s="38">
        <v>5.5</v>
      </c>
      <c r="V246" s="41">
        <f t="shared" si="15"/>
        <v>0.52380952380952384</v>
      </c>
      <c r="W246" s="36" t="s">
        <v>86</v>
      </c>
      <c r="X246" s="36"/>
      <c r="Y246" s="36" t="s">
        <v>735</v>
      </c>
    </row>
    <row r="247" spans="1:25" x14ac:dyDescent="0.3">
      <c r="A247" s="36" t="s">
        <v>736</v>
      </c>
      <c r="B247" s="36">
        <v>32</v>
      </c>
      <c r="C247" s="36" t="str">
        <f t="shared" si="12"/>
        <v>25-34</v>
      </c>
      <c r="D247" s="36" t="s">
        <v>144</v>
      </c>
      <c r="E247" s="36" t="s">
        <v>68</v>
      </c>
      <c r="F247" s="36" t="s">
        <v>46</v>
      </c>
      <c r="G247" s="36" t="s">
        <v>134</v>
      </c>
      <c r="H247" s="36" t="s">
        <v>463</v>
      </c>
      <c r="I247" s="36" t="s">
        <v>91</v>
      </c>
      <c r="J247" s="37">
        <v>524</v>
      </c>
      <c r="K247" s="36" t="s">
        <v>24</v>
      </c>
      <c r="L247" s="36" t="s">
        <v>37</v>
      </c>
      <c r="M247" s="38">
        <v>7.2</v>
      </c>
      <c r="N247" s="38">
        <v>6.5</v>
      </c>
      <c r="O247" s="39">
        <f t="shared" si="13"/>
        <v>1.1076923076923078</v>
      </c>
      <c r="P247" s="40">
        <v>100</v>
      </c>
      <c r="Q247" s="36" t="str">
        <f t="shared" si="14"/>
        <v>Paid</v>
      </c>
      <c r="R247" s="38">
        <v>9.4</v>
      </c>
      <c r="S247" s="36">
        <v>3</v>
      </c>
      <c r="T247" s="36">
        <v>8</v>
      </c>
      <c r="U247" s="38">
        <v>11.7</v>
      </c>
      <c r="V247" s="41">
        <f t="shared" si="15"/>
        <v>0.23214285714285712</v>
      </c>
      <c r="W247" s="36" t="s">
        <v>86</v>
      </c>
      <c r="X247" s="36" t="s">
        <v>178</v>
      </c>
      <c r="Y247" s="36" t="s">
        <v>737</v>
      </c>
    </row>
    <row r="248" spans="1:25" x14ac:dyDescent="0.3">
      <c r="A248" s="36" t="s">
        <v>738</v>
      </c>
      <c r="B248" s="36">
        <v>18</v>
      </c>
      <c r="C248" s="36" t="str">
        <f t="shared" si="12"/>
        <v>18-24</v>
      </c>
      <c r="D248" s="36" t="s">
        <v>133</v>
      </c>
      <c r="E248" s="36" t="s">
        <v>67</v>
      </c>
      <c r="F248" s="36" t="s">
        <v>46</v>
      </c>
      <c r="G248" s="36" t="s">
        <v>148</v>
      </c>
      <c r="H248" s="36" t="s">
        <v>235</v>
      </c>
      <c r="I248" s="36" t="s">
        <v>92</v>
      </c>
      <c r="J248" s="37">
        <v>0</v>
      </c>
      <c r="K248" s="36" t="s">
        <v>29</v>
      </c>
      <c r="L248" s="36" t="s">
        <v>38</v>
      </c>
      <c r="M248" s="38">
        <v>0.9</v>
      </c>
      <c r="N248" s="38">
        <v>6.1</v>
      </c>
      <c r="O248" s="39">
        <f t="shared" si="13"/>
        <v>0.1475409836065574</v>
      </c>
      <c r="P248" s="40"/>
      <c r="Q248" s="36" t="str">
        <f t="shared" si="14"/>
        <v/>
      </c>
      <c r="R248" s="38">
        <v>4.9000000000000004</v>
      </c>
      <c r="S248" s="36">
        <v>4</v>
      </c>
      <c r="T248" s="36">
        <v>6</v>
      </c>
      <c r="U248" s="38">
        <v>2.5</v>
      </c>
      <c r="V248" s="41">
        <f t="shared" si="15"/>
        <v>0.39682539682539686</v>
      </c>
      <c r="W248" s="36" t="s">
        <v>88</v>
      </c>
      <c r="X248" s="36"/>
      <c r="Y248" s="36" t="s">
        <v>739</v>
      </c>
    </row>
    <row r="249" spans="1:25" x14ac:dyDescent="0.3">
      <c r="A249" s="36" t="s">
        <v>740</v>
      </c>
      <c r="B249" s="36">
        <v>39</v>
      </c>
      <c r="C249" s="36" t="str">
        <f t="shared" si="12"/>
        <v>35-44</v>
      </c>
      <c r="D249" s="36" t="s">
        <v>144</v>
      </c>
      <c r="E249" s="36" t="s">
        <v>64</v>
      </c>
      <c r="F249" s="36" t="s">
        <v>47</v>
      </c>
      <c r="G249" s="36" t="s">
        <v>138</v>
      </c>
      <c r="H249" s="36" t="s">
        <v>741</v>
      </c>
      <c r="I249" s="36" t="s">
        <v>42</v>
      </c>
      <c r="J249" s="37">
        <v>915</v>
      </c>
      <c r="K249" s="36" t="s">
        <v>24</v>
      </c>
      <c r="L249" s="36" t="s">
        <v>42</v>
      </c>
      <c r="M249" s="38">
        <v>6</v>
      </c>
      <c r="N249" s="38">
        <v>6.6</v>
      </c>
      <c r="O249" s="39">
        <f t="shared" si="13"/>
        <v>0.90909090909090917</v>
      </c>
      <c r="P249" s="40">
        <v>0</v>
      </c>
      <c r="Q249" s="36" t="str">
        <f t="shared" si="14"/>
        <v>Free</v>
      </c>
      <c r="R249" s="38">
        <v>10</v>
      </c>
      <c r="S249" s="36">
        <v>2</v>
      </c>
      <c r="T249" s="36">
        <v>8</v>
      </c>
      <c r="U249" s="38"/>
      <c r="V249" s="41" t="str">
        <f t="shared" si="15"/>
        <v/>
      </c>
      <c r="W249" s="36" t="s">
        <v>86</v>
      </c>
      <c r="X249" s="36"/>
      <c r="Y249" s="36" t="s">
        <v>742</v>
      </c>
    </row>
    <row r="250" spans="1:25" x14ac:dyDescent="0.3">
      <c r="A250" s="36" t="s">
        <v>743</v>
      </c>
      <c r="B250" s="36">
        <v>39</v>
      </c>
      <c r="C250" s="36" t="str">
        <f t="shared" si="12"/>
        <v>35-44</v>
      </c>
      <c r="D250" s="36" t="s">
        <v>133</v>
      </c>
      <c r="E250" s="36" t="s">
        <v>61</v>
      </c>
      <c r="F250" s="36" t="s">
        <v>47</v>
      </c>
      <c r="G250" s="36" t="s">
        <v>194</v>
      </c>
      <c r="H250" s="36" t="s">
        <v>744</v>
      </c>
      <c r="I250" s="36" t="s">
        <v>42</v>
      </c>
      <c r="J250" s="37">
        <v>483</v>
      </c>
      <c r="K250" s="36" t="s">
        <v>31</v>
      </c>
      <c r="L250" s="36" t="s">
        <v>42</v>
      </c>
      <c r="M250" s="38">
        <v>0.6</v>
      </c>
      <c r="N250" s="38">
        <v>7.1</v>
      </c>
      <c r="O250" s="39">
        <f t="shared" si="13"/>
        <v>8.4507042253521125E-2</v>
      </c>
      <c r="P250" s="40">
        <v>25</v>
      </c>
      <c r="Q250" s="36" t="str">
        <f t="shared" si="14"/>
        <v>Paid</v>
      </c>
      <c r="R250" s="38">
        <v>4.9000000000000004</v>
      </c>
      <c r="S250" s="36">
        <v>4</v>
      </c>
      <c r="T250" s="36">
        <v>6</v>
      </c>
      <c r="U250" s="38">
        <v>4</v>
      </c>
      <c r="V250" s="41">
        <f t="shared" si="15"/>
        <v>0.95238095238095233</v>
      </c>
      <c r="W250" s="36" t="s">
        <v>86</v>
      </c>
      <c r="X250" s="36"/>
      <c r="Y250" s="36" t="s">
        <v>745</v>
      </c>
    </row>
    <row r="251" spans="1:25" x14ac:dyDescent="0.3">
      <c r="A251" s="36" t="s">
        <v>746</v>
      </c>
      <c r="B251" s="36">
        <v>41</v>
      </c>
      <c r="C251" s="36" t="str">
        <f t="shared" si="12"/>
        <v>35-44</v>
      </c>
      <c r="D251" s="36" t="s">
        <v>133</v>
      </c>
      <c r="E251" s="36" t="s">
        <v>70</v>
      </c>
      <c r="F251" s="36" t="s">
        <v>47</v>
      </c>
      <c r="G251" s="36" t="s">
        <v>194</v>
      </c>
      <c r="H251" s="36" t="s">
        <v>747</v>
      </c>
      <c r="I251" s="36" t="s">
        <v>92</v>
      </c>
      <c r="J251" s="37">
        <v>3795</v>
      </c>
      <c r="K251" s="36" t="s">
        <v>26</v>
      </c>
      <c r="L251" s="36" t="s">
        <v>36</v>
      </c>
      <c r="M251" s="38">
        <v>2.9</v>
      </c>
      <c r="N251" s="38">
        <v>6.8</v>
      </c>
      <c r="O251" s="39">
        <f t="shared" si="13"/>
        <v>0.4264705882352941</v>
      </c>
      <c r="P251" s="40">
        <v>20</v>
      </c>
      <c r="Q251" s="36" t="str">
        <f t="shared" si="14"/>
        <v>Paid</v>
      </c>
      <c r="R251" s="38">
        <v>7.8</v>
      </c>
      <c r="S251" s="36">
        <v>4</v>
      </c>
      <c r="T251" s="36">
        <v>6</v>
      </c>
      <c r="U251" s="38">
        <v>8.4</v>
      </c>
      <c r="V251" s="41">
        <f t="shared" si="15"/>
        <v>0.41379310344827586</v>
      </c>
      <c r="W251" s="36" t="s">
        <v>86</v>
      </c>
      <c r="X251" s="36"/>
      <c r="Y251" s="36" t="s">
        <v>748</v>
      </c>
    </row>
    <row r="252" spans="1:25" x14ac:dyDescent="0.3">
      <c r="A252" s="36" t="s">
        <v>749</v>
      </c>
      <c r="B252" s="36">
        <v>23</v>
      </c>
      <c r="C252" s="36" t="str">
        <f t="shared" si="12"/>
        <v>18-24</v>
      </c>
      <c r="D252" s="36" t="s">
        <v>144</v>
      </c>
      <c r="E252" s="36" t="s">
        <v>70</v>
      </c>
      <c r="F252" s="36" t="s">
        <v>47</v>
      </c>
      <c r="G252" s="36" t="s">
        <v>134</v>
      </c>
      <c r="H252" s="36" t="s">
        <v>750</v>
      </c>
      <c r="I252" s="36" t="s">
        <v>96</v>
      </c>
      <c r="J252" s="37">
        <v>5976</v>
      </c>
      <c r="K252" s="36" t="s">
        <v>24</v>
      </c>
      <c r="L252" s="36" t="s">
        <v>43</v>
      </c>
      <c r="M252" s="38">
        <v>2</v>
      </c>
      <c r="N252" s="38">
        <v>6.6</v>
      </c>
      <c r="O252" s="39">
        <f t="shared" si="13"/>
        <v>0.30303030303030304</v>
      </c>
      <c r="P252" s="40">
        <v>0</v>
      </c>
      <c r="Q252" s="36" t="str">
        <f t="shared" si="14"/>
        <v>Free</v>
      </c>
      <c r="R252" s="38">
        <v>5</v>
      </c>
      <c r="S252" s="36">
        <v>2</v>
      </c>
      <c r="T252" s="36">
        <v>5</v>
      </c>
      <c r="U252" s="38">
        <v>5.8</v>
      </c>
      <c r="V252" s="41">
        <f t="shared" si="15"/>
        <v>0.41428571428571426</v>
      </c>
      <c r="W252" s="36" t="s">
        <v>87</v>
      </c>
      <c r="X252" s="36"/>
      <c r="Y252" s="36" t="s">
        <v>751</v>
      </c>
    </row>
    <row r="253" spans="1:25" x14ac:dyDescent="0.3">
      <c r="A253" s="36" t="s">
        <v>752</v>
      </c>
      <c r="B253" s="36">
        <v>35</v>
      </c>
      <c r="C253" s="36" t="str">
        <f t="shared" si="12"/>
        <v>35-44</v>
      </c>
      <c r="D253" s="36" t="s">
        <v>133</v>
      </c>
      <c r="E253" s="36" t="s">
        <v>65</v>
      </c>
      <c r="F253" s="36" t="s">
        <v>47</v>
      </c>
      <c r="G253" s="36" t="s">
        <v>138</v>
      </c>
      <c r="H253" s="36" t="s">
        <v>135</v>
      </c>
      <c r="I253" s="36" t="s">
        <v>93</v>
      </c>
      <c r="J253" s="37">
        <v>3513</v>
      </c>
      <c r="K253" s="36" t="s">
        <v>28</v>
      </c>
      <c r="L253" s="36" t="s">
        <v>41</v>
      </c>
      <c r="M253" s="38">
        <v>1.5</v>
      </c>
      <c r="N253" s="38">
        <v>8</v>
      </c>
      <c r="O253" s="39">
        <f t="shared" si="13"/>
        <v>0.1875</v>
      </c>
      <c r="P253" s="40">
        <v>0</v>
      </c>
      <c r="Q253" s="36" t="str">
        <f t="shared" si="14"/>
        <v>Free</v>
      </c>
      <c r="R253" s="38"/>
      <c r="S253" s="36">
        <v>4</v>
      </c>
      <c r="T253" s="36">
        <v>7</v>
      </c>
      <c r="U253" s="38">
        <v>1.9</v>
      </c>
      <c r="V253" s="41">
        <f t="shared" si="15"/>
        <v>0.18095238095238095</v>
      </c>
      <c r="W253" s="36" t="s">
        <v>86</v>
      </c>
      <c r="X253" s="36"/>
      <c r="Y253" s="36" t="s">
        <v>753</v>
      </c>
    </row>
    <row r="254" spans="1:25" x14ac:dyDescent="0.3">
      <c r="A254" s="36" t="s">
        <v>754</v>
      </c>
      <c r="B254" s="36">
        <v>32</v>
      </c>
      <c r="C254" s="36" t="str">
        <f t="shared" si="12"/>
        <v>25-34</v>
      </c>
      <c r="D254" s="36" t="s">
        <v>144</v>
      </c>
      <c r="E254" s="36" t="s">
        <v>61</v>
      </c>
      <c r="F254" s="36" t="s">
        <v>46</v>
      </c>
      <c r="G254" s="36" t="s">
        <v>138</v>
      </c>
      <c r="H254" s="36" t="s">
        <v>328</v>
      </c>
      <c r="I254" s="36" t="s">
        <v>94</v>
      </c>
      <c r="J254" s="37">
        <v>110</v>
      </c>
      <c r="K254" s="36" t="s">
        <v>24</v>
      </c>
      <c r="L254" s="36" t="s">
        <v>39</v>
      </c>
      <c r="M254" s="38">
        <v>3.3</v>
      </c>
      <c r="N254" s="38">
        <v>8.1999999999999993</v>
      </c>
      <c r="O254" s="39">
        <f t="shared" si="13"/>
        <v>0.40243902439024393</v>
      </c>
      <c r="P254" s="40">
        <v>0</v>
      </c>
      <c r="Q254" s="36" t="str">
        <f t="shared" si="14"/>
        <v>Free</v>
      </c>
      <c r="R254" s="38">
        <v>6.3</v>
      </c>
      <c r="S254" s="36">
        <v>5</v>
      </c>
      <c r="T254" s="36">
        <v>10</v>
      </c>
      <c r="U254" s="38">
        <v>5.9</v>
      </c>
      <c r="V254" s="41">
        <f t="shared" si="15"/>
        <v>0.25541125541125548</v>
      </c>
      <c r="W254" s="36" t="s">
        <v>86</v>
      </c>
      <c r="X254" s="36"/>
      <c r="Y254" s="36"/>
    </row>
    <row r="255" spans="1:25" x14ac:dyDescent="0.3">
      <c r="A255" s="36" t="s">
        <v>755</v>
      </c>
      <c r="B255" s="36">
        <v>49</v>
      </c>
      <c r="C255" s="36" t="str">
        <f t="shared" si="12"/>
        <v>45+</v>
      </c>
      <c r="D255" s="36" t="s">
        <v>133</v>
      </c>
      <c r="E255" s="36" t="s">
        <v>62</v>
      </c>
      <c r="F255" s="36" t="s">
        <v>47</v>
      </c>
      <c r="G255" s="36" t="s">
        <v>194</v>
      </c>
      <c r="H255" s="36" t="s">
        <v>756</v>
      </c>
      <c r="I255" s="36" t="s">
        <v>42</v>
      </c>
      <c r="J255" s="37">
        <v>2690</v>
      </c>
      <c r="K255" s="36" t="s">
        <v>31</v>
      </c>
      <c r="L255" s="36" t="s">
        <v>36</v>
      </c>
      <c r="M255" s="38">
        <v>0.6</v>
      </c>
      <c r="N255" s="38">
        <v>6.5</v>
      </c>
      <c r="O255" s="39">
        <f t="shared" si="13"/>
        <v>9.2307692307692299E-2</v>
      </c>
      <c r="P255" s="40">
        <v>10</v>
      </c>
      <c r="Q255" s="36" t="str">
        <f t="shared" si="14"/>
        <v>Paid</v>
      </c>
      <c r="R255" s="38">
        <v>1.6</v>
      </c>
      <c r="S255" s="36"/>
      <c r="T255" s="36">
        <v>3</v>
      </c>
      <c r="U255" s="38">
        <v>2.2000000000000002</v>
      </c>
      <c r="V255" s="41">
        <f t="shared" si="15"/>
        <v>0.52380952380952384</v>
      </c>
      <c r="W255" s="36" t="s">
        <v>88</v>
      </c>
      <c r="X255" s="36"/>
      <c r="Y255" s="36" t="s">
        <v>757</v>
      </c>
    </row>
    <row r="256" spans="1:25" x14ac:dyDescent="0.3">
      <c r="A256" s="36" t="s">
        <v>758</v>
      </c>
      <c r="B256" s="36"/>
      <c r="C256" s="36" t="str">
        <f t="shared" si="12"/>
        <v/>
      </c>
      <c r="D256" s="36" t="s">
        <v>133</v>
      </c>
      <c r="E256" s="36" t="s">
        <v>65</v>
      </c>
      <c r="F256" s="36" t="s">
        <v>47</v>
      </c>
      <c r="G256" s="36" t="s">
        <v>138</v>
      </c>
      <c r="H256" s="36"/>
      <c r="I256" s="36"/>
      <c r="J256" s="37">
        <v>4102</v>
      </c>
      <c r="K256" s="36" t="s">
        <v>25</v>
      </c>
      <c r="L256" s="36" t="s">
        <v>40</v>
      </c>
      <c r="M256" s="38">
        <v>2.5</v>
      </c>
      <c r="N256" s="38">
        <v>7.5</v>
      </c>
      <c r="O256" s="39">
        <f t="shared" si="13"/>
        <v>0.33333333333333331</v>
      </c>
      <c r="P256" s="40">
        <v>10</v>
      </c>
      <c r="Q256" s="36" t="str">
        <f t="shared" si="14"/>
        <v>Paid</v>
      </c>
      <c r="R256" s="38">
        <v>6.1</v>
      </c>
      <c r="S256" s="36">
        <v>5</v>
      </c>
      <c r="T256" s="36">
        <v>7</v>
      </c>
      <c r="U256" s="38">
        <v>5.6</v>
      </c>
      <c r="V256" s="41">
        <f t="shared" si="15"/>
        <v>0.32</v>
      </c>
      <c r="W256" s="36" t="s">
        <v>86</v>
      </c>
      <c r="X256" s="36"/>
      <c r="Y256" s="36" t="s">
        <v>759</v>
      </c>
    </row>
    <row r="257" spans="1:25" x14ac:dyDescent="0.3">
      <c r="A257" s="36" t="s">
        <v>760</v>
      </c>
      <c r="B257" s="36"/>
      <c r="C257" s="36" t="str">
        <f t="shared" si="12"/>
        <v/>
      </c>
      <c r="D257" s="36" t="s">
        <v>277</v>
      </c>
      <c r="E257" s="36" t="s">
        <v>62</v>
      </c>
      <c r="F257" s="36" t="s">
        <v>46</v>
      </c>
      <c r="G257" s="36" t="s">
        <v>138</v>
      </c>
      <c r="H257" s="36" t="s">
        <v>188</v>
      </c>
      <c r="I257" s="36" t="s">
        <v>91</v>
      </c>
      <c r="J257" s="37">
        <v>390</v>
      </c>
      <c r="K257" s="36" t="s">
        <v>31</v>
      </c>
      <c r="L257" s="36" t="s">
        <v>37</v>
      </c>
      <c r="M257" s="38">
        <v>7.9</v>
      </c>
      <c r="N257" s="38">
        <v>6</v>
      </c>
      <c r="O257" s="39">
        <f t="shared" si="13"/>
        <v>1.3166666666666667</v>
      </c>
      <c r="P257" s="40">
        <v>0</v>
      </c>
      <c r="Q257" s="36" t="str">
        <f t="shared" si="14"/>
        <v>Free</v>
      </c>
      <c r="R257" s="38">
        <v>8.9</v>
      </c>
      <c r="S257" s="36">
        <v>4</v>
      </c>
      <c r="T257" s="36">
        <v>9</v>
      </c>
      <c r="U257" s="38">
        <v>14.2</v>
      </c>
      <c r="V257" s="41">
        <f t="shared" si="15"/>
        <v>0.25678119349005424</v>
      </c>
      <c r="W257" s="36" t="s">
        <v>86</v>
      </c>
      <c r="X257" s="36" t="s">
        <v>178</v>
      </c>
      <c r="Y257" s="36" t="s">
        <v>761</v>
      </c>
    </row>
    <row r="258" spans="1:25" x14ac:dyDescent="0.3">
      <c r="A258" s="36" t="s">
        <v>762</v>
      </c>
      <c r="B258" s="36">
        <v>23</v>
      </c>
      <c r="C258" s="36" t="str">
        <f t="shared" ref="C258:C321" si="16">IF(B258="","",IF(B258&lt;18,"Under 18",IF(B258&lt;25,"18-24",IF(B258&lt;35,"25-34",IF(B258&lt;45,"35-44","45+")))))</f>
        <v>18-24</v>
      </c>
      <c r="D258" s="36" t="s">
        <v>144</v>
      </c>
      <c r="E258" s="36" t="s">
        <v>65</v>
      </c>
      <c r="F258" s="36" t="s">
        <v>46</v>
      </c>
      <c r="G258" s="36" t="s">
        <v>138</v>
      </c>
      <c r="H258" s="36" t="s">
        <v>142</v>
      </c>
      <c r="I258" s="36" t="s">
        <v>92</v>
      </c>
      <c r="J258" s="37">
        <v>312</v>
      </c>
      <c r="K258" s="36" t="s">
        <v>26</v>
      </c>
      <c r="L258" s="36" t="s">
        <v>36</v>
      </c>
      <c r="M258" s="38">
        <v>0.7</v>
      </c>
      <c r="N258" s="38">
        <v>4.0999999999999996</v>
      </c>
      <c r="O258" s="39">
        <f t="shared" ref="O258:O321" si="17">IF(OR(M258="",N258=""),"",M258/N258)</f>
        <v>0.17073170731707318</v>
      </c>
      <c r="P258" s="40">
        <v>0</v>
      </c>
      <c r="Q258" s="36" t="str">
        <f t="shared" ref="Q258:Q321" si="18">IF(P258="","",IF(P258=0,"Free","Paid"))</f>
        <v>Free</v>
      </c>
      <c r="R258" s="38">
        <v>5.0999999999999996</v>
      </c>
      <c r="S258" s="36">
        <v>4</v>
      </c>
      <c r="T258" s="36">
        <v>6</v>
      </c>
      <c r="U258" s="38">
        <v>4.8</v>
      </c>
      <c r="V258" s="41">
        <f t="shared" ref="V258:V321" si="19">IF(OR(U258="",M258="",M258=0),"",U258/(M258*7))</f>
        <v>0.97959183673469397</v>
      </c>
      <c r="W258" s="36" t="s">
        <v>88</v>
      </c>
      <c r="X258" s="36"/>
      <c r="Y258" s="36" t="s">
        <v>763</v>
      </c>
    </row>
    <row r="259" spans="1:25" x14ac:dyDescent="0.3">
      <c r="A259" s="36" t="s">
        <v>764</v>
      </c>
      <c r="B259" s="36">
        <v>17</v>
      </c>
      <c r="C259" s="36" t="str">
        <f t="shared" si="16"/>
        <v>Under 18</v>
      </c>
      <c r="D259" s="36" t="s">
        <v>144</v>
      </c>
      <c r="E259" s="36" t="s">
        <v>63</v>
      </c>
      <c r="F259" s="36" t="s">
        <v>46</v>
      </c>
      <c r="G259" s="36" t="s">
        <v>159</v>
      </c>
      <c r="H259" s="36" t="s">
        <v>142</v>
      </c>
      <c r="I259" s="36" t="s">
        <v>92</v>
      </c>
      <c r="J259" s="37">
        <v>595</v>
      </c>
      <c r="K259" s="36" t="s">
        <v>24</v>
      </c>
      <c r="L259" s="36" t="s">
        <v>36</v>
      </c>
      <c r="M259" s="38">
        <v>8</v>
      </c>
      <c r="N259" s="38">
        <v>6.1</v>
      </c>
      <c r="O259" s="39">
        <f t="shared" si="17"/>
        <v>1.3114754098360657</v>
      </c>
      <c r="P259" s="40">
        <v>0</v>
      </c>
      <c r="Q259" s="36" t="str">
        <f t="shared" si="18"/>
        <v>Free</v>
      </c>
      <c r="R259" s="38">
        <v>7.4</v>
      </c>
      <c r="S259" s="36">
        <v>3</v>
      </c>
      <c r="T259" s="36">
        <v>7</v>
      </c>
      <c r="U259" s="38">
        <v>15.8</v>
      </c>
      <c r="V259" s="41">
        <f t="shared" si="19"/>
        <v>0.28214285714285714</v>
      </c>
      <c r="W259" s="36" t="s">
        <v>86</v>
      </c>
      <c r="X259" s="36" t="s">
        <v>178</v>
      </c>
      <c r="Y259" s="36" t="s">
        <v>765</v>
      </c>
    </row>
    <row r="260" spans="1:25" x14ac:dyDescent="0.3">
      <c r="A260" s="36" t="s">
        <v>766</v>
      </c>
      <c r="B260" s="36">
        <v>54</v>
      </c>
      <c r="C260" s="36" t="str">
        <f t="shared" si="16"/>
        <v>45+</v>
      </c>
      <c r="D260" s="36" t="s">
        <v>277</v>
      </c>
      <c r="E260" s="36" t="s">
        <v>61</v>
      </c>
      <c r="F260" s="36" t="s">
        <v>47</v>
      </c>
      <c r="G260" s="36" t="s">
        <v>138</v>
      </c>
      <c r="H260" s="36" t="s">
        <v>744</v>
      </c>
      <c r="I260" s="36" t="s">
        <v>42</v>
      </c>
      <c r="J260" s="37">
        <v>983</v>
      </c>
      <c r="K260" s="36" t="s">
        <v>27</v>
      </c>
      <c r="L260" s="36" t="s">
        <v>42</v>
      </c>
      <c r="M260" s="38">
        <v>5</v>
      </c>
      <c r="N260" s="38">
        <v>9.9</v>
      </c>
      <c r="O260" s="39">
        <f t="shared" si="17"/>
        <v>0.50505050505050508</v>
      </c>
      <c r="P260" s="40">
        <v>20</v>
      </c>
      <c r="Q260" s="36" t="str">
        <f t="shared" si="18"/>
        <v>Paid</v>
      </c>
      <c r="R260" s="38">
        <v>7</v>
      </c>
      <c r="S260" s="36">
        <v>3</v>
      </c>
      <c r="T260" s="36">
        <v>5</v>
      </c>
      <c r="U260" s="38"/>
      <c r="V260" s="41" t="str">
        <f t="shared" si="19"/>
        <v/>
      </c>
      <c r="W260" s="36" t="s">
        <v>86</v>
      </c>
      <c r="X260" s="36"/>
      <c r="Y260" s="36" t="s">
        <v>767</v>
      </c>
    </row>
    <row r="261" spans="1:25" x14ac:dyDescent="0.3">
      <c r="A261" s="36" t="s">
        <v>768</v>
      </c>
      <c r="B261" s="36">
        <v>23</v>
      </c>
      <c r="C261" s="36" t="str">
        <f t="shared" si="16"/>
        <v>18-24</v>
      </c>
      <c r="D261" s="36" t="s">
        <v>144</v>
      </c>
      <c r="E261" s="36" t="s">
        <v>66</v>
      </c>
      <c r="F261" s="36" t="s">
        <v>46</v>
      </c>
      <c r="G261" s="36" t="s">
        <v>159</v>
      </c>
      <c r="H261" s="36" t="s">
        <v>149</v>
      </c>
      <c r="I261" s="36" t="s">
        <v>94</v>
      </c>
      <c r="J261" s="37">
        <v>0</v>
      </c>
      <c r="K261" s="36" t="s">
        <v>24</v>
      </c>
      <c r="L261" s="36" t="s">
        <v>38</v>
      </c>
      <c r="M261" s="38"/>
      <c r="N261" s="38">
        <v>2.6</v>
      </c>
      <c r="O261" s="39" t="str">
        <f t="shared" si="17"/>
        <v/>
      </c>
      <c r="P261" s="40">
        <v>0</v>
      </c>
      <c r="Q261" s="36" t="str">
        <f t="shared" si="18"/>
        <v>Free</v>
      </c>
      <c r="R261" s="38">
        <v>3.8</v>
      </c>
      <c r="S261" s="36">
        <v>2</v>
      </c>
      <c r="T261" s="36">
        <v>6</v>
      </c>
      <c r="U261" s="38">
        <v>0.1</v>
      </c>
      <c r="V261" s="41" t="str">
        <f t="shared" si="19"/>
        <v/>
      </c>
      <c r="W261" s="36" t="s">
        <v>86</v>
      </c>
      <c r="X261" s="36"/>
      <c r="Y261" s="36" t="s">
        <v>769</v>
      </c>
    </row>
    <row r="262" spans="1:25" x14ac:dyDescent="0.3">
      <c r="A262" s="36" t="s">
        <v>770</v>
      </c>
      <c r="B262" s="36">
        <v>16</v>
      </c>
      <c r="C262" s="36" t="str">
        <f t="shared" si="16"/>
        <v>Under 18</v>
      </c>
      <c r="D262" s="36" t="s">
        <v>144</v>
      </c>
      <c r="E262" s="36" t="s">
        <v>67</v>
      </c>
      <c r="F262" s="36" t="s">
        <v>46</v>
      </c>
      <c r="G262" s="36" t="s">
        <v>148</v>
      </c>
      <c r="H262" s="36" t="s">
        <v>235</v>
      </c>
      <c r="I262" s="36" t="s">
        <v>92</v>
      </c>
      <c r="J262" s="37">
        <v>76</v>
      </c>
      <c r="K262" s="36" t="s">
        <v>24</v>
      </c>
      <c r="L262" s="36" t="s">
        <v>41</v>
      </c>
      <c r="M262" s="38">
        <v>1.2</v>
      </c>
      <c r="N262" s="38">
        <v>8.1999999999999993</v>
      </c>
      <c r="O262" s="39">
        <f t="shared" si="17"/>
        <v>0.14634146341463417</v>
      </c>
      <c r="P262" s="40">
        <v>0</v>
      </c>
      <c r="Q262" s="36" t="str">
        <f t="shared" si="18"/>
        <v>Free</v>
      </c>
      <c r="R262" s="38">
        <v>3.4</v>
      </c>
      <c r="S262" s="36">
        <v>3</v>
      </c>
      <c r="T262" s="36">
        <v>5</v>
      </c>
      <c r="U262" s="38">
        <v>3.7</v>
      </c>
      <c r="V262" s="41">
        <f t="shared" si="19"/>
        <v>0.44047619047619047</v>
      </c>
      <c r="W262" s="36" t="s">
        <v>88</v>
      </c>
      <c r="X262" s="36"/>
      <c r="Y262" s="36" t="s">
        <v>771</v>
      </c>
    </row>
    <row r="263" spans="1:25" x14ac:dyDescent="0.3">
      <c r="A263" s="36" t="s">
        <v>772</v>
      </c>
      <c r="B263" s="36">
        <v>35</v>
      </c>
      <c r="C263" s="36" t="str">
        <f t="shared" si="16"/>
        <v>35-44</v>
      </c>
      <c r="D263" s="36" t="s">
        <v>144</v>
      </c>
      <c r="E263" s="36" t="s">
        <v>66</v>
      </c>
      <c r="F263" s="36" t="s">
        <v>47</v>
      </c>
      <c r="G263" s="36" t="s">
        <v>138</v>
      </c>
      <c r="H263" s="36" t="s">
        <v>773</v>
      </c>
      <c r="I263" s="36" t="s">
        <v>92</v>
      </c>
      <c r="J263" s="37">
        <v>1991</v>
      </c>
      <c r="K263" s="36" t="s">
        <v>25</v>
      </c>
      <c r="L263" s="36" t="s">
        <v>36</v>
      </c>
      <c r="M263" s="38">
        <v>1.7</v>
      </c>
      <c r="N263" s="38">
        <v>7.3</v>
      </c>
      <c r="O263" s="39">
        <f t="shared" si="17"/>
        <v>0.23287671232876711</v>
      </c>
      <c r="P263" s="40">
        <v>10</v>
      </c>
      <c r="Q263" s="36" t="str">
        <f t="shared" si="18"/>
        <v>Paid</v>
      </c>
      <c r="R263" s="38">
        <v>4</v>
      </c>
      <c r="S263" s="36">
        <v>4</v>
      </c>
      <c r="T263" s="36">
        <v>6</v>
      </c>
      <c r="U263" s="38">
        <v>6.2</v>
      </c>
      <c r="V263" s="41">
        <f t="shared" si="19"/>
        <v>0.52100840336134457</v>
      </c>
      <c r="W263" s="36" t="s">
        <v>86</v>
      </c>
      <c r="X263" s="36"/>
      <c r="Y263" s="36" t="s">
        <v>774</v>
      </c>
    </row>
    <row r="264" spans="1:25" x14ac:dyDescent="0.3">
      <c r="A264" s="36" t="s">
        <v>775</v>
      </c>
      <c r="B264" s="36">
        <v>22</v>
      </c>
      <c r="C264" s="36" t="str">
        <f t="shared" si="16"/>
        <v>18-24</v>
      </c>
      <c r="D264" s="36" t="s">
        <v>144</v>
      </c>
      <c r="E264" s="36" t="s">
        <v>191</v>
      </c>
      <c r="F264" s="36" t="s">
        <v>46</v>
      </c>
      <c r="G264" s="36" t="s">
        <v>138</v>
      </c>
      <c r="H264" s="36" t="s">
        <v>177</v>
      </c>
      <c r="I264" s="36" t="s">
        <v>92</v>
      </c>
      <c r="J264" s="37">
        <v>0</v>
      </c>
      <c r="K264" s="36" t="s">
        <v>25</v>
      </c>
      <c r="L264" s="36" t="s">
        <v>36</v>
      </c>
      <c r="M264" s="38">
        <v>3.3</v>
      </c>
      <c r="N264" s="38">
        <v>5.5</v>
      </c>
      <c r="O264" s="39">
        <f t="shared" si="17"/>
        <v>0.6</v>
      </c>
      <c r="P264" s="40">
        <v>0</v>
      </c>
      <c r="Q264" s="36" t="str">
        <f t="shared" si="18"/>
        <v>Free</v>
      </c>
      <c r="R264" s="38">
        <v>6</v>
      </c>
      <c r="S264" s="36">
        <v>2</v>
      </c>
      <c r="T264" s="36">
        <v>6</v>
      </c>
      <c r="U264" s="38">
        <v>6.4</v>
      </c>
      <c r="V264" s="41">
        <f t="shared" si="19"/>
        <v>0.27705627705627711</v>
      </c>
      <c r="W264" s="36" t="s">
        <v>86</v>
      </c>
      <c r="X264" s="36"/>
      <c r="Y264" s="36" t="s">
        <v>776</v>
      </c>
    </row>
    <row r="265" spans="1:25" x14ac:dyDescent="0.3">
      <c r="A265" s="36" t="s">
        <v>777</v>
      </c>
      <c r="B265" s="36">
        <v>19</v>
      </c>
      <c r="C265" s="36" t="str">
        <f t="shared" si="16"/>
        <v>18-24</v>
      </c>
      <c r="D265" s="36" t="s">
        <v>144</v>
      </c>
      <c r="E265" s="36" t="s">
        <v>62</v>
      </c>
      <c r="F265" s="36" t="s">
        <v>46</v>
      </c>
      <c r="G265" s="36" t="s">
        <v>148</v>
      </c>
      <c r="H265" s="36" t="s">
        <v>360</v>
      </c>
      <c r="I265" s="36" t="s">
        <v>94</v>
      </c>
      <c r="J265" s="37">
        <v>0</v>
      </c>
      <c r="K265" s="36" t="s">
        <v>26</v>
      </c>
      <c r="L265" s="36" t="s">
        <v>39</v>
      </c>
      <c r="M265" s="38">
        <v>2.8</v>
      </c>
      <c r="N265" s="38">
        <v>6.5</v>
      </c>
      <c r="O265" s="39">
        <f t="shared" si="17"/>
        <v>0.43076923076923074</v>
      </c>
      <c r="P265" s="40">
        <v>20</v>
      </c>
      <c r="Q265" s="36" t="str">
        <f t="shared" si="18"/>
        <v>Paid</v>
      </c>
      <c r="R265" s="38">
        <v>5</v>
      </c>
      <c r="S265" s="36">
        <v>3</v>
      </c>
      <c r="T265" s="36">
        <v>6</v>
      </c>
      <c r="U265" s="38">
        <v>6.9</v>
      </c>
      <c r="V265" s="41">
        <f t="shared" si="19"/>
        <v>0.35204081632653067</v>
      </c>
      <c r="W265" s="36" t="s">
        <v>87</v>
      </c>
      <c r="X265" s="36"/>
      <c r="Y265" s="36" t="s">
        <v>778</v>
      </c>
    </row>
    <row r="266" spans="1:25" x14ac:dyDescent="0.3">
      <c r="A266" s="36" t="s">
        <v>779</v>
      </c>
      <c r="B266" s="36">
        <v>24</v>
      </c>
      <c r="C266" s="36" t="str">
        <f t="shared" si="16"/>
        <v>18-24</v>
      </c>
      <c r="D266" s="36" t="s">
        <v>144</v>
      </c>
      <c r="E266" s="36" t="s">
        <v>68</v>
      </c>
      <c r="F266" s="36" t="s">
        <v>46</v>
      </c>
      <c r="G266" s="36" t="s">
        <v>148</v>
      </c>
      <c r="H266" s="36" t="s">
        <v>152</v>
      </c>
      <c r="I266" s="36" t="s">
        <v>93</v>
      </c>
      <c r="J266" s="37">
        <v>435</v>
      </c>
      <c r="K266" s="36" t="s">
        <v>27</v>
      </c>
      <c r="L266" s="36" t="s">
        <v>38</v>
      </c>
      <c r="M266" s="38">
        <v>3.4</v>
      </c>
      <c r="N266" s="38">
        <v>4.5999999999999996</v>
      </c>
      <c r="O266" s="39">
        <f t="shared" si="17"/>
        <v>0.73913043478260876</v>
      </c>
      <c r="P266" s="40">
        <v>10</v>
      </c>
      <c r="Q266" s="36" t="str">
        <f t="shared" si="18"/>
        <v>Paid</v>
      </c>
      <c r="R266" s="38">
        <v>5.5</v>
      </c>
      <c r="S266" s="36"/>
      <c r="T266" s="36">
        <v>6</v>
      </c>
      <c r="U266" s="38">
        <v>7.7</v>
      </c>
      <c r="V266" s="41">
        <f t="shared" si="19"/>
        <v>0.3235294117647059</v>
      </c>
      <c r="W266" s="36" t="s">
        <v>86</v>
      </c>
      <c r="X266" s="36"/>
      <c r="Y266" s="36" t="s">
        <v>780</v>
      </c>
    </row>
    <row r="267" spans="1:25" x14ac:dyDescent="0.3">
      <c r="A267" s="36" t="s">
        <v>781</v>
      </c>
      <c r="B267" s="36">
        <v>21</v>
      </c>
      <c r="C267" s="36" t="str">
        <f t="shared" si="16"/>
        <v>18-24</v>
      </c>
      <c r="D267" s="36" t="s">
        <v>133</v>
      </c>
      <c r="E267" s="36" t="s">
        <v>63</v>
      </c>
      <c r="F267" s="36" t="s">
        <v>46</v>
      </c>
      <c r="G267" s="36" t="s">
        <v>148</v>
      </c>
      <c r="H267" s="36" t="s">
        <v>188</v>
      </c>
      <c r="I267" s="36" t="s">
        <v>91</v>
      </c>
      <c r="J267" s="37">
        <v>678</v>
      </c>
      <c r="K267" s="36" t="s">
        <v>24</v>
      </c>
      <c r="L267" s="36" t="s">
        <v>37</v>
      </c>
      <c r="M267" s="38">
        <v>3</v>
      </c>
      <c r="N267" s="38">
        <v>6.7</v>
      </c>
      <c r="O267" s="39">
        <f t="shared" si="17"/>
        <v>0.44776119402985076</v>
      </c>
      <c r="P267" s="40">
        <v>0</v>
      </c>
      <c r="Q267" s="36" t="str">
        <f t="shared" si="18"/>
        <v>Free</v>
      </c>
      <c r="R267" s="38">
        <v>4</v>
      </c>
      <c r="S267" s="36">
        <v>4</v>
      </c>
      <c r="T267" s="36">
        <v>6</v>
      </c>
      <c r="U267" s="38">
        <v>7.1</v>
      </c>
      <c r="V267" s="41">
        <f t="shared" si="19"/>
        <v>0.33809523809523806</v>
      </c>
      <c r="W267" s="36" t="s">
        <v>88</v>
      </c>
      <c r="X267" s="36"/>
      <c r="Y267" s="36" t="s">
        <v>782</v>
      </c>
    </row>
    <row r="268" spans="1:25" x14ac:dyDescent="0.3">
      <c r="A268" s="36" t="s">
        <v>783</v>
      </c>
      <c r="B268" s="36">
        <v>24</v>
      </c>
      <c r="C268" s="36" t="str">
        <f t="shared" si="16"/>
        <v>18-24</v>
      </c>
      <c r="D268" s="36" t="s">
        <v>144</v>
      </c>
      <c r="E268" s="36" t="s">
        <v>65</v>
      </c>
      <c r="F268" s="36" t="s">
        <v>47</v>
      </c>
      <c r="G268" s="36" t="s">
        <v>159</v>
      </c>
      <c r="H268" s="36" t="s">
        <v>381</v>
      </c>
      <c r="I268" s="36" t="s">
        <v>92</v>
      </c>
      <c r="J268" s="37">
        <v>4006</v>
      </c>
      <c r="K268" s="36" t="s">
        <v>26</v>
      </c>
      <c r="L268" s="36" t="s">
        <v>36</v>
      </c>
      <c r="M268" s="38">
        <v>2.9</v>
      </c>
      <c r="N268" s="38">
        <v>7.8</v>
      </c>
      <c r="O268" s="39">
        <f t="shared" si="17"/>
        <v>0.37179487179487181</v>
      </c>
      <c r="P268" s="40">
        <v>25</v>
      </c>
      <c r="Q268" s="36" t="str">
        <f t="shared" si="18"/>
        <v>Paid</v>
      </c>
      <c r="R268" s="38">
        <v>6.1</v>
      </c>
      <c r="S268" s="36">
        <v>3</v>
      </c>
      <c r="T268" s="36">
        <v>6</v>
      </c>
      <c r="U268" s="38">
        <v>8.3000000000000007</v>
      </c>
      <c r="V268" s="41">
        <f t="shared" si="19"/>
        <v>0.40886699507389163</v>
      </c>
      <c r="W268" s="36" t="s">
        <v>86</v>
      </c>
      <c r="X268" s="36"/>
      <c r="Y268" s="36" t="s">
        <v>784</v>
      </c>
    </row>
    <row r="269" spans="1:25" x14ac:dyDescent="0.3">
      <c r="A269" s="36" t="s">
        <v>785</v>
      </c>
      <c r="B269" s="36">
        <v>16</v>
      </c>
      <c r="C269" s="36" t="str">
        <f t="shared" si="16"/>
        <v>Under 18</v>
      </c>
      <c r="D269" s="36" t="s">
        <v>144</v>
      </c>
      <c r="E269" s="36" t="s">
        <v>62</v>
      </c>
      <c r="F269" s="36" t="s">
        <v>46</v>
      </c>
      <c r="G269" s="36" t="s">
        <v>245</v>
      </c>
      <c r="H269" s="36"/>
      <c r="I269" s="36"/>
      <c r="J269" s="37">
        <v>707</v>
      </c>
      <c r="K269" s="36" t="s">
        <v>24</v>
      </c>
      <c r="L269" s="36" t="s">
        <v>41</v>
      </c>
      <c r="M269" s="38">
        <v>1.1000000000000001</v>
      </c>
      <c r="N269" s="38">
        <v>4.9000000000000004</v>
      </c>
      <c r="O269" s="39">
        <f t="shared" si="17"/>
        <v>0.22448979591836735</v>
      </c>
      <c r="P269" s="40">
        <v>0</v>
      </c>
      <c r="Q269" s="36" t="str">
        <f t="shared" si="18"/>
        <v>Free</v>
      </c>
      <c r="R269" s="38">
        <v>5.0999999999999996</v>
      </c>
      <c r="S269" s="36">
        <v>3</v>
      </c>
      <c r="T269" s="36">
        <v>7</v>
      </c>
      <c r="U269" s="38">
        <v>5.0999999999999996</v>
      </c>
      <c r="V269" s="41">
        <f t="shared" si="19"/>
        <v>0.66233766233766223</v>
      </c>
      <c r="W269" s="36" t="s">
        <v>86</v>
      </c>
      <c r="X269" s="36"/>
      <c r="Y269" s="36" t="s">
        <v>786</v>
      </c>
    </row>
    <row r="270" spans="1:25" x14ac:dyDescent="0.3">
      <c r="A270" s="36" t="s">
        <v>787</v>
      </c>
      <c r="B270" s="36">
        <v>31</v>
      </c>
      <c r="C270" s="36" t="str">
        <f t="shared" si="16"/>
        <v>25-34</v>
      </c>
      <c r="D270" s="36" t="s">
        <v>133</v>
      </c>
      <c r="E270" s="36" t="s">
        <v>70</v>
      </c>
      <c r="F270" s="36" t="s">
        <v>46</v>
      </c>
      <c r="G270" s="36" t="s">
        <v>138</v>
      </c>
      <c r="H270" s="36" t="s">
        <v>426</v>
      </c>
      <c r="I270" s="36" t="s">
        <v>93</v>
      </c>
      <c r="J270" s="37">
        <v>523</v>
      </c>
      <c r="K270" s="36"/>
      <c r="L270" s="36" t="s">
        <v>39</v>
      </c>
      <c r="M270" s="38">
        <v>2</v>
      </c>
      <c r="N270" s="38">
        <v>2.8</v>
      </c>
      <c r="O270" s="39">
        <f t="shared" si="17"/>
        <v>0.7142857142857143</v>
      </c>
      <c r="P270" s="40">
        <v>0</v>
      </c>
      <c r="Q270" s="36" t="str">
        <f t="shared" si="18"/>
        <v>Free</v>
      </c>
      <c r="R270" s="38">
        <v>5.6</v>
      </c>
      <c r="S270" s="36">
        <v>4</v>
      </c>
      <c r="T270" s="36">
        <v>6</v>
      </c>
      <c r="U270" s="38">
        <v>3.8</v>
      </c>
      <c r="V270" s="41">
        <f t="shared" si="19"/>
        <v>0.27142857142857141</v>
      </c>
      <c r="W270" s="36" t="s">
        <v>86</v>
      </c>
      <c r="X270" s="36"/>
      <c r="Y270" s="36" t="s">
        <v>788</v>
      </c>
    </row>
    <row r="271" spans="1:25" x14ac:dyDescent="0.3">
      <c r="A271" s="36" t="s">
        <v>789</v>
      </c>
      <c r="B271" s="36">
        <v>20</v>
      </c>
      <c r="C271" s="36" t="str">
        <f t="shared" si="16"/>
        <v>18-24</v>
      </c>
      <c r="D271" s="36" t="s">
        <v>144</v>
      </c>
      <c r="E271" s="36" t="s">
        <v>67</v>
      </c>
      <c r="F271" s="36" t="s">
        <v>46</v>
      </c>
      <c r="G271" s="36"/>
      <c r="H271" s="36" t="s">
        <v>188</v>
      </c>
      <c r="I271" s="36" t="s">
        <v>91</v>
      </c>
      <c r="J271" s="37">
        <v>93</v>
      </c>
      <c r="K271" s="36" t="s">
        <v>24</v>
      </c>
      <c r="L271" s="36" t="s">
        <v>37</v>
      </c>
      <c r="M271" s="38">
        <v>2.2999999999999998</v>
      </c>
      <c r="N271" s="38">
        <v>6.1</v>
      </c>
      <c r="O271" s="39">
        <f t="shared" si="17"/>
        <v>0.37704918032786883</v>
      </c>
      <c r="P271" s="40">
        <v>10</v>
      </c>
      <c r="Q271" s="36" t="str">
        <f t="shared" si="18"/>
        <v>Paid</v>
      </c>
      <c r="R271" s="38">
        <v>4.2</v>
      </c>
      <c r="S271" s="36">
        <v>3</v>
      </c>
      <c r="T271" s="36">
        <v>4</v>
      </c>
      <c r="U271" s="38">
        <v>3.4</v>
      </c>
      <c r="V271" s="41">
        <f t="shared" si="19"/>
        <v>0.21118012422360249</v>
      </c>
      <c r="W271" s="36" t="s">
        <v>88</v>
      </c>
      <c r="X271" s="36"/>
      <c r="Y271" s="36" t="s">
        <v>790</v>
      </c>
    </row>
    <row r="272" spans="1:25" x14ac:dyDescent="0.3">
      <c r="A272" s="36" t="s">
        <v>791</v>
      </c>
      <c r="B272" s="36">
        <v>29</v>
      </c>
      <c r="C272" s="36" t="str">
        <f t="shared" si="16"/>
        <v>25-34</v>
      </c>
      <c r="D272" s="36" t="s">
        <v>277</v>
      </c>
      <c r="E272" s="36" t="s">
        <v>155</v>
      </c>
      <c r="F272" s="36" t="s">
        <v>47</v>
      </c>
      <c r="G272" s="36" t="s">
        <v>138</v>
      </c>
      <c r="H272" s="36" t="s">
        <v>792</v>
      </c>
      <c r="I272" s="36" t="s">
        <v>93</v>
      </c>
      <c r="J272" s="37">
        <v>5785</v>
      </c>
      <c r="K272" s="36" t="s">
        <v>27</v>
      </c>
      <c r="L272" s="36" t="s">
        <v>41</v>
      </c>
      <c r="M272" s="38">
        <v>1.7</v>
      </c>
      <c r="N272" s="38">
        <v>6.4</v>
      </c>
      <c r="O272" s="39">
        <f t="shared" si="17"/>
        <v>0.265625</v>
      </c>
      <c r="P272" s="40">
        <v>0</v>
      </c>
      <c r="Q272" s="36" t="str">
        <f t="shared" si="18"/>
        <v>Free</v>
      </c>
      <c r="R272" s="38">
        <v>6</v>
      </c>
      <c r="S272" s="36"/>
      <c r="T272" s="36">
        <v>7</v>
      </c>
      <c r="U272" s="38">
        <v>3.7</v>
      </c>
      <c r="V272" s="41">
        <f t="shared" si="19"/>
        <v>0.31092436974789917</v>
      </c>
      <c r="W272" s="36" t="s">
        <v>86</v>
      </c>
      <c r="X272" s="36"/>
      <c r="Y272" s="36" t="s">
        <v>793</v>
      </c>
    </row>
    <row r="273" spans="1:25" x14ac:dyDescent="0.3">
      <c r="A273" s="36" t="s">
        <v>794</v>
      </c>
      <c r="B273" s="36">
        <v>35</v>
      </c>
      <c r="C273" s="36" t="str">
        <f t="shared" si="16"/>
        <v>35-44</v>
      </c>
      <c r="D273" s="36" t="s">
        <v>144</v>
      </c>
      <c r="E273" s="36" t="s">
        <v>65</v>
      </c>
      <c r="F273" s="36" t="s">
        <v>47</v>
      </c>
      <c r="G273" s="36" t="s">
        <v>134</v>
      </c>
      <c r="H273" s="36" t="s">
        <v>795</v>
      </c>
      <c r="I273" s="36" t="s">
        <v>94</v>
      </c>
      <c r="J273" s="37">
        <v>3114</v>
      </c>
      <c r="K273" s="36" t="s">
        <v>28</v>
      </c>
      <c r="L273" s="36" t="s">
        <v>39</v>
      </c>
      <c r="M273" s="38">
        <v>5.7</v>
      </c>
      <c r="N273" s="38">
        <v>9</v>
      </c>
      <c r="O273" s="39">
        <f t="shared" si="17"/>
        <v>0.6333333333333333</v>
      </c>
      <c r="P273" s="40">
        <v>0</v>
      </c>
      <c r="Q273" s="36" t="str">
        <f t="shared" si="18"/>
        <v>Free</v>
      </c>
      <c r="R273" s="38">
        <v>5.9</v>
      </c>
      <c r="S273" s="36">
        <v>3</v>
      </c>
      <c r="T273" s="36">
        <v>7</v>
      </c>
      <c r="U273" s="38">
        <v>13.4</v>
      </c>
      <c r="V273" s="41">
        <f t="shared" si="19"/>
        <v>0.33583959899749377</v>
      </c>
      <c r="W273" s="36" t="s">
        <v>86</v>
      </c>
      <c r="X273" s="36"/>
      <c r="Y273" s="36" t="s">
        <v>796</v>
      </c>
    </row>
    <row r="274" spans="1:25" x14ac:dyDescent="0.3">
      <c r="A274" s="36" t="s">
        <v>797</v>
      </c>
      <c r="B274" s="36">
        <v>27</v>
      </c>
      <c r="C274" s="36" t="str">
        <f t="shared" si="16"/>
        <v>25-34</v>
      </c>
      <c r="D274" s="36" t="s">
        <v>144</v>
      </c>
      <c r="E274" s="36" t="s">
        <v>65</v>
      </c>
      <c r="F274" s="36" t="s">
        <v>47</v>
      </c>
      <c r="G274" s="36" t="s">
        <v>134</v>
      </c>
      <c r="H274" s="36" t="s">
        <v>651</v>
      </c>
      <c r="I274" s="36" t="s">
        <v>91</v>
      </c>
      <c r="J274" s="37">
        <v>4186</v>
      </c>
      <c r="K274" s="36" t="s">
        <v>24</v>
      </c>
      <c r="L274" s="36" t="s">
        <v>37</v>
      </c>
      <c r="M274" s="38">
        <v>0.8</v>
      </c>
      <c r="N274" s="38">
        <v>9</v>
      </c>
      <c r="O274" s="39">
        <f t="shared" si="17"/>
        <v>8.8888888888888892E-2</v>
      </c>
      <c r="P274" s="40">
        <v>0</v>
      </c>
      <c r="Q274" s="36" t="str">
        <f t="shared" si="18"/>
        <v>Free</v>
      </c>
      <c r="R274" s="38">
        <v>3.9</v>
      </c>
      <c r="S274" s="36">
        <v>4</v>
      </c>
      <c r="T274" s="36">
        <v>6</v>
      </c>
      <c r="U274" s="38">
        <v>4.3</v>
      </c>
      <c r="V274" s="41">
        <f t="shared" si="19"/>
        <v>0.76785714285714279</v>
      </c>
      <c r="W274" s="36" t="s">
        <v>87</v>
      </c>
      <c r="X274" s="36"/>
      <c r="Y274" s="36" t="s">
        <v>798</v>
      </c>
    </row>
    <row r="275" spans="1:25" x14ac:dyDescent="0.3">
      <c r="A275" s="36" t="s">
        <v>799</v>
      </c>
      <c r="B275" s="36">
        <v>20</v>
      </c>
      <c r="C275" s="36" t="str">
        <f t="shared" si="16"/>
        <v>18-24</v>
      </c>
      <c r="D275" s="36" t="s">
        <v>144</v>
      </c>
      <c r="E275" s="36" t="s">
        <v>61</v>
      </c>
      <c r="F275" s="36" t="s">
        <v>46</v>
      </c>
      <c r="G275" s="36" t="s">
        <v>138</v>
      </c>
      <c r="H275" s="36" t="s">
        <v>188</v>
      </c>
      <c r="I275" s="36" t="s">
        <v>91</v>
      </c>
      <c r="J275" s="37">
        <v>0</v>
      </c>
      <c r="K275" s="36" t="s">
        <v>24</v>
      </c>
      <c r="L275" s="36" t="s">
        <v>37</v>
      </c>
      <c r="M275" s="38">
        <v>1.6</v>
      </c>
      <c r="N275" s="38">
        <v>8.4</v>
      </c>
      <c r="O275" s="39">
        <f t="shared" si="17"/>
        <v>0.19047619047619047</v>
      </c>
      <c r="P275" s="40">
        <v>0</v>
      </c>
      <c r="Q275" s="36" t="str">
        <f t="shared" si="18"/>
        <v>Free</v>
      </c>
      <c r="R275" s="38">
        <v>5.2</v>
      </c>
      <c r="S275" s="36">
        <v>2</v>
      </c>
      <c r="T275" s="36">
        <v>5</v>
      </c>
      <c r="U275" s="38">
        <v>5.3</v>
      </c>
      <c r="V275" s="41">
        <f t="shared" si="19"/>
        <v>0.47321428571428564</v>
      </c>
      <c r="W275" s="36" t="s">
        <v>86</v>
      </c>
      <c r="X275" s="36"/>
      <c r="Y275" s="36" t="s">
        <v>800</v>
      </c>
    </row>
    <row r="276" spans="1:25" x14ac:dyDescent="0.3">
      <c r="A276" s="36" t="s">
        <v>801</v>
      </c>
      <c r="B276" s="36">
        <v>49</v>
      </c>
      <c r="C276" s="36" t="str">
        <f t="shared" si="16"/>
        <v>45+</v>
      </c>
      <c r="D276" s="36" t="s">
        <v>144</v>
      </c>
      <c r="E276" s="36" t="s">
        <v>69</v>
      </c>
      <c r="F276" s="36" t="s">
        <v>47</v>
      </c>
      <c r="G276" s="36" t="s">
        <v>138</v>
      </c>
      <c r="H276" s="36" t="s">
        <v>249</v>
      </c>
      <c r="I276" s="36" t="s">
        <v>91</v>
      </c>
      <c r="J276" s="37">
        <v>243</v>
      </c>
      <c r="K276" s="36" t="s">
        <v>24</v>
      </c>
      <c r="L276" s="36" t="s">
        <v>37</v>
      </c>
      <c r="M276" s="38">
        <v>3.2</v>
      </c>
      <c r="N276" s="38">
        <v>7.2</v>
      </c>
      <c r="O276" s="39">
        <f t="shared" si="17"/>
        <v>0.44444444444444448</v>
      </c>
      <c r="P276" s="40">
        <v>0</v>
      </c>
      <c r="Q276" s="36" t="str">
        <f t="shared" si="18"/>
        <v>Free</v>
      </c>
      <c r="R276" s="38"/>
      <c r="S276" s="36">
        <v>3</v>
      </c>
      <c r="T276" s="36">
        <v>6</v>
      </c>
      <c r="U276" s="38">
        <v>10</v>
      </c>
      <c r="V276" s="41">
        <f t="shared" si="19"/>
        <v>0.4464285714285714</v>
      </c>
      <c r="W276" s="36" t="s">
        <v>87</v>
      </c>
      <c r="X276" s="36"/>
      <c r="Y276" s="36" t="s">
        <v>802</v>
      </c>
    </row>
    <row r="277" spans="1:25" x14ac:dyDescent="0.3">
      <c r="A277" s="36" t="s">
        <v>803</v>
      </c>
      <c r="B277" s="36">
        <v>18</v>
      </c>
      <c r="C277" s="36" t="str">
        <f t="shared" si="16"/>
        <v>18-24</v>
      </c>
      <c r="D277" s="36" t="s">
        <v>144</v>
      </c>
      <c r="E277" s="36" t="s">
        <v>62</v>
      </c>
      <c r="F277" s="36" t="s">
        <v>46</v>
      </c>
      <c r="G277" s="36" t="s">
        <v>138</v>
      </c>
      <c r="H277" s="36" t="s">
        <v>149</v>
      </c>
      <c r="I277" s="36" t="s">
        <v>94</v>
      </c>
      <c r="J277" s="37">
        <v>540</v>
      </c>
      <c r="K277" s="36" t="s">
        <v>24</v>
      </c>
      <c r="L277" s="36" t="s">
        <v>38</v>
      </c>
      <c r="M277" s="38">
        <v>4.3</v>
      </c>
      <c r="N277" s="38">
        <v>5.2</v>
      </c>
      <c r="O277" s="39">
        <f t="shared" si="17"/>
        <v>0.82692307692307687</v>
      </c>
      <c r="P277" s="40">
        <v>20</v>
      </c>
      <c r="Q277" s="36" t="str">
        <f t="shared" si="18"/>
        <v>Paid</v>
      </c>
      <c r="R277" s="38">
        <v>5.8</v>
      </c>
      <c r="S277" s="36">
        <v>2</v>
      </c>
      <c r="T277" s="36">
        <v>6</v>
      </c>
      <c r="U277" s="38">
        <v>8.1</v>
      </c>
      <c r="V277" s="41">
        <f t="shared" si="19"/>
        <v>0.26910299003322258</v>
      </c>
      <c r="W277" s="36" t="s">
        <v>88</v>
      </c>
      <c r="X277" s="36"/>
      <c r="Y277" s="36" t="s">
        <v>804</v>
      </c>
    </row>
    <row r="278" spans="1:25" x14ac:dyDescent="0.3">
      <c r="A278" s="36" t="s">
        <v>805</v>
      </c>
      <c r="B278" s="36">
        <v>32</v>
      </c>
      <c r="C278" s="36" t="str">
        <f t="shared" si="16"/>
        <v>25-34</v>
      </c>
      <c r="D278" s="36" t="s">
        <v>144</v>
      </c>
      <c r="E278" s="36" t="s">
        <v>66</v>
      </c>
      <c r="F278" s="36" t="s">
        <v>46</v>
      </c>
      <c r="G278" s="36" t="s">
        <v>159</v>
      </c>
      <c r="H278" s="36" t="s">
        <v>188</v>
      </c>
      <c r="I278" s="36" t="s">
        <v>91</v>
      </c>
      <c r="J278" s="37">
        <v>152</v>
      </c>
      <c r="K278" s="36" t="s">
        <v>26</v>
      </c>
      <c r="L278" s="36" t="s">
        <v>37</v>
      </c>
      <c r="M278" s="38">
        <v>0.5</v>
      </c>
      <c r="N278" s="38">
        <v>5.9</v>
      </c>
      <c r="O278" s="39">
        <f t="shared" si="17"/>
        <v>8.4745762711864403E-2</v>
      </c>
      <c r="P278" s="40">
        <v>10</v>
      </c>
      <c r="Q278" s="36" t="str">
        <f t="shared" si="18"/>
        <v>Paid</v>
      </c>
      <c r="R278" s="38">
        <v>2.2999999999999998</v>
      </c>
      <c r="S278" s="36">
        <v>5</v>
      </c>
      <c r="T278" s="36">
        <v>7</v>
      </c>
      <c r="U278" s="38">
        <v>3.1</v>
      </c>
      <c r="V278" s="41">
        <f t="shared" si="19"/>
        <v>0.88571428571428579</v>
      </c>
      <c r="W278" s="36" t="s">
        <v>86</v>
      </c>
      <c r="X278" s="36"/>
      <c r="Y278" s="36" t="s">
        <v>806</v>
      </c>
    </row>
    <row r="279" spans="1:25" x14ac:dyDescent="0.3">
      <c r="A279" s="36" t="s">
        <v>807</v>
      </c>
      <c r="B279" s="36">
        <v>38</v>
      </c>
      <c r="C279" s="36" t="str">
        <f t="shared" si="16"/>
        <v>35-44</v>
      </c>
      <c r="D279" s="36" t="s">
        <v>133</v>
      </c>
      <c r="E279" s="36" t="s">
        <v>67</v>
      </c>
      <c r="F279" s="36" t="s">
        <v>47</v>
      </c>
      <c r="G279" s="36" t="s">
        <v>245</v>
      </c>
      <c r="H279" s="36" t="s">
        <v>808</v>
      </c>
      <c r="I279" s="36" t="s">
        <v>91</v>
      </c>
      <c r="J279" s="37">
        <v>1148</v>
      </c>
      <c r="K279" s="36" t="s">
        <v>29</v>
      </c>
      <c r="L279" s="36" t="s">
        <v>37</v>
      </c>
      <c r="M279" s="38">
        <v>4.3</v>
      </c>
      <c r="N279" s="38">
        <v>5.9</v>
      </c>
      <c r="O279" s="39">
        <f t="shared" si="17"/>
        <v>0.72881355932203384</v>
      </c>
      <c r="P279" s="40">
        <v>50</v>
      </c>
      <c r="Q279" s="36" t="str">
        <f t="shared" si="18"/>
        <v>Paid</v>
      </c>
      <c r="R279" s="38">
        <v>7.2</v>
      </c>
      <c r="S279" s="36">
        <v>5</v>
      </c>
      <c r="T279" s="36">
        <v>7</v>
      </c>
      <c r="U279" s="38">
        <v>4.8</v>
      </c>
      <c r="V279" s="41">
        <f t="shared" si="19"/>
        <v>0.159468438538206</v>
      </c>
      <c r="W279" s="36" t="s">
        <v>86</v>
      </c>
      <c r="X279" s="36"/>
      <c r="Y279" s="36" t="s">
        <v>809</v>
      </c>
    </row>
    <row r="280" spans="1:25" x14ac:dyDescent="0.3">
      <c r="A280" s="36" t="s">
        <v>810</v>
      </c>
      <c r="B280" s="36">
        <v>22</v>
      </c>
      <c r="C280" s="36" t="str">
        <f t="shared" si="16"/>
        <v>18-24</v>
      </c>
      <c r="D280" s="36" t="s">
        <v>277</v>
      </c>
      <c r="E280" s="36" t="s">
        <v>61</v>
      </c>
      <c r="F280" s="36" t="s">
        <v>46</v>
      </c>
      <c r="G280" s="36" t="s">
        <v>148</v>
      </c>
      <c r="H280" s="36" t="s">
        <v>171</v>
      </c>
      <c r="I280" s="36" t="s">
        <v>95</v>
      </c>
      <c r="J280" s="37">
        <v>0</v>
      </c>
      <c r="K280" s="36" t="s">
        <v>30</v>
      </c>
      <c r="L280" s="36" t="s">
        <v>38</v>
      </c>
      <c r="M280" s="38">
        <v>2.4</v>
      </c>
      <c r="N280" s="38">
        <v>6.2</v>
      </c>
      <c r="O280" s="39">
        <f t="shared" si="17"/>
        <v>0.38709677419354838</v>
      </c>
      <c r="P280" s="40">
        <v>20</v>
      </c>
      <c r="Q280" s="36" t="str">
        <f t="shared" si="18"/>
        <v>Paid</v>
      </c>
      <c r="R280" s="38">
        <v>3.4</v>
      </c>
      <c r="S280" s="36">
        <v>4</v>
      </c>
      <c r="T280" s="36">
        <v>6</v>
      </c>
      <c r="U280" s="38">
        <v>4.8</v>
      </c>
      <c r="V280" s="41">
        <f t="shared" si="19"/>
        <v>0.2857142857142857</v>
      </c>
      <c r="W280" s="36" t="s">
        <v>88</v>
      </c>
      <c r="X280" s="36"/>
      <c r="Y280" s="36" t="s">
        <v>811</v>
      </c>
    </row>
    <row r="281" spans="1:25" x14ac:dyDescent="0.3">
      <c r="A281" s="36" t="s">
        <v>812</v>
      </c>
      <c r="B281" s="36">
        <v>39</v>
      </c>
      <c r="C281" s="36" t="str">
        <f t="shared" si="16"/>
        <v>35-44</v>
      </c>
      <c r="D281" s="36" t="s">
        <v>133</v>
      </c>
      <c r="E281" s="36" t="s">
        <v>66</v>
      </c>
      <c r="F281" s="36" t="s">
        <v>47</v>
      </c>
      <c r="G281" s="36" t="s">
        <v>194</v>
      </c>
      <c r="H281" s="36" t="s">
        <v>813</v>
      </c>
      <c r="I281" s="36" t="s">
        <v>93</v>
      </c>
      <c r="J281" s="37">
        <v>894</v>
      </c>
      <c r="K281" s="36" t="s">
        <v>24</v>
      </c>
      <c r="L281" s="36" t="s">
        <v>41</v>
      </c>
      <c r="M281" s="38">
        <v>2.8</v>
      </c>
      <c r="N281" s="38">
        <v>9.1999999999999993</v>
      </c>
      <c r="O281" s="39">
        <f t="shared" si="17"/>
        <v>0.30434782608695654</v>
      </c>
      <c r="P281" s="40">
        <v>20</v>
      </c>
      <c r="Q281" s="36" t="str">
        <f t="shared" si="18"/>
        <v>Paid</v>
      </c>
      <c r="R281" s="38">
        <v>7.9</v>
      </c>
      <c r="S281" s="36">
        <v>4</v>
      </c>
      <c r="T281" s="36">
        <v>9</v>
      </c>
      <c r="U281" s="38">
        <v>3.9</v>
      </c>
      <c r="V281" s="41">
        <f t="shared" si="19"/>
        <v>0.19897959183673472</v>
      </c>
      <c r="W281" s="36" t="s">
        <v>86</v>
      </c>
      <c r="X281" s="36"/>
      <c r="Y281" s="36"/>
    </row>
    <row r="282" spans="1:25" x14ac:dyDescent="0.3">
      <c r="A282" s="36" t="s">
        <v>814</v>
      </c>
      <c r="B282" s="36">
        <v>27</v>
      </c>
      <c r="C282" s="36" t="str">
        <f t="shared" si="16"/>
        <v>25-34</v>
      </c>
      <c r="D282" s="36" t="s">
        <v>277</v>
      </c>
      <c r="E282" s="36" t="s">
        <v>63</v>
      </c>
      <c r="F282" s="36" t="s">
        <v>46</v>
      </c>
      <c r="G282" s="36" t="s">
        <v>148</v>
      </c>
      <c r="H282" s="36" t="s">
        <v>163</v>
      </c>
      <c r="I282" s="36" t="s">
        <v>91</v>
      </c>
      <c r="J282" s="37">
        <v>675</v>
      </c>
      <c r="K282" s="36" t="s">
        <v>27</v>
      </c>
      <c r="L282" s="36" t="s">
        <v>40</v>
      </c>
      <c r="M282" s="38">
        <v>1.2</v>
      </c>
      <c r="N282" s="38">
        <v>7.6</v>
      </c>
      <c r="O282" s="39">
        <f t="shared" si="17"/>
        <v>0.15789473684210525</v>
      </c>
      <c r="P282" s="40">
        <v>20</v>
      </c>
      <c r="Q282" s="36" t="str">
        <f t="shared" si="18"/>
        <v>Paid</v>
      </c>
      <c r="R282" s="38">
        <v>4.0999999999999996</v>
      </c>
      <c r="S282" s="36">
        <v>3</v>
      </c>
      <c r="T282" s="36">
        <v>6</v>
      </c>
      <c r="U282" s="38">
        <v>1.1000000000000001</v>
      </c>
      <c r="V282" s="41">
        <f t="shared" si="19"/>
        <v>0.13095238095238096</v>
      </c>
      <c r="W282" s="36" t="s">
        <v>86</v>
      </c>
      <c r="X282" s="36"/>
      <c r="Y282" s="36" t="s">
        <v>815</v>
      </c>
    </row>
    <row r="283" spans="1:25" x14ac:dyDescent="0.3">
      <c r="A283" s="36" t="s">
        <v>816</v>
      </c>
      <c r="B283" s="36">
        <v>31</v>
      </c>
      <c r="C283" s="36" t="str">
        <f t="shared" si="16"/>
        <v>25-34</v>
      </c>
      <c r="D283" s="36" t="s">
        <v>133</v>
      </c>
      <c r="E283" s="36" t="s">
        <v>68</v>
      </c>
      <c r="F283" s="36" t="s">
        <v>46</v>
      </c>
      <c r="G283" s="36" t="s">
        <v>148</v>
      </c>
      <c r="H283" s="36"/>
      <c r="I283" s="36"/>
      <c r="J283" s="37">
        <v>204</v>
      </c>
      <c r="K283" s="36" t="s">
        <v>30</v>
      </c>
      <c r="L283" s="36" t="s">
        <v>37</v>
      </c>
      <c r="M283" s="38">
        <v>0.6</v>
      </c>
      <c r="N283" s="38">
        <v>5.6</v>
      </c>
      <c r="O283" s="39">
        <f t="shared" si="17"/>
        <v>0.10714285714285715</v>
      </c>
      <c r="P283" s="40">
        <v>0</v>
      </c>
      <c r="Q283" s="36" t="str">
        <f t="shared" si="18"/>
        <v>Free</v>
      </c>
      <c r="R283" s="38">
        <v>3.3</v>
      </c>
      <c r="S283" s="36">
        <v>2</v>
      </c>
      <c r="T283" s="36">
        <v>4</v>
      </c>
      <c r="U283" s="38">
        <v>3.6</v>
      </c>
      <c r="V283" s="41">
        <f t="shared" si="19"/>
        <v>0.8571428571428571</v>
      </c>
      <c r="W283" s="36" t="s">
        <v>88</v>
      </c>
      <c r="X283" s="36"/>
      <c r="Y283" s="36" t="s">
        <v>817</v>
      </c>
    </row>
    <row r="284" spans="1:25" x14ac:dyDescent="0.3">
      <c r="A284" s="36" t="s">
        <v>818</v>
      </c>
      <c r="B284" s="36">
        <v>32</v>
      </c>
      <c r="C284" s="36" t="str">
        <f t="shared" si="16"/>
        <v>25-34</v>
      </c>
      <c r="D284" s="36" t="s">
        <v>133</v>
      </c>
      <c r="E284" s="36" t="s">
        <v>63</v>
      </c>
      <c r="F284" s="36" t="s">
        <v>46</v>
      </c>
      <c r="G284" s="36" t="s">
        <v>159</v>
      </c>
      <c r="H284" s="36" t="s">
        <v>142</v>
      </c>
      <c r="I284" s="36" t="s">
        <v>92</v>
      </c>
      <c r="J284" s="37">
        <v>0</v>
      </c>
      <c r="K284" s="36" t="s">
        <v>27</v>
      </c>
      <c r="L284" s="36" t="s">
        <v>36</v>
      </c>
      <c r="M284" s="38">
        <v>3.9</v>
      </c>
      <c r="N284" s="38">
        <v>4.8</v>
      </c>
      <c r="O284" s="39">
        <f t="shared" si="17"/>
        <v>0.8125</v>
      </c>
      <c r="P284" s="40">
        <v>0</v>
      </c>
      <c r="Q284" s="36" t="str">
        <f t="shared" si="18"/>
        <v>Free</v>
      </c>
      <c r="R284" s="38">
        <v>5.7</v>
      </c>
      <c r="S284" s="36">
        <v>3</v>
      </c>
      <c r="T284" s="36">
        <v>6</v>
      </c>
      <c r="U284" s="38">
        <v>7.3</v>
      </c>
      <c r="V284" s="41">
        <f t="shared" si="19"/>
        <v>0.26739926739926739</v>
      </c>
      <c r="W284" s="36" t="s">
        <v>87</v>
      </c>
      <c r="X284" s="36"/>
      <c r="Y284" s="36" t="s">
        <v>819</v>
      </c>
    </row>
    <row r="285" spans="1:25" x14ac:dyDescent="0.3">
      <c r="A285" s="36" t="s">
        <v>820</v>
      </c>
      <c r="B285" s="36"/>
      <c r="C285" s="36" t="str">
        <f t="shared" si="16"/>
        <v/>
      </c>
      <c r="D285" s="36" t="s">
        <v>144</v>
      </c>
      <c r="E285" s="36" t="s">
        <v>62</v>
      </c>
      <c r="F285" s="36" t="s">
        <v>47</v>
      </c>
      <c r="G285" s="36" t="s">
        <v>138</v>
      </c>
      <c r="H285" s="36"/>
      <c r="I285" s="36"/>
      <c r="J285" s="37">
        <v>8255</v>
      </c>
      <c r="K285" s="36" t="s">
        <v>26</v>
      </c>
      <c r="L285" s="36"/>
      <c r="M285" s="38">
        <v>1.8</v>
      </c>
      <c r="N285" s="38">
        <v>12.2</v>
      </c>
      <c r="O285" s="39">
        <f t="shared" si="17"/>
        <v>0.1475409836065574</v>
      </c>
      <c r="P285" s="40">
        <v>0</v>
      </c>
      <c r="Q285" s="36" t="str">
        <f t="shared" si="18"/>
        <v>Free</v>
      </c>
      <c r="R285" s="38">
        <v>1.8</v>
      </c>
      <c r="S285" s="36">
        <v>3</v>
      </c>
      <c r="T285" s="36">
        <v>4</v>
      </c>
      <c r="U285" s="38"/>
      <c r="V285" s="41" t="str">
        <f t="shared" si="19"/>
        <v/>
      </c>
      <c r="W285" s="36" t="s">
        <v>88</v>
      </c>
      <c r="X285" s="36"/>
      <c r="Y285" s="36" t="s">
        <v>821</v>
      </c>
    </row>
    <row r="286" spans="1:25" x14ac:dyDescent="0.3">
      <c r="A286" s="36" t="s">
        <v>822</v>
      </c>
      <c r="B286" s="36">
        <v>43</v>
      </c>
      <c r="C286" s="36" t="str">
        <f t="shared" si="16"/>
        <v>35-44</v>
      </c>
      <c r="D286" s="36" t="s">
        <v>133</v>
      </c>
      <c r="E286" s="36" t="s">
        <v>69</v>
      </c>
      <c r="F286" s="36" t="s">
        <v>47</v>
      </c>
      <c r="G286" s="36" t="s">
        <v>194</v>
      </c>
      <c r="H286" s="36" t="s">
        <v>823</v>
      </c>
      <c r="I286" s="36" t="s">
        <v>91</v>
      </c>
      <c r="J286" s="37"/>
      <c r="K286" s="36" t="s">
        <v>24</v>
      </c>
      <c r="L286" s="36" t="s">
        <v>40</v>
      </c>
      <c r="M286" s="38">
        <v>1.2</v>
      </c>
      <c r="N286" s="38">
        <v>10.9</v>
      </c>
      <c r="O286" s="39">
        <f t="shared" si="17"/>
        <v>0.11009174311926605</v>
      </c>
      <c r="P286" s="40">
        <v>0</v>
      </c>
      <c r="Q286" s="36" t="str">
        <f t="shared" si="18"/>
        <v>Free</v>
      </c>
      <c r="R286" s="38">
        <v>4.7</v>
      </c>
      <c r="S286" s="36">
        <v>3</v>
      </c>
      <c r="T286" s="36"/>
      <c r="U286" s="38">
        <v>1</v>
      </c>
      <c r="V286" s="41">
        <f t="shared" si="19"/>
        <v>0.11904761904761904</v>
      </c>
      <c r="W286" s="36" t="s">
        <v>88</v>
      </c>
      <c r="X286" s="36"/>
      <c r="Y286" s="36" t="s">
        <v>824</v>
      </c>
    </row>
    <row r="287" spans="1:25" x14ac:dyDescent="0.3">
      <c r="A287" s="36" t="s">
        <v>825</v>
      </c>
      <c r="B287" s="36">
        <v>48</v>
      </c>
      <c r="C287" s="36" t="str">
        <f t="shared" si="16"/>
        <v>45+</v>
      </c>
      <c r="D287" s="36" t="s">
        <v>133</v>
      </c>
      <c r="E287" s="36" t="s">
        <v>66</v>
      </c>
      <c r="F287" s="36" t="s">
        <v>47</v>
      </c>
      <c r="G287" s="36" t="s">
        <v>194</v>
      </c>
      <c r="H287" s="36" t="s">
        <v>826</v>
      </c>
      <c r="I287" s="36" t="s">
        <v>92</v>
      </c>
      <c r="J287" s="37">
        <v>544</v>
      </c>
      <c r="K287" s="36" t="s">
        <v>25</v>
      </c>
      <c r="L287" s="36" t="s">
        <v>36</v>
      </c>
      <c r="M287" s="38">
        <v>5.5</v>
      </c>
      <c r="N287" s="38">
        <v>8.4</v>
      </c>
      <c r="O287" s="39">
        <f t="shared" si="17"/>
        <v>0.65476190476190477</v>
      </c>
      <c r="P287" s="40">
        <v>0</v>
      </c>
      <c r="Q287" s="36" t="str">
        <f t="shared" si="18"/>
        <v>Free</v>
      </c>
      <c r="R287" s="38">
        <v>7.8</v>
      </c>
      <c r="S287" s="36">
        <v>4</v>
      </c>
      <c r="T287" s="36">
        <v>7</v>
      </c>
      <c r="U287" s="38">
        <v>11.5</v>
      </c>
      <c r="V287" s="41">
        <f t="shared" si="19"/>
        <v>0.29870129870129869</v>
      </c>
      <c r="W287" s="36" t="s">
        <v>86</v>
      </c>
      <c r="X287" s="36"/>
      <c r="Y287" s="36" t="s">
        <v>827</v>
      </c>
    </row>
    <row r="288" spans="1:25" x14ac:dyDescent="0.3">
      <c r="A288" s="36" t="s">
        <v>828</v>
      </c>
      <c r="B288" s="36">
        <v>31</v>
      </c>
      <c r="C288" s="36" t="str">
        <f t="shared" si="16"/>
        <v>25-34</v>
      </c>
      <c r="D288" s="36" t="s">
        <v>144</v>
      </c>
      <c r="E288" s="36" t="s">
        <v>64</v>
      </c>
      <c r="F288" s="36" t="s">
        <v>47</v>
      </c>
      <c r="G288" s="36" t="s">
        <v>194</v>
      </c>
      <c r="H288" s="36" t="s">
        <v>381</v>
      </c>
      <c r="I288" s="36" t="s">
        <v>92</v>
      </c>
      <c r="J288" s="37">
        <v>448</v>
      </c>
      <c r="K288" s="36" t="s">
        <v>24</v>
      </c>
      <c r="L288" s="36" t="s">
        <v>36</v>
      </c>
      <c r="M288" s="38">
        <v>0.7</v>
      </c>
      <c r="N288" s="38">
        <v>9.5</v>
      </c>
      <c r="O288" s="39">
        <f t="shared" si="17"/>
        <v>7.3684210526315783E-2</v>
      </c>
      <c r="P288" s="40">
        <v>0</v>
      </c>
      <c r="Q288" s="36" t="str">
        <f t="shared" si="18"/>
        <v>Free</v>
      </c>
      <c r="R288" s="38">
        <v>4.3</v>
      </c>
      <c r="S288" s="36">
        <v>3</v>
      </c>
      <c r="T288" s="36">
        <v>4</v>
      </c>
      <c r="U288" s="38">
        <v>1.7</v>
      </c>
      <c r="V288" s="41">
        <f t="shared" si="19"/>
        <v>0.34693877551020413</v>
      </c>
      <c r="W288" s="36" t="s">
        <v>88</v>
      </c>
      <c r="X288" s="36"/>
      <c r="Y288" s="36" t="s">
        <v>829</v>
      </c>
    </row>
    <row r="289" spans="1:25" x14ac:dyDescent="0.3">
      <c r="A289" s="36" t="s">
        <v>830</v>
      </c>
      <c r="B289" s="36">
        <v>36</v>
      </c>
      <c r="C289" s="36" t="str">
        <f t="shared" si="16"/>
        <v>35-44</v>
      </c>
      <c r="D289" s="36" t="s">
        <v>133</v>
      </c>
      <c r="E289" s="36" t="s">
        <v>62</v>
      </c>
      <c r="F289" s="36" t="s">
        <v>47</v>
      </c>
      <c r="G289" s="36" t="s">
        <v>194</v>
      </c>
      <c r="H289" s="36" t="s">
        <v>174</v>
      </c>
      <c r="I289" s="36" t="s">
        <v>92</v>
      </c>
      <c r="J289" s="37">
        <v>6766</v>
      </c>
      <c r="K289" s="36" t="s">
        <v>24</v>
      </c>
      <c r="L289" s="36" t="s">
        <v>36</v>
      </c>
      <c r="M289" s="38">
        <v>2.8</v>
      </c>
      <c r="N289" s="38">
        <v>8.1999999999999993</v>
      </c>
      <c r="O289" s="39">
        <f t="shared" si="17"/>
        <v>0.34146341463414637</v>
      </c>
      <c r="P289" s="40">
        <v>0</v>
      </c>
      <c r="Q289" s="36" t="str">
        <f t="shared" si="18"/>
        <v>Free</v>
      </c>
      <c r="R289" s="38">
        <v>5.4</v>
      </c>
      <c r="S289" s="36">
        <v>4</v>
      </c>
      <c r="T289" s="36">
        <v>7</v>
      </c>
      <c r="U289" s="38">
        <v>6.2</v>
      </c>
      <c r="V289" s="41">
        <f t="shared" si="19"/>
        <v>0.31632653061224492</v>
      </c>
      <c r="W289" s="36" t="s">
        <v>86</v>
      </c>
      <c r="X289" s="36"/>
      <c r="Y289" s="36" t="s">
        <v>831</v>
      </c>
    </row>
  </sheetData>
  <conditionalFormatting sqref="T2:T289">
    <cfRule type="colorScale" priority="2">
      <colorScale>
        <cfvo type="num" val="3"/>
        <cfvo type="num" val="6"/>
        <cfvo type="num" val="10"/>
        <color rgb="FFFDE2E2"/>
        <color rgb="FFFFFFFF"/>
        <color rgb="FFC7F0E8"/>
      </colorScale>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C3AED"/>
  </sheetPr>
  <dimension ref="A1:C65"/>
  <sheetViews>
    <sheetView showGridLines="0" zoomScaleNormal="100" workbookViewId="0"/>
  </sheetViews>
  <sheetFormatPr defaultColWidth="8.6640625" defaultRowHeight="14.4" x14ac:dyDescent="0.3"/>
  <cols>
    <col min="1" max="1" width="44" customWidth="1"/>
    <col min="2" max="2" width="92" customWidth="1"/>
    <col min="3" max="3" width="20" customWidth="1"/>
  </cols>
  <sheetData>
    <row r="1" spans="1:3" ht="22.8" x14ac:dyDescent="0.4">
      <c r="A1" s="20" t="s">
        <v>832</v>
      </c>
    </row>
    <row r="2" spans="1:3" x14ac:dyDescent="0.3">
      <c r="A2" s="21" t="s">
        <v>833</v>
      </c>
    </row>
    <row r="4" spans="1:3" x14ac:dyDescent="0.3">
      <c r="A4" s="42" t="s">
        <v>834</v>
      </c>
      <c r="B4" s="43">
        <f>COUNTA(Raw_Data!A:A)-1</f>
        <v>300</v>
      </c>
    </row>
    <row r="5" spans="1:3" x14ac:dyDescent="0.3">
      <c r="A5" s="42" t="s">
        <v>835</v>
      </c>
      <c r="B5" s="43">
        <f>COUNTA(Clean_Data!A:A)-1</f>
        <v>288</v>
      </c>
    </row>
    <row r="6" spans="1:3" x14ac:dyDescent="0.3">
      <c r="A6" s="42" t="s">
        <v>836</v>
      </c>
      <c r="B6" s="43">
        <v>19</v>
      </c>
    </row>
    <row r="7" spans="1:3" x14ac:dyDescent="0.3">
      <c r="A7" s="42" t="s">
        <v>837</v>
      </c>
      <c r="B7" s="43">
        <v>25</v>
      </c>
    </row>
    <row r="9" spans="1:3" x14ac:dyDescent="0.3">
      <c r="A9" s="44" t="s">
        <v>838</v>
      </c>
      <c r="B9" s="44" t="s">
        <v>839</v>
      </c>
      <c r="C9" s="44" t="s">
        <v>840</v>
      </c>
    </row>
    <row r="10" spans="1:3" ht="43.5" customHeight="1" x14ac:dyDescent="0.3">
      <c r="A10" s="45" t="s">
        <v>841</v>
      </c>
      <c r="B10" s="46" t="s">
        <v>842</v>
      </c>
      <c r="C10" s="47">
        <v>12</v>
      </c>
    </row>
    <row r="11" spans="1:3" ht="43.5" customHeight="1" x14ac:dyDescent="0.3">
      <c r="A11" s="45" t="s">
        <v>843</v>
      </c>
      <c r="B11" s="46" t="s">
        <v>844</v>
      </c>
      <c r="C11" s="47">
        <v>12</v>
      </c>
    </row>
    <row r="12" spans="1:3" ht="43.5" customHeight="1" x14ac:dyDescent="0.3">
      <c r="A12" s="45" t="s">
        <v>845</v>
      </c>
      <c r="B12" s="46" t="s">
        <v>844</v>
      </c>
      <c r="C12" s="47">
        <v>6</v>
      </c>
    </row>
    <row r="13" spans="1:3" ht="43.5" customHeight="1" x14ac:dyDescent="0.3">
      <c r="A13" s="45" t="s">
        <v>846</v>
      </c>
      <c r="B13" s="46" t="s">
        <v>844</v>
      </c>
      <c r="C13" s="47">
        <v>21</v>
      </c>
    </row>
    <row r="14" spans="1:3" ht="43.5" customHeight="1" x14ac:dyDescent="0.3">
      <c r="A14" s="45" t="s">
        <v>847</v>
      </c>
      <c r="B14" s="46" t="s">
        <v>844</v>
      </c>
      <c r="C14" s="47">
        <v>12</v>
      </c>
    </row>
    <row r="15" spans="1:3" ht="43.5" customHeight="1" x14ac:dyDescent="0.3">
      <c r="A15" s="45" t="s">
        <v>848</v>
      </c>
      <c r="B15" s="46" t="s">
        <v>844</v>
      </c>
      <c r="C15" s="47">
        <v>15</v>
      </c>
    </row>
    <row r="16" spans="1:3" ht="43.5" customHeight="1" x14ac:dyDescent="0.3">
      <c r="A16" s="45" t="s">
        <v>849</v>
      </c>
      <c r="B16" s="46" t="s">
        <v>844</v>
      </c>
      <c r="C16" s="47">
        <v>15</v>
      </c>
    </row>
    <row r="17" spans="1:3" ht="43.5" customHeight="1" x14ac:dyDescent="0.3">
      <c r="A17" s="45" t="s">
        <v>850</v>
      </c>
      <c r="B17" s="46" t="s">
        <v>851</v>
      </c>
      <c r="C17" s="47">
        <v>63</v>
      </c>
    </row>
    <row r="18" spans="1:3" ht="43.5" customHeight="1" x14ac:dyDescent="0.3">
      <c r="A18" s="45" t="s">
        <v>852</v>
      </c>
      <c r="B18" s="46" t="s">
        <v>853</v>
      </c>
      <c r="C18" s="47">
        <v>14</v>
      </c>
    </row>
    <row r="19" spans="1:3" ht="43.5" customHeight="1" x14ac:dyDescent="0.3">
      <c r="A19" s="45" t="s">
        <v>854</v>
      </c>
      <c r="B19" s="46" t="s">
        <v>855</v>
      </c>
      <c r="C19" s="47">
        <v>16</v>
      </c>
    </row>
    <row r="20" spans="1:3" ht="43.5" customHeight="1" x14ac:dyDescent="0.3">
      <c r="A20" s="45" t="s">
        <v>856</v>
      </c>
      <c r="B20" s="46" t="s">
        <v>857</v>
      </c>
      <c r="C20" s="47">
        <v>16</v>
      </c>
    </row>
    <row r="21" spans="1:3" ht="43.5" customHeight="1" x14ac:dyDescent="0.3">
      <c r="A21" s="45" t="s">
        <v>858</v>
      </c>
      <c r="B21" s="46" t="s">
        <v>859</v>
      </c>
      <c r="C21" s="47">
        <v>2</v>
      </c>
    </row>
    <row r="22" spans="1:3" ht="43.5" customHeight="1" x14ac:dyDescent="0.3">
      <c r="A22" s="45" t="s">
        <v>860</v>
      </c>
      <c r="B22" s="46" t="s">
        <v>861</v>
      </c>
      <c r="C22" s="47">
        <v>1</v>
      </c>
    </row>
    <row r="23" spans="1:3" ht="43.5" customHeight="1" x14ac:dyDescent="0.3">
      <c r="A23" s="45" t="s">
        <v>862</v>
      </c>
      <c r="B23" s="46" t="s">
        <v>863</v>
      </c>
      <c r="C23" s="47">
        <v>1</v>
      </c>
    </row>
    <row r="24" spans="1:3" ht="43.5" customHeight="1" x14ac:dyDescent="0.3">
      <c r="A24" s="45" t="s">
        <v>864</v>
      </c>
      <c r="B24" s="46" t="s">
        <v>865</v>
      </c>
      <c r="C24" s="47">
        <v>22</v>
      </c>
    </row>
    <row r="25" spans="1:3" ht="43.5" customHeight="1" x14ac:dyDescent="0.3">
      <c r="A25" s="45" t="s">
        <v>866</v>
      </c>
      <c r="B25" s="46" t="s">
        <v>867</v>
      </c>
      <c r="C25" s="47">
        <v>1</v>
      </c>
    </row>
    <row r="26" spans="1:3" ht="43.5" customHeight="1" x14ac:dyDescent="0.3">
      <c r="A26" s="45" t="s">
        <v>868</v>
      </c>
      <c r="B26" s="46" t="s">
        <v>869</v>
      </c>
      <c r="C26" s="47">
        <v>274</v>
      </c>
    </row>
    <row r="27" spans="1:3" ht="43.5" customHeight="1" x14ac:dyDescent="0.3">
      <c r="A27" s="45" t="s">
        <v>870</v>
      </c>
      <c r="B27" s="46" t="s">
        <v>871</v>
      </c>
      <c r="C27" s="47">
        <v>215</v>
      </c>
    </row>
    <row r="28" spans="1:3" x14ac:dyDescent="0.3">
      <c r="A28" s="32" t="s">
        <v>872</v>
      </c>
    </row>
    <row r="31" spans="1:3" ht="15.6" x14ac:dyDescent="0.3">
      <c r="A31" s="22" t="s">
        <v>873</v>
      </c>
    </row>
    <row r="32" spans="1:3" x14ac:dyDescent="0.3">
      <c r="A32" s="44" t="s">
        <v>874</v>
      </c>
      <c r="B32" s="44" t="s">
        <v>875</v>
      </c>
      <c r="C32" s="44" t="s">
        <v>876</v>
      </c>
    </row>
    <row r="33" spans="1:3" x14ac:dyDescent="0.3">
      <c r="A33" s="48" t="s">
        <v>108</v>
      </c>
      <c r="B33" s="43">
        <f>SUMPRODUCT(--(LEN(Clean_Data!$A$2:$A$289)=0))</f>
        <v>0</v>
      </c>
      <c r="C33" s="49">
        <f>1-B33/COUNTA(Clean_Data!$A$2:$A$289)</f>
        <v>1</v>
      </c>
    </row>
    <row r="34" spans="1:3" x14ac:dyDescent="0.3">
      <c r="A34" s="48" t="s">
        <v>109</v>
      </c>
      <c r="B34" s="43">
        <f>SUMPRODUCT(--(LEN(Clean_Data!$B$2:$B$289)=0))</f>
        <v>25</v>
      </c>
      <c r="C34" s="49">
        <f>1-B34/COUNTA(Clean_Data!$A$2:$A$289)</f>
        <v>0.91319444444444442</v>
      </c>
    </row>
    <row r="35" spans="1:3" x14ac:dyDescent="0.3">
      <c r="A35" s="48" t="s">
        <v>110</v>
      </c>
      <c r="B35" s="43">
        <f>SUMPRODUCT(--(LEN(Clean_Data!$C$2:$C$289)=0))</f>
        <v>25</v>
      </c>
      <c r="C35" s="49">
        <f>1-B35/COUNTA(Clean_Data!$A$2:$A$289)</f>
        <v>0.91319444444444442</v>
      </c>
    </row>
    <row r="36" spans="1:3" x14ac:dyDescent="0.3">
      <c r="A36" s="48" t="s">
        <v>111</v>
      </c>
      <c r="B36" s="43">
        <f>SUMPRODUCT(--(LEN(Clean_Data!$D$2:$D$289)=0))</f>
        <v>10</v>
      </c>
      <c r="C36" s="49">
        <f>1-B36/COUNTA(Clean_Data!$A$2:$A$289)</f>
        <v>0.96527777777777779</v>
      </c>
    </row>
    <row r="37" spans="1:3" x14ac:dyDescent="0.3">
      <c r="A37" s="48" t="s">
        <v>60</v>
      </c>
      <c r="B37" s="43">
        <f>SUMPRODUCT(--(LEN(Clean_Data!$E$2:$E$289)=0))</f>
        <v>10</v>
      </c>
      <c r="C37" s="49">
        <f>1-B37/COUNTA(Clean_Data!$A$2:$A$289)</f>
        <v>0.96527777777777779</v>
      </c>
    </row>
    <row r="38" spans="1:3" x14ac:dyDescent="0.3">
      <c r="A38" s="48" t="s">
        <v>112</v>
      </c>
      <c r="B38" s="43">
        <f>SUMPRODUCT(--(LEN(Clean_Data!$F$2:$F$289)=0))</f>
        <v>0</v>
      </c>
      <c r="C38" s="49">
        <f>1-B38/COUNTA(Clean_Data!$A$2:$A$289)</f>
        <v>1</v>
      </c>
    </row>
    <row r="39" spans="1:3" x14ac:dyDescent="0.3">
      <c r="A39" s="48" t="s">
        <v>113</v>
      </c>
      <c r="B39" s="43">
        <f>SUMPRODUCT(--(LEN(Clean_Data!$G$2:$G$289)=0))</f>
        <v>12</v>
      </c>
      <c r="C39" s="49">
        <f>1-B39/COUNTA(Clean_Data!$A$2:$A$289)</f>
        <v>0.95833333333333337</v>
      </c>
    </row>
    <row r="40" spans="1:3" x14ac:dyDescent="0.3">
      <c r="A40" s="48" t="s">
        <v>114</v>
      </c>
      <c r="B40" s="43">
        <f>SUMPRODUCT(--(LEN(Clean_Data!$H$2:$H$289)=0))</f>
        <v>14</v>
      </c>
      <c r="C40" s="49">
        <f>1-B40/COUNTA(Clean_Data!$A$2:$A$289)</f>
        <v>0.95138888888888884</v>
      </c>
    </row>
    <row r="41" spans="1:3" x14ac:dyDescent="0.3">
      <c r="A41" s="48" t="s">
        <v>115</v>
      </c>
      <c r="B41" s="43">
        <f>SUMPRODUCT(--(LEN(Clean_Data!$I$2:$I$289)=0))</f>
        <v>14</v>
      </c>
      <c r="C41" s="49">
        <f>1-B41/COUNTA(Clean_Data!$A$2:$A$289)</f>
        <v>0.95138888888888884</v>
      </c>
    </row>
    <row r="42" spans="1:3" x14ac:dyDescent="0.3">
      <c r="A42" s="48" t="s">
        <v>116</v>
      </c>
      <c r="B42" s="43">
        <f>SUMPRODUCT(--(LEN(Clean_Data!$J$2:$J$289)=0))</f>
        <v>11</v>
      </c>
      <c r="C42" s="49">
        <f>1-B42/COUNTA(Clean_Data!$A$2:$A$289)</f>
        <v>0.96180555555555558</v>
      </c>
    </row>
    <row r="43" spans="1:3" x14ac:dyDescent="0.3">
      <c r="A43" s="48" t="s">
        <v>117</v>
      </c>
      <c r="B43" s="43">
        <f>SUMPRODUCT(--(LEN(Clean_Data!$K$2:$K$289)=0))</f>
        <v>10</v>
      </c>
      <c r="C43" s="49">
        <f>1-B43/COUNTA(Clean_Data!$A$2:$A$289)</f>
        <v>0.96527777777777779</v>
      </c>
    </row>
    <row r="44" spans="1:3" x14ac:dyDescent="0.3">
      <c r="A44" s="48" t="s">
        <v>118</v>
      </c>
      <c r="B44" s="43">
        <f>SUMPRODUCT(--(LEN(Clean_Data!$L$2:$L$289)=0))</f>
        <v>13</v>
      </c>
      <c r="C44" s="49">
        <f>1-B44/COUNTA(Clean_Data!$A$2:$A$289)</f>
        <v>0.95486111111111116</v>
      </c>
    </row>
    <row r="45" spans="1:3" x14ac:dyDescent="0.3">
      <c r="A45" s="48" t="s">
        <v>119</v>
      </c>
      <c r="B45" s="43">
        <f>SUMPRODUCT(--(LEN(Clean_Data!$M$2:$M$289)=0))</f>
        <v>8</v>
      </c>
      <c r="C45" s="49">
        <f>1-B45/COUNTA(Clean_Data!$A$2:$A$289)</f>
        <v>0.97222222222222221</v>
      </c>
    </row>
    <row r="46" spans="1:3" x14ac:dyDescent="0.3">
      <c r="A46" s="48" t="s">
        <v>120</v>
      </c>
      <c r="B46" s="43">
        <f>SUMPRODUCT(--(LEN(Clean_Data!$N$2:$N$289)=0))</f>
        <v>9</v>
      </c>
      <c r="C46" s="49">
        <f>1-B46/COUNTA(Clean_Data!$A$2:$A$289)</f>
        <v>0.96875</v>
      </c>
    </row>
    <row r="47" spans="1:3" x14ac:dyDescent="0.3">
      <c r="A47" s="48" t="s">
        <v>121</v>
      </c>
      <c r="B47" s="43">
        <f>SUMPRODUCT(--(LEN(Clean_Data!$O$2:$O$289)=0))</f>
        <v>17</v>
      </c>
      <c r="C47" s="49">
        <f>1-B47/COUNTA(Clean_Data!$A$2:$A$289)</f>
        <v>0.94097222222222221</v>
      </c>
    </row>
    <row r="48" spans="1:3" x14ac:dyDescent="0.3">
      <c r="A48" s="48" t="s">
        <v>122</v>
      </c>
      <c r="B48" s="43">
        <f>SUMPRODUCT(--(LEN(Clean_Data!$P$2:$P$289)=0))</f>
        <v>12</v>
      </c>
      <c r="C48" s="49">
        <f>1-B48/COUNTA(Clean_Data!$A$2:$A$289)</f>
        <v>0.95833333333333337</v>
      </c>
    </row>
    <row r="49" spans="1:3" x14ac:dyDescent="0.3">
      <c r="A49" s="48" t="s">
        <v>123</v>
      </c>
      <c r="B49" s="43">
        <f>SUMPRODUCT(--(LEN(Clean_Data!$Q$2:$Q$289)=0))</f>
        <v>12</v>
      </c>
      <c r="C49" s="49">
        <f>1-B49/COUNTA(Clean_Data!$A$2:$A$289)</f>
        <v>0.95833333333333337</v>
      </c>
    </row>
    <row r="50" spans="1:3" x14ac:dyDescent="0.3">
      <c r="A50" s="48" t="s">
        <v>124</v>
      </c>
      <c r="B50" s="43">
        <f>SUMPRODUCT(--(LEN(Clean_Data!$R$2:$R$289)=0))</f>
        <v>14</v>
      </c>
      <c r="C50" s="49">
        <f>1-B50/COUNTA(Clean_Data!$A$2:$A$289)</f>
        <v>0.95138888888888884</v>
      </c>
    </row>
    <row r="51" spans="1:3" x14ac:dyDescent="0.3">
      <c r="A51" s="48" t="s">
        <v>125</v>
      </c>
      <c r="B51" s="43">
        <f>SUMPRODUCT(--(LEN(Clean_Data!$S$2:$S$289)=0))</f>
        <v>14</v>
      </c>
      <c r="C51" s="49">
        <f>1-B51/COUNTA(Clean_Data!$A$2:$A$289)</f>
        <v>0.95138888888888884</v>
      </c>
    </row>
    <row r="52" spans="1:3" x14ac:dyDescent="0.3">
      <c r="A52" s="48" t="s">
        <v>126</v>
      </c>
      <c r="B52" s="43">
        <f>SUMPRODUCT(--(LEN(Clean_Data!$T$2:$T$289)=0))</f>
        <v>7</v>
      </c>
      <c r="C52" s="49">
        <f>1-B52/COUNTA(Clean_Data!$A$2:$A$289)</f>
        <v>0.97569444444444442</v>
      </c>
    </row>
    <row r="53" spans="1:3" x14ac:dyDescent="0.3">
      <c r="A53" s="48" t="s">
        <v>127</v>
      </c>
      <c r="B53" s="43">
        <f>SUMPRODUCT(--(LEN(Clean_Data!$U$2:$U$289)=0))</f>
        <v>10</v>
      </c>
      <c r="C53" s="49">
        <f>1-B53/COUNTA(Clean_Data!$A$2:$A$289)</f>
        <v>0.96527777777777779</v>
      </c>
    </row>
    <row r="54" spans="1:3" x14ac:dyDescent="0.3">
      <c r="A54" s="48" t="s">
        <v>128</v>
      </c>
      <c r="B54" s="43">
        <f>SUMPRODUCT(--(LEN(Clean_Data!$V$2:$V$289)=0))</f>
        <v>18</v>
      </c>
      <c r="C54" s="49">
        <f>1-B54/COUNTA(Clean_Data!$A$2:$A$289)</f>
        <v>0.9375</v>
      </c>
    </row>
    <row r="55" spans="1:3" x14ac:dyDescent="0.3">
      <c r="A55" s="48" t="s">
        <v>129</v>
      </c>
      <c r="B55" s="43">
        <f>SUMPRODUCT(--(LEN(Clean_Data!$W$2:$W$289)=0))</f>
        <v>5</v>
      </c>
      <c r="C55" s="49">
        <f>1-B55/COUNTA(Clean_Data!$A$2:$A$289)</f>
        <v>0.98263888888888884</v>
      </c>
    </row>
    <row r="56" spans="1:3" x14ac:dyDescent="0.3">
      <c r="A56" s="48" t="s">
        <v>131</v>
      </c>
      <c r="B56" s="43">
        <f>SUMPRODUCT(--(LEN(Clean_Data!$Y$2:$Y$289)=0))</f>
        <v>17</v>
      </c>
      <c r="C56" s="49">
        <f>1-B56/COUNTA(Clean_Data!$A$2:$A$289)</f>
        <v>0.94097222222222221</v>
      </c>
    </row>
    <row r="59" spans="1:3" ht="15.6" x14ac:dyDescent="0.3">
      <c r="A59" s="22" t="s">
        <v>877</v>
      </c>
    </row>
    <row r="60" spans="1:3" ht="30" customHeight="1" x14ac:dyDescent="0.3">
      <c r="A60" s="52" t="s">
        <v>878</v>
      </c>
      <c r="B60" s="52"/>
      <c r="C60" s="52"/>
    </row>
    <row r="61" spans="1:3" ht="30" customHeight="1" x14ac:dyDescent="0.3">
      <c r="A61" s="52" t="s">
        <v>879</v>
      </c>
      <c r="B61" s="52"/>
      <c r="C61" s="52"/>
    </row>
    <row r="62" spans="1:3" ht="30" customHeight="1" x14ac:dyDescent="0.3">
      <c r="A62" s="52" t="s">
        <v>880</v>
      </c>
      <c r="B62" s="52"/>
      <c r="C62" s="52"/>
    </row>
    <row r="63" spans="1:3" ht="30" customHeight="1" x14ac:dyDescent="0.3">
      <c r="A63" s="52" t="s">
        <v>881</v>
      </c>
      <c r="B63" s="52"/>
      <c r="C63" s="52"/>
    </row>
    <row r="64" spans="1:3" ht="30" customHeight="1" x14ac:dyDescent="0.3">
      <c r="A64" s="52" t="s">
        <v>882</v>
      </c>
      <c r="B64" s="52"/>
      <c r="C64" s="52"/>
    </row>
    <row r="65" spans="1:3" ht="30" customHeight="1" x14ac:dyDescent="0.3">
      <c r="A65" s="52" t="s">
        <v>883</v>
      </c>
      <c r="B65" s="52"/>
      <c r="C65" s="52"/>
    </row>
  </sheetData>
  <mergeCells count="6">
    <mergeCell ref="A65:C65"/>
    <mergeCell ref="A60:C60"/>
    <mergeCell ref="A61:C61"/>
    <mergeCell ref="A62:C62"/>
    <mergeCell ref="A63:C63"/>
    <mergeCell ref="A64:C64"/>
  </mergeCells>
  <conditionalFormatting sqref="C33:C56">
    <cfRule type="dataBar" priority="2">
      <dataBar>
        <cfvo type="num" val="0"/>
        <cfvo type="num" val="1"/>
        <color rgb="FF14B8A6"/>
      </dataBar>
      <extLst>
        <ext xmlns:x14="http://schemas.microsoft.com/office/spreadsheetml/2009/9/main" uri="{B025F937-C7B1-47D3-B67F-A62EFF666E3E}">
          <x14:id>{773BA19B-9EE9-4CF8-8267-90426649B57B}</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773BA19B-9EE9-4CF8-8267-90426649B57B}">
            <x14:dataBar axisPosition="none">
              <x14:cfvo type="num">
                <xm:f>0</xm:f>
              </x14:cfvo>
              <x14:cfvo type="num">
                <xm:f>1</xm:f>
              </x14:cfvo>
              <x14:negativeFillColor rgb="FF14B8A6"/>
            </x14:dataBar>
          </x14:cfRule>
          <xm:sqref>C33:C56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4748B"/>
  </sheetPr>
  <dimension ref="A1:S301"/>
  <sheetViews>
    <sheetView zoomScaleNormal="100" workbookViewId="0">
      <pane ySplit="1" topLeftCell="A2" activePane="bottomLeft" state="frozen"/>
      <selection pane="bottomLeft"/>
    </sheetView>
  </sheetViews>
  <sheetFormatPr defaultColWidth="8.6640625" defaultRowHeight="14.4" x14ac:dyDescent="0.3"/>
  <cols>
    <col min="1" max="11" width="16" customWidth="1"/>
    <col min="12" max="12" width="50" customWidth="1"/>
    <col min="13" max="19" width="16" customWidth="1"/>
  </cols>
  <sheetData>
    <row r="1" spans="1:19" x14ac:dyDescent="0.3">
      <c r="A1" s="50" t="s">
        <v>108</v>
      </c>
      <c r="B1" s="50" t="s">
        <v>109</v>
      </c>
      <c r="C1" s="50" t="s">
        <v>111</v>
      </c>
      <c r="D1" s="50" t="s">
        <v>60</v>
      </c>
      <c r="E1" s="50" t="s">
        <v>112</v>
      </c>
      <c r="F1" s="50" t="s">
        <v>113</v>
      </c>
      <c r="G1" s="50" t="s">
        <v>114</v>
      </c>
      <c r="H1" s="50" t="s">
        <v>116</v>
      </c>
      <c r="I1" s="50" t="s">
        <v>117</v>
      </c>
      <c r="J1" s="50" t="s">
        <v>118</v>
      </c>
      <c r="K1" s="50" t="s">
        <v>884</v>
      </c>
      <c r="L1" s="50" t="s">
        <v>131</v>
      </c>
      <c r="M1" s="50" t="s">
        <v>122</v>
      </c>
      <c r="N1" s="50" t="s">
        <v>124</v>
      </c>
      <c r="O1" s="50" t="s">
        <v>125</v>
      </c>
      <c r="P1" s="50" t="s">
        <v>126</v>
      </c>
      <c r="Q1" s="50" t="s">
        <v>127</v>
      </c>
      <c r="R1" s="50" t="s">
        <v>885</v>
      </c>
      <c r="S1" s="50" t="s">
        <v>129</v>
      </c>
    </row>
    <row r="2" spans="1:19" x14ac:dyDescent="0.3">
      <c r="A2" s="36" t="s">
        <v>132</v>
      </c>
      <c r="B2" s="36" t="s">
        <v>886</v>
      </c>
      <c r="C2" s="36" t="s">
        <v>133</v>
      </c>
      <c r="D2" s="36" t="s">
        <v>65</v>
      </c>
      <c r="E2" s="36" t="s">
        <v>47</v>
      </c>
      <c r="F2" s="36" t="s">
        <v>134</v>
      </c>
      <c r="G2" s="36" t="s">
        <v>135</v>
      </c>
      <c r="H2" s="36" t="s">
        <v>887</v>
      </c>
      <c r="I2" s="36" t="s">
        <v>24</v>
      </c>
      <c r="J2" s="36" t="s">
        <v>43</v>
      </c>
      <c r="K2" s="36" t="s">
        <v>888</v>
      </c>
      <c r="L2" s="36" t="s">
        <v>136</v>
      </c>
      <c r="M2" s="36"/>
      <c r="N2" s="36" t="s">
        <v>889</v>
      </c>
      <c r="O2" s="36" t="s">
        <v>890</v>
      </c>
      <c r="P2" s="36" t="s">
        <v>891</v>
      </c>
      <c r="Q2" s="36" t="s">
        <v>892</v>
      </c>
      <c r="R2" s="36" t="s">
        <v>893</v>
      </c>
      <c r="S2" s="36" t="s">
        <v>86</v>
      </c>
    </row>
    <row r="3" spans="1:19" x14ac:dyDescent="0.3">
      <c r="A3" s="36" t="s">
        <v>137</v>
      </c>
      <c r="B3" s="36" t="s">
        <v>886</v>
      </c>
      <c r="C3" s="36" t="s">
        <v>133</v>
      </c>
      <c r="D3" s="36" t="s">
        <v>62</v>
      </c>
      <c r="E3" s="36" t="s">
        <v>47</v>
      </c>
      <c r="F3" s="36" t="s">
        <v>138</v>
      </c>
      <c r="G3" s="36" t="s">
        <v>139</v>
      </c>
      <c r="H3" s="36" t="s">
        <v>894</v>
      </c>
      <c r="I3" s="36" t="s">
        <v>24</v>
      </c>
      <c r="J3" s="36" t="s">
        <v>42</v>
      </c>
      <c r="K3" s="36" t="s">
        <v>895</v>
      </c>
      <c r="L3" s="36" t="s">
        <v>140</v>
      </c>
      <c r="M3" s="36" t="s">
        <v>896</v>
      </c>
      <c r="N3" s="36" t="s">
        <v>897</v>
      </c>
      <c r="O3" s="36" t="s">
        <v>898</v>
      </c>
      <c r="P3" s="36" t="s">
        <v>899</v>
      </c>
      <c r="Q3" s="36" t="s">
        <v>900</v>
      </c>
      <c r="R3" s="36" t="s">
        <v>901</v>
      </c>
      <c r="S3" s="36" t="s">
        <v>86</v>
      </c>
    </row>
    <row r="4" spans="1:19" x14ac:dyDescent="0.3">
      <c r="A4" s="36" t="s">
        <v>141</v>
      </c>
      <c r="B4" s="36" t="s">
        <v>902</v>
      </c>
      <c r="C4" s="36" t="s">
        <v>133</v>
      </c>
      <c r="D4" s="36" t="s">
        <v>63</v>
      </c>
      <c r="E4" s="36" t="s">
        <v>46</v>
      </c>
      <c r="F4" s="36"/>
      <c r="G4" s="36" t="s">
        <v>142</v>
      </c>
      <c r="H4" s="36" t="s">
        <v>903</v>
      </c>
      <c r="I4" s="36" t="s">
        <v>904</v>
      </c>
      <c r="J4" s="36" t="s">
        <v>36</v>
      </c>
      <c r="K4" s="36" t="s">
        <v>905</v>
      </c>
      <c r="L4" s="36"/>
      <c r="M4" s="36" t="s">
        <v>906</v>
      </c>
      <c r="N4" s="36" t="s">
        <v>907</v>
      </c>
      <c r="O4" s="36" t="s">
        <v>908</v>
      </c>
      <c r="P4" s="36" t="s">
        <v>890</v>
      </c>
      <c r="Q4" s="36" t="s">
        <v>909</v>
      </c>
      <c r="R4" s="36" t="s">
        <v>910</v>
      </c>
      <c r="S4" s="36" t="s">
        <v>88</v>
      </c>
    </row>
    <row r="5" spans="1:19" x14ac:dyDescent="0.3">
      <c r="A5" s="36" t="s">
        <v>143</v>
      </c>
      <c r="B5" s="36" t="s">
        <v>911</v>
      </c>
      <c r="C5" s="36" t="s">
        <v>912</v>
      </c>
      <c r="D5" s="36" t="s">
        <v>66</v>
      </c>
      <c r="E5" s="36" t="s">
        <v>47</v>
      </c>
      <c r="F5" s="36" t="s">
        <v>138</v>
      </c>
      <c r="G5" s="36" t="s">
        <v>145</v>
      </c>
      <c r="H5" s="36" t="s">
        <v>913</v>
      </c>
      <c r="I5" s="36" t="s">
        <v>30</v>
      </c>
      <c r="J5" s="36" t="s">
        <v>36</v>
      </c>
      <c r="K5" s="36" t="s">
        <v>914</v>
      </c>
      <c r="L5" s="36" t="s">
        <v>146</v>
      </c>
      <c r="M5" s="36" t="s">
        <v>906</v>
      </c>
      <c r="N5" s="36" t="s">
        <v>915</v>
      </c>
      <c r="O5" s="36" t="s">
        <v>890</v>
      </c>
      <c r="P5" s="36" t="s">
        <v>916</v>
      </c>
      <c r="Q5" s="36" t="s">
        <v>917</v>
      </c>
      <c r="R5" s="36" t="s">
        <v>918</v>
      </c>
      <c r="S5" s="36" t="s">
        <v>87</v>
      </c>
    </row>
    <row r="6" spans="1:19" x14ac:dyDescent="0.3">
      <c r="A6" s="36" t="s">
        <v>147</v>
      </c>
      <c r="B6" s="36" t="s">
        <v>919</v>
      </c>
      <c r="C6" s="36" t="s">
        <v>144</v>
      </c>
      <c r="D6" s="36" t="s">
        <v>63</v>
      </c>
      <c r="E6" s="36" t="s">
        <v>46</v>
      </c>
      <c r="F6" s="36" t="s">
        <v>148</v>
      </c>
      <c r="G6" s="36" t="s">
        <v>149</v>
      </c>
      <c r="H6" s="36" t="s">
        <v>920</v>
      </c>
      <c r="I6" s="36" t="s">
        <v>28</v>
      </c>
      <c r="J6" s="36"/>
      <c r="K6" s="36" t="s">
        <v>921</v>
      </c>
      <c r="L6" s="36" t="s">
        <v>150</v>
      </c>
      <c r="M6" s="36" t="s">
        <v>896</v>
      </c>
      <c r="N6" s="36" t="s">
        <v>922</v>
      </c>
      <c r="O6" s="36" t="s">
        <v>890</v>
      </c>
      <c r="P6" s="36" t="s">
        <v>891</v>
      </c>
      <c r="Q6" s="36" t="s">
        <v>923</v>
      </c>
      <c r="R6" s="36" t="s">
        <v>924</v>
      </c>
      <c r="S6" s="36" t="s">
        <v>86</v>
      </c>
    </row>
    <row r="7" spans="1:19" x14ac:dyDescent="0.3">
      <c r="A7" s="36" t="s">
        <v>151</v>
      </c>
      <c r="B7" s="36" t="s">
        <v>919</v>
      </c>
      <c r="C7" s="36"/>
      <c r="D7" s="36" t="s">
        <v>62</v>
      </c>
      <c r="E7" s="36" t="s">
        <v>46</v>
      </c>
      <c r="F7" s="36" t="s">
        <v>148</v>
      </c>
      <c r="G7" s="36" t="s">
        <v>152</v>
      </c>
      <c r="H7" s="36" t="s">
        <v>925</v>
      </c>
      <c r="I7" s="36" t="s">
        <v>30</v>
      </c>
      <c r="J7" s="36" t="s">
        <v>41</v>
      </c>
      <c r="K7" s="36" t="s">
        <v>926</v>
      </c>
      <c r="L7" s="36" t="s">
        <v>153</v>
      </c>
      <c r="M7" s="36" t="s">
        <v>896</v>
      </c>
      <c r="N7" s="36" t="s">
        <v>916</v>
      </c>
      <c r="O7" s="36" t="s">
        <v>898</v>
      </c>
      <c r="P7" s="36" t="s">
        <v>927</v>
      </c>
      <c r="Q7" s="36" t="s">
        <v>928</v>
      </c>
      <c r="R7" s="36" t="s">
        <v>929</v>
      </c>
      <c r="S7" s="36" t="s">
        <v>88</v>
      </c>
    </row>
    <row r="8" spans="1:19" x14ac:dyDescent="0.3">
      <c r="A8" s="36" t="s">
        <v>154</v>
      </c>
      <c r="B8" s="36" t="s">
        <v>930</v>
      </c>
      <c r="C8" s="36" t="s">
        <v>133</v>
      </c>
      <c r="D8" s="36" t="s">
        <v>931</v>
      </c>
      <c r="E8" s="36" t="s">
        <v>47</v>
      </c>
      <c r="F8" s="36" t="s">
        <v>138</v>
      </c>
      <c r="G8" s="36" t="s">
        <v>156</v>
      </c>
      <c r="H8" s="36" t="s">
        <v>932</v>
      </c>
      <c r="I8" s="36" t="s">
        <v>24</v>
      </c>
      <c r="J8" s="36" t="s">
        <v>36</v>
      </c>
      <c r="K8" s="36" t="s">
        <v>933</v>
      </c>
      <c r="L8" s="36" t="s">
        <v>157</v>
      </c>
      <c r="M8" s="36" t="s">
        <v>906</v>
      </c>
      <c r="N8" s="36" t="s">
        <v>898</v>
      </c>
      <c r="O8" s="36" t="s">
        <v>908</v>
      </c>
      <c r="P8" s="36" t="s">
        <v>916</v>
      </c>
      <c r="Q8" s="36" t="s">
        <v>934</v>
      </c>
      <c r="R8" s="36" t="s">
        <v>917</v>
      </c>
      <c r="S8" s="36" t="s">
        <v>86</v>
      </c>
    </row>
    <row r="9" spans="1:19" x14ac:dyDescent="0.3">
      <c r="A9" s="36" t="s">
        <v>158</v>
      </c>
      <c r="B9" s="36" t="s">
        <v>930</v>
      </c>
      <c r="C9" s="36" t="s">
        <v>133</v>
      </c>
      <c r="D9" s="36" t="s">
        <v>67</v>
      </c>
      <c r="E9" s="36" t="s">
        <v>47</v>
      </c>
      <c r="F9" s="36" t="s">
        <v>159</v>
      </c>
      <c r="G9" s="36" t="s">
        <v>160</v>
      </c>
      <c r="H9" s="36" t="s">
        <v>935</v>
      </c>
      <c r="I9" s="36" t="s">
        <v>24</v>
      </c>
      <c r="J9" s="36" t="s">
        <v>40</v>
      </c>
      <c r="K9" s="36" t="s">
        <v>908</v>
      </c>
      <c r="L9" s="36" t="s">
        <v>161</v>
      </c>
      <c r="M9" s="36" t="s">
        <v>896</v>
      </c>
      <c r="N9" s="36" t="s">
        <v>936</v>
      </c>
      <c r="O9" s="36" t="s">
        <v>908</v>
      </c>
      <c r="P9" s="36" t="s">
        <v>916</v>
      </c>
      <c r="Q9" s="36" t="s">
        <v>937</v>
      </c>
      <c r="R9" s="36" t="s">
        <v>917</v>
      </c>
      <c r="S9" s="36" t="s">
        <v>86</v>
      </c>
    </row>
    <row r="10" spans="1:19" x14ac:dyDescent="0.3">
      <c r="A10" s="36" t="s">
        <v>162</v>
      </c>
      <c r="B10" s="36" t="s">
        <v>938</v>
      </c>
      <c r="C10" s="36" t="s">
        <v>133</v>
      </c>
      <c r="D10" s="36" t="s">
        <v>67</v>
      </c>
      <c r="E10" s="36" t="s">
        <v>46</v>
      </c>
      <c r="F10" s="36" t="s">
        <v>148</v>
      </c>
      <c r="G10" s="36" t="s">
        <v>163</v>
      </c>
      <c r="H10" s="36" t="s">
        <v>939</v>
      </c>
      <c r="I10" s="36" t="s">
        <v>27</v>
      </c>
      <c r="J10" s="36" t="s">
        <v>40</v>
      </c>
      <c r="K10" s="36" t="s">
        <v>940</v>
      </c>
      <c r="L10" s="36" t="s">
        <v>164</v>
      </c>
      <c r="M10" s="36" t="s">
        <v>886</v>
      </c>
      <c r="N10" s="36" t="s">
        <v>922</v>
      </c>
      <c r="O10" s="36" t="s">
        <v>890</v>
      </c>
      <c r="P10" s="36" t="s">
        <v>927</v>
      </c>
      <c r="Q10" s="36" t="s">
        <v>941</v>
      </c>
      <c r="R10" s="36" t="s">
        <v>941</v>
      </c>
      <c r="S10" s="36" t="s">
        <v>86</v>
      </c>
    </row>
    <row r="11" spans="1:19" x14ac:dyDescent="0.3">
      <c r="A11" s="36" t="s">
        <v>165</v>
      </c>
      <c r="B11" s="36" t="s">
        <v>942</v>
      </c>
      <c r="C11" s="36" t="s">
        <v>943</v>
      </c>
      <c r="D11" s="36" t="s">
        <v>944</v>
      </c>
      <c r="E11" s="36" t="s">
        <v>47</v>
      </c>
      <c r="F11" s="36" t="s">
        <v>159</v>
      </c>
      <c r="G11" s="36"/>
      <c r="H11" s="36" t="s">
        <v>945</v>
      </c>
      <c r="I11" s="36" t="s">
        <v>24</v>
      </c>
      <c r="J11" s="36" t="s">
        <v>37</v>
      </c>
      <c r="K11" s="36" t="s">
        <v>914</v>
      </c>
      <c r="L11" s="36" t="s">
        <v>166</v>
      </c>
      <c r="M11" s="36" t="s">
        <v>946</v>
      </c>
      <c r="N11" s="36"/>
      <c r="O11" s="36" t="s">
        <v>908</v>
      </c>
      <c r="P11" s="36" t="s">
        <v>916</v>
      </c>
      <c r="Q11" s="36" t="s">
        <v>947</v>
      </c>
      <c r="R11" s="36" t="s">
        <v>948</v>
      </c>
      <c r="S11" s="36" t="s">
        <v>87</v>
      </c>
    </row>
    <row r="12" spans="1:19" x14ac:dyDescent="0.3">
      <c r="A12" s="36" t="s">
        <v>167</v>
      </c>
      <c r="B12" s="36" t="s">
        <v>949</v>
      </c>
      <c r="C12" s="36" t="s">
        <v>144</v>
      </c>
      <c r="D12" s="36" t="s">
        <v>64</v>
      </c>
      <c r="E12" s="36" t="s">
        <v>47</v>
      </c>
      <c r="F12" s="36" t="s">
        <v>134</v>
      </c>
      <c r="G12" s="36" t="s">
        <v>168</v>
      </c>
      <c r="H12" s="36" t="s">
        <v>950</v>
      </c>
      <c r="I12" s="36" t="s">
        <v>951</v>
      </c>
      <c r="J12" s="36" t="s">
        <v>39</v>
      </c>
      <c r="K12" s="36" t="s">
        <v>952</v>
      </c>
      <c r="L12" s="36" t="s">
        <v>169</v>
      </c>
      <c r="M12" s="36" t="s">
        <v>896</v>
      </c>
      <c r="N12" s="36"/>
      <c r="O12" s="36" t="s">
        <v>890</v>
      </c>
      <c r="P12" s="36" t="s">
        <v>927</v>
      </c>
      <c r="Q12" s="36" t="s">
        <v>895</v>
      </c>
      <c r="R12" s="36" t="s">
        <v>953</v>
      </c>
      <c r="S12" s="36" t="s">
        <v>86</v>
      </c>
    </row>
    <row r="13" spans="1:19" x14ac:dyDescent="0.3">
      <c r="A13" s="36" t="s">
        <v>170</v>
      </c>
      <c r="B13" s="36" t="s">
        <v>954</v>
      </c>
      <c r="C13" s="36" t="s">
        <v>133</v>
      </c>
      <c r="D13" s="36" t="s">
        <v>63</v>
      </c>
      <c r="E13" s="36" t="s">
        <v>46</v>
      </c>
      <c r="F13" s="36" t="s">
        <v>148</v>
      </c>
      <c r="G13" s="36" t="s">
        <v>171</v>
      </c>
      <c r="H13" s="36" t="s">
        <v>955</v>
      </c>
      <c r="I13" s="36" t="s">
        <v>27</v>
      </c>
      <c r="J13" s="36" t="s">
        <v>39</v>
      </c>
      <c r="K13" s="36" t="s">
        <v>916</v>
      </c>
      <c r="L13" s="36" t="s">
        <v>172</v>
      </c>
      <c r="M13" s="36" t="s">
        <v>896</v>
      </c>
      <c r="N13" s="36" t="s">
        <v>934</v>
      </c>
      <c r="O13" s="36" t="s">
        <v>898</v>
      </c>
      <c r="P13" s="36" t="s">
        <v>927</v>
      </c>
      <c r="Q13" s="36" t="s">
        <v>956</v>
      </c>
      <c r="R13" s="36" t="s">
        <v>915</v>
      </c>
      <c r="S13" s="36" t="s">
        <v>88</v>
      </c>
    </row>
    <row r="14" spans="1:19" x14ac:dyDescent="0.3">
      <c r="A14" s="36" t="s">
        <v>173</v>
      </c>
      <c r="B14" s="36" t="s">
        <v>886</v>
      </c>
      <c r="C14" s="36" t="s">
        <v>144</v>
      </c>
      <c r="D14" s="36" t="s">
        <v>68</v>
      </c>
      <c r="E14" s="36" t="s">
        <v>47</v>
      </c>
      <c r="F14" s="36" t="s">
        <v>138</v>
      </c>
      <c r="G14" s="36" t="s">
        <v>174</v>
      </c>
      <c r="H14" s="36" t="s">
        <v>957</v>
      </c>
      <c r="I14" s="36" t="s">
        <v>24</v>
      </c>
      <c r="J14" s="36" t="s">
        <v>36</v>
      </c>
      <c r="K14" s="36" t="s">
        <v>958</v>
      </c>
      <c r="L14" s="36" t="s">
        <v>175</v>
      </c>
      <c r="M14" s="36" t="s">
        <v>946</v>
      </c>
      <c r="N14" s="36" t="s">
        <v>959</v>
      </c>
      <c r="O14" s="36" t="s">
        <v>890</v>
      </c>
      <c r="P14" s="36" t="s">
        <v>890</v>
      </c>
      <c r="Q14" s="36" t="s">
        <v>960</v>
      </c>
      <c r="R14" s="36" t="s">
        <v>961</v>
      </c>
      <c r="S14" s="36" t="s">
        <v>88</v>
      </c>
    </row>
    <row r="15" spans="1:19" x14ac:dyDescent="0.3">
      <c r="A15" s="36" t="s">
        <v>176</v>
      </c>
      <c r="B15" s="36" t="s">
        <v>962</v>
      </c>
      <c r="C15" s="36" t="s">
        <v>144</v>
      </c>
      <c r="D15" s="36" t="s">
        <v>963</v>
      </c>
      <c r="E15" s="36" t="s">
        <v>46</v>
      </c>
      <c r="F15" s="36" t="s">
        <v>148</v>
      </c>
      <c r="G15" s="36" t="s">
        <v>177</v>
      </c>
      <c r="H15" s="36" t="s">
        <v>964</v>
      </c>
      <c r="I15" s="36" t="s">
        <v>24</v>
      </c>
      <c r="J15" s="36" t="s">
        <v>36</v>
      </c>
      <c r="K15" s="36" t="s">
        <v>965</v>
      </c>
      <c r="L15" s="36" t="s">
        <v>179</v>
      </c>
      <c r="M15" s="36" t="s">
        <v>886</v>
      </c>
      <c r="N15" s="36" t="s">
        <v>966</v>
      </c>
      <c r="O15" s="36" t="s">
        <v>890</v>
      </c>
      <c r="P15" s="36" t="s">
        <v>961</v>
      </c>
      <c r="Q15" s="36" t="s">
        <v>967</v>
      </c>
      <c r="R15" s="36" t="s">
        <v>968</v>
      </c>
      <c r="S15" s="36" t="s">
        <v>86</v>
      </c>
    </row>
    <row r="16" spans="1:19" x14ac:dyDescent="0.3">
      <c r="A16" s="36" t="s">
        <v>180</v>
      </c>
      <c r="B16" s="36" t="s">
        <v>969</v>
      </c>
      <c r="C16" s="36" t="s">
        <v>133</v>
      </c>
      <c r="D16" s="36" t="s">
        <v>65</v>
      </c>
      <c r="E16" s="36" t="s">
        <v>47</v>
      </c>
      <c r="F16" s="36" t="s">
        <v>138</v>
      </c>
      <c r="G16" s="36" t="s">
        <v>181</v>
      </c>
      <c r="H16" s="36" t="s">
        <v>970</v>
      </c>
      <c r="I16" s="36" t="s">
        <v>27</v>
      </c>
      <c r="J16" s="36" t="s">
        <v>41</v>
      </c>
      <c r="K16" s="36" t="s">
        <v>892</v>
      </c>
      <c r="L16" s="36" t="s">
        <v>182</v>
      </c>
      <c r="M16" s="36" t="s">
        <v>946</v>
      </c>
      <c r="N16" s="36" t="s">
        <v>971</v>
      </c>
      <c r="O16" s="36" t="s">
        <v>898</v>
      </c>
      <c r="P16" s="36" t="s">
        <v>961</v>
      </c>
      <c r="Q16" s="36" t="s">
        <v>972</v>
      </c>
      <c r="R16" s="36" t="s">
        <v>973</v>
      </c>
      <c r="S16" s="36" t="s">
        <v>86</v>
      </c>
    </row>
    <row r="17" spans="1:19" x14ac:dyDescent="0.3">
      <c r="A17" s="36" t="s">
        <v>183</v>
      </c>
      <c r="B17" s="36" t="s">
        <v>974</v>
      </c>
      <c r="C17" s="36" t="s">
        <v>144</v>
      </c>
      <c r="D17" s="36" t="s">
        <v>63</v>
      </c>
      <c r="E17" s="36" t="s">
        <v>46</v>
      </c>
      <c r="F17" s="36" t="s">
        <v>134</v>
      </c>
      <c r="G17" s="36"/>
      <c r="H17" s="36" t="s">
        <v>975</v>
      </c>
      <c r="I17" s="36" t="s">
        <v>26</v>
      </c>
      <c r="J17" s="36" t="s">
        <v>36</v>
      </c>
      <c r="K17" s="36" t="s">
        <v>976</v>
      </c>
      <c r="L17" s="36"/>
      <c r="M17" s="36" t="s">
        <v>906</v>
      </c>
      <c r="N17" s="36"/>
      <c r="O17" s="36" t="s">
        <v>908</v>
      </c>
      <c r="P17" s="36" t="s">
        <v>916</v>
      </c>
      <c r="Q17" s="36" t="s">
        <v>977</v>
      </c>
      <c r="R17" s="36" t="s">
        <v>898</v>
      </c>
      <c r="S17" s="36" t="s">
        <v>88</v>
      </c>
    </row>
    <row r="18" spans="1:19" x14ac:dyDescent="0.3">
      <c r="A18" s="36" t="s">
        <v>184</v>
      </c>
      <c r="B18" s="36" t="s">
        <v>954</v>
      </c>
      <c r="C18" s="36" t="s">
        <v>133</v>
      </c>
      <c r="D18" s="36" t="s">
        <v>63</v>
      </c>
      <c r="E18" s="36" t="s">
        <v>47</v>
      </c>
      <c r="F18" s="36" t="s">
        <v>159</v>
      </c>
      <c r="G18" s="36" t="s">
        <v>185</v>
      </c>
      <c r="H18" s="36" t="s">
        <v>978</v>
      </c>
      <c r="I18" s="36" t="s">
        <v>28</v>
      </c>
      <c r="J18" s="36" t="s">
        <v>42</v>
      </c>
      <c r="K18" s="36" t="s">
        <v>914</v>
      </c>
      <c r="L18" s="36" t="s">
        <v>186</v>
      </c>
      <c r="M18" s="36" t="s">
        <v>896</v>
      </c>
      <c r="N18" s="36" t="s">
        <v>891</v>
      </c>
      <c r="O18" s="36" t="s">
        <v>890</v>
      </c>
      <c r="P18" s="36" t="s">
        <v>891</v>
      </c>
      <c r="Q18" s="36" t="s">
        <v>979</v>
      </c>
      <c r="R18" s="36" t="s">
        <v>910</v>
      </c>
      <c r="S18" s="36" t="s">
        <v>86</v>
      </c>
    </row>
    <row r="19" spans="1:19" x14ac:dyDescent="0.3">
      <c r="A19" s="36" t="s">
        <v>187</v>
      </c>
      <c r="B19" s="36" t="s">
        <v>980</v>
      </c>
      <c r="C19" s="36" t="s">
        <v>133</v>
      </c>
      <c r="D19" s="36" t="s">
        <v>61</v>
      </c>
      <c r="E19" s="36" t="s">
        <v>46</v>
      </c>
      <c r="F19" s="36" t="s">
        <v>134</v>
      </c>
      <c r="G19" s="36" t="s">
        <v>188</v>
      </c>
      <c r="H19" s="36" t="s">
        <v>981</v>
      </c>
      <c r="I19" s="36" t="s">
        <v>25</v>
      </c>
      <c r="J19" s="36" t="s">
        <v>37</v>
      </c>
      <c r="K19" s="36" t="s">
        <v>926</v>
      </c>
      <c r="L19" s="36" t="s">
        <v>189</v>
      </c>
      <c r="M19" s="36" t="s">
        <v>906</v>
      </c>
      <c r="N19" s="36" t="s">
        <v>892</v>
      </c>
      <c r="O19" s="36" t="s">
        <v>898</v>
      </c>
      <c r="P19" s="36" t="s">
        <v>927</v>
      </c>
      <c r="Q19" s="36" t="s">
        <v>982</v>
      </c>
      <c r="R19" s="36" t="s">
        <v>892</v>
      </c>
      <c r="S19" s="36" t="s">
        <v>86</v>
      </c>
    </row>
    <row r="20" spans="1:19" x14ac:dyDescent="0.3">
      <c r="A20" s="36" t="s">
        <v>190</v>
      </c>
      <c r="B20" s="36" t="s">
        <v>954</v>
      </c>
      <c r="C20" s="36" t="s">
        <v>943</v>
      </c>
      <c r="D20" s="36" t="s">
        <v>191</v>
      </c>
      <c r="E20" s="36" t="s">
        <v>46</v>
      </c>
      <c r="F20" s="36" t="s">
        <v>159</v>
      </c>
      <c r="G20" s="36" t="s">
        <v>149</v>
      </c>
      <c r="H20" s="36" t="s">
        <v>981</v>
      </c>
      <c r="I20" s="36" t="s">
        <v>24</v>
      </c>
      <c r="J20" s="36" t="s">
        <v>39</v>
      </c>
      <c r="K20" s="36" t="s">
        <v>918</v>
      </c>
      <c r="L20" s="36" t="s">
        <v>192</v>
      </c>
      <c r="M20" s="36" t="s">
        <v>906</v>
      </c>
      <c r="N20" s="36" t="s">
        <v>893</v>
      </c>
      <c r="O20" s="36" t="s">
        <v>890</v>
      </c>
      <c r="P20" s="36" t="s">
        <v>899</v>
      </c>
      <c r="Q20" s="36" t="s">
        <v>983</v>
      </c>
      <c r="R20" s="36" t="s">
        <v>909</v>
      </c>
      <c r="S20" s="36" t="s">
        <v>86</v>
      </c>
    </row>
    <row r="21" spans="1:19" x14ac:dyDescent="0.3">
      <c r="A21" s="36" t="s">
        <v>193</v>
      </c>
      <c r="B21" s="36" t="s">
        <v>984</v>
      </c>
      <c r="C21" s="36" t="s">
        <v>144</v>
      </c>
      <c r="D21" s="36" t="s">
        <v>69</v>
      </c>
      <c r="E21" s="36" t="s">
        <v>47</v>
      </c>
      <c r="F21" s="36" t="s">
        <v>194</v>
      </c>
      <c r="G21" s="36" t="s">
        <v>195</v>
      </c>
      <c r="H21" s="36" t="s">
        <v>985</v>
      </c>
      <c r="I21" s="36" t="s">
        <v>25</v>
      </c>
      <c r="J21" s="36" t="s">
        <v>39</v>
      </c>
      <c r="K21" s="36" t="s">
        <v>980</v>
      </c>
      <c r="L21" s="36" t="s">
        <v>197</v>
      </c>
      <c r="M21" s="36" t="s">
        <v>946</v>
      </c>
      <c r="N21" s="36" t="s">
        <v>921</v>
      </c>
      <c r="O21" s="36" t="s">
        <v>898</v>
      </c>
      <c r="P21" s="36" t="s">
        <v>890</v>
      </c>
      <c r="Q21" s="36" t="s">
        <v>986</v>
      </c>
      <c r="R21" s="36" t="s">
        <v>987</v>
      </c>
      <c r="S21" s="36" t="s">
        <v>88</v>
      </c>
    </row>
    <row r="22" spans="1:19" x14ac:dyDescent="0.3">
      <c r="A22" s="36" t="s">
        <v>198</v>
      </c>
      <c r="B22" s="36" t="s">
        <v>988</v>
      </c>
      <c r="C22" s="36" t="s">
        <v>133</v>
      </c>
      <c r="D22" s="36" t="s">
        <v>61</v>
      </c>
      <c r="E22" s="36" t="s">
        <v>47</v>
      </c>
      <c r="F22" s="36" t="s">
        <v>194</v>
      </c>
      <c r="G22" s="36" t="s">
        <v>199</v>
      </c>
      <c r="H22" s="36" t="s">
        <v>989</v>
      </c>
      <c r="I22" s="36" t="s">
        <v>24</v>
      </c>
      <c r="J22" s="36" t="s">
        <v>42</v>
      </c>
      <c r="K22" s="36" t="s">
        <v>990</v>
      </c>
      <c r="L22" s="36" t="s">
        <v>200</v>
      </c>
      <c r="M22" s="36" t="s">
        <v>946</v>
      </c>
      <c r="N22" s="36" t="s">
        <v>921</v>
      </c>
      <c r="O22" s="36" t="s">
        <v>898</v>
      </c>
      <c r="P22" s="36" t="s">
        <v>927</v>
      </c>
      <c r="Q22" s="36" t="s">
        <v>896</v>
      </c>
      <c r="R22" s="36" t="s">
        <v>893</v>
      </c>
      <c r="S22" s="36" t="s">
        <v>87</v>
      </c>
    </row>
    <row r="23" spans="1:19" x14ac:dyDescent="0.3">
      <c r="A23" s="36" t="s">
        <v>201</v>
      </c>
      <c r="B23" s="36" t="s">
        <v>980</v>
      </c>
      <c r="C23" s="36" t="s">
        <v>991</v>
      </c>
      <c r="D23" s="36" t="s">
        <v>64</v>
      </c>
      <c r="E23" s="36" t="s">
        <v>46</v>
      </c>
      <c r="F23" s="36" t="s">
        <v>134</v>
      </c>
      <c r="G23" s="36" t="s">
        <v>188</v>
      </c>
      <c r="H23" s="36" t="s">
        <v>896</v>
      </c>
      <c r="I23" s="36" t="s">
        <v>24</v>
      </c>
      <c r="J23" s="36" t="s">
        <v>37</v>
      </c>
      <c r="K23" s="36" t="s">
        <v>992</v>
      </c>
      <c r="L23" s="36" t="s">
        <v>202</v>
      </c>
      <c r="M23" s="36" t="s">
        <v>906</v>
      </c>
      <c r="N23" s="36" t="s">
        <v>993</v>
      </c>
      <c r="O23" s="36" t="s">
        <v>908</v>
      </c>
      <c r="P23" s="36" t="s">
        <v>898</v>
      </c>
      <c r="Q23" s="36" t="s">
        <v>952</v>
      </c>
      <c r="R23" s="36" t="s">
        <v>986</v>
      </c>
      <c r="S23" s="36" t="s">
        <v>88</v>
      </c>
    </row>
    <row r="24" spans="1:19" x14ac:dyDescent="0.3">
      <c r="A24" s="36" t="s">
        <v>203</v>
      </c>
      <c r="B24" s="36" t="s">
        <v>994</v>
      </c>
      <c r="C24" s="36" t="s">
        <v>144</v>
      </c>
      <c r="D24" s="36" t="s">
        <v>70</v>
      </c>
      <c r="E24" s="36" t="s">
        <v>47</v>
      </c>
      <c r="F24" s="36" t="s">
        <v>138</v>
      </c>
      <c r="G24" s="36" t="s">
        <v>204</v>
      </c>
      <c r="H24" s="36"/>
      <c r="I24" s="36" t="s">
        <v>24</v>
      </c>
      <c r="J24" s="36" t="s">
        <v>42</v>
      </c>
      <c r="K24" s="36" t="s">
        <v>995</v>
      </c>
      <c r="L24" s="36"/>
      <c r="M24" s="36"/>
      <c r="N24" s="36" t="s">
        <v>890</v>
      </c>
      <c r="O24" s="36" t="s">
        <v>898</v>
      </c>
      <c r="P24" s="36" t="s">
        <v>927</v>
      </c>
      <c r="Q24" s="36" t="s">
        <v>952</v>
      </c>
      <c r="R24" s="36" t="s">
        <v>961</v>
      </c>
      <c r="S24" s="36" t="s">
        <v>87</v>
      </c>
    </row>
    <row r="25" spans="1:19" x14ac:dyDescent="0.3">
      <c r="A25" s="36" t="s">
        <v>205</v>
      </c>
      <c r="B25" s="36" t="s">
        <v>994</v>
      </c>
      <c r="C25" s="36"/>
      <c r="D25" s="36" t="s">
        <v>65</v>
      </c>
      <c r="E25" s="36" t="s">
        <v>46</v>
      </c>
      <c r="F25" s="36" t="s">
        <v>159</v>
      </c>
      <c r="G25" s="36" t="s">
        <v>142</v>
      </c>
      <c r="H25" s="36" t="s">
        <v>896</v>
      </c>
      <c r="I25" s="36" t="s">
        <v>29</v>
      </c>
      <c r="J25" s="36" t="s">
        <v>36</v>
      </c>
      <c r="K25" s="36" t="s">
        <v>996</v>
      </c>
      <c r="L25" s="36" t="s">
        <v>206</v>
      </c>
      <c r="M25" s="36" t="s">
        <v>946</v>
      </c>
      <c r="N25" s="36" t="s">
        <v>982</v>
      </c>
      <c r="O25" s="36" t="s">
        <v>890</v>
      </c>
      <c r="P25" s="36" t="s">
        <v>891</v>
      </c>
      <c r="Q25" s="36" t="s">
        <v>968</v>
      </c>
      <c r="R25" s="36" t="s">
        <v>924</v>
      </c>
      <c r="S25" s="36" t="s">
        <v>86</v>
      </c>
    </row>
    <row r="26" spans="1:19" x14ac:dyDescent="0.3">
      <c r="A26" s="36" t="s">
        <v>207</v>
      </c>
      <c r="B26" s="36" t="s">
        <v>988</v>
      </c>
      <c r="C26" s="36" t="s">
        <v>133</v>
      </c>
      <c r="D26" s="36" t="s">
        <v>65</v>
      </c>
      <c r="E26" s="36" t="s">
        <v>46</v>
      </c>
      <c r="F26" s="36"/>
      <c r="G26" s="36" t="s">
        <v>171</v>
      </c>
      <c r="H26" s="36" t="s">
        <v>997</v>
      </c>
      <c r="I26" s="36" t="s">
        <v>25</v>
      </c>
      <c r="J26" s="36" t="s">
        <v>38</v>
      </c>
      <c r="K26" s="36" t="s">
        <v>933</v>
      </c>
      <c r="L26" s="36" t="s">
        <v>208</v>
      </c>
      <c r="M26" s="36" t="s">
        <v>896</v>
      </c>
      <c r="N26" s="36" t="s">
        <v>941</v>
      </c>
      <c r="O26" s="36" t="s">
        <v>898</v>
      </c>
      <c r="P26" s="36" t="s">
        <v>916</v>
      </c>
      <c r="Q26" s="36" t="s">
        <v>898</v>
      </c>
      <c r="R26" s="36" t="s">
        <v>998</v>
      </c>
      <c r="S26" s="36" t="s">
        <v>88</v>
      </c>
    </row>
    <row r="27" spans="1:19" x14ac:dyDescent="0.3">
      <c r="A27" s="36" t="s">
        <v>209</v>
      </c>
      <c r="B27" s="36" t="s">
        <v>969</v>
      </c>
      <c r="C27" s="36" t="s">
        <v>144</v>
      </c>
      <c r="D27" s="36" t="s">
        <v>67</v>
      </c>
      <c r="E27" s="36" t="s">
        <v>47</v>
      </c>
      <c r="F27" s="36" t="s">
        <v>138</v>
      </c>
      <c r="G27" s="36" t="s">
        <v>210</v>
      </c>
      <c r="H27" s="36" t="s">
        <v>999</v>
      </c>
      <c r="I27" s="36" t="s">
        <v>24</v>
      </c>
      <c r="J27" s="36" t="s">
        <v>40</v>
      </c>
      <c r="K27" s="36" t="s">
        <v>1000</v>
      </c>
      <c r="L27" s="36" t="s">
        <v>211</v>
      </c>
      <c r="M27" s="36" t="s">
        <v>946</v>
      </c>
      <c r="N27" s="36" t="s">
        <v>890</v>
      </c>
      <c r="O27" s="36" t="s">
        <v>908</v>
      </c>
      <c r="P27" s="36" t="s">
        <v>898</v>
      </c>
      <c r="Q27" s="36" t="s">
        <v>1001</v>
      </c>
      <c r="R27" s="36" t="s">
        <v>1002</v>
      </c>
      <c r="S27" s="36" t="s">
        <v>86</v>
      </c>
    </row>
    <row r="28" spans="1:19" x14ac:dyDescent="0.3">
      <c r="A28" s="36" t="s">
        <v>212</v>
      </c>
      <c r="B28" s="36" t="s">
        <v>980</v>
      </c>
      <c r="C28" s="36" t="s">
        <v>991</v>
      </c>
      <c r="D28" s="36" t="s">
        <v>66</v>
      </c>
      <c r="E28" s="36" t="s">
        <v>46</v>
      </c>
      <c r="F28" s="36" t="s">
        <v>148</v>
      </c>
      <c r="G28" s="36" t="s">
        <v>142</v>
      </c>
      <c r="H28" s="36" t="s">
        <v>1003</v>
      </c>
      <c r="I28" s="36" t="s">
        <v>24</v>
      </c>
      <c r="J28" s="36" t="s">
        <v>36</v>
      </c>
      <c r="K28" s="36" t="s">
        <v>1004</v>
      </c>
      <c r="L28" s="36" t="s">
        <v>213</v>
      </c>
      <c r="M28" s="36" t="s">
        <v>946</v>
      </c>
      <c r="N28" s="36" t="s">
        <v>898</v>
      </c>
      <c r="O28" s="36" t="s">
        <v>890</v>
      </c>
      <c r="P28" s="36" t="s">
        <v>916</v>
      </c>
      <c r="Q28" s="36" t="s">
        <v>896</v>
      </c>
      <c r="R28" s="36" t="s">
        <v>936</v>
      </c>
      <c r="S28" s="36" t="s">
        <v>88</v>
      </c>
    </row>
    <row r="29" spans="1:19" x14ac:dyDescent="0.3">
      <c r="A29" s="36" t="s">
        <v>214</v>
      </c>
      <c r="B29" s="36" t="s">
        <v>969</v>
      </c>
      <c r="C29" s="36" t="s">
        <v>133</v>
      </c>
      <c r="D29" s="36" t="s">
        <v>66</v>
      </c>
      <c r="E29" s="36" t="s">
        <v>47</v>
      </c>
      <c r="F29" s="36" t="s">
        <v>138</v>
      </c>
      <c r="G29" s="36" t="s">
        <v>215</v>
      </c>
      <c r="H29" s="36" t="s">
        <v>1005</v>
      </c>
      <c r="I29" s="36" t="s">
        <v>26</v>
      </c>
      <c r="J29" s="36" t="s">
        <v>39</v>
      </c>
      <c r="K29" s="36" t="s">
        <v>1006</v>
      </c>
      <c r="L29" s="36" t="s">
        <v>216</v>
      </c>
      <c r="M29" s="36" t="s">
        <v>1007</v>
      </c>
      <c r="N29" s="36" t="s">
        <v>890</v>
      </c>
      <c r="O29" s="36" t="s">
        <v>898</v>
      </c>
      <c r="P29" s="36" t="s">
        <v>927</v>
      </c>
      <c r="Q29" s="36" t="s">
        <v>1008</v>
      </c>
      <c r="R29" s="36" t="s">
        <v>1009</v>
      </c>
      <c r="S29" s="36" t="s">
        <v>88</v>
      </c>
    </row>
    <row r="30" spans="1:19" x14ac:dyDescent="0.3">
      <c r="A30" s="36" t="s">
        <v>217</v>
      </c>
      <c r="B30" s="36" t="s">
        <v>1010</v>
      </c>
      <c r="C30" s="36" t="s">
        <v>912</v>
      </c>
      <c r="D30" s="36" t="s">
        <v>63</v>
      </c>
      <c r="E30" s="36" t="s">
        <v>46</v>
      </c>
      <c r="F30" s="36" t="s">
        <v>148</v>
      </c>
      <c r="G30" s="36" t="s">
        <v>149</v>
      </c>
      <c r="H30" s="36"/>
      <c r="I30" s="36" t="s">
        <v>24</v>
      </c>
      <c r="J30" s="36" t="s">
        <v>38</v>
      </c>
      <c r="K30" s="36" t="s">
        <v>929</v>
      </c>
      <c r="L30" s="36" t="s">
        <v>218</v>
      </c>
      <c r="M30" s="36" t="s">
        <v>896</v>
      </c>
      <c r="N30" s="36" t="s">
        <v>953</v>
      </c>
      <c r="O30" s="36" t="s">
        <v>898</v>
      </c>
      <c r="P30" s="36" t="s">
        <v>899</v>
      </c>
      <c r="Q30" s="36" t="s">
        <v>1011</v>
      </c>
      <c r="R30" s="36" t="s">
        <v>1012</v>
      </c>
      <c r="S30" s="36" t="s">
        <v>86</v>
      </c>
    </row>
    <row r="31" spans="1:19" x14ac:dyDescent="0.3">
      <c r="A31" s="36" t="s">
        <v>219</v>
      </c>
      <c r="B31" s="36"/>
      <c r="C31" s="36" t="s">
        <v>133</v>
      </c>
      <c r="D31" s="36" t="s">
        <v>68</v>
      </c>
      <c r="E31" s="36" t="s">
        <v>46</v>
      </c>
      <c r="F31" s="36"/>
      <c r="G31" s="36" t="s">
        <v>220</v>
      </c>
      <c r="H31" s="36" t="s">
        <v>896</v>
      </c>
      <c r="I31" s="36" t="s">
        <v>24</v>
      </c>
      <c r="J31" s="36" t="s">
        <v>39</v>
      </c>
      <c r="K31" s="36" t="s">
        <v>986</v>
      </c>
      <c r="L31" s="36" t="s">
        <v>221</v>
      </c>
      <c r="M31" s="36" t="s">
        <v>896</v>
      </c>
      <c r="N31" s="36" t="s">
        <v>998</v>
      </c>
      <c r="O31" s="36" t="s">
        <v>890</v>
      </c>
      <c r="P31" s="36" t="s">
        <v>961</v>
      </c>
      <c r="Q31" s="36" t="s">
        <v>1013</v>
      </c>
      <c r="R31" s="36" t="s">
        <v>968</v>
      </c>
      <c r="S31" s="36" t="s">
        <v>88</v>
      </c>
    </row>
    <row r="32" spans="1:19" x14ac:dyDescent="0.3">
      <c r="A32" s="36" t="s">
        <v>222</v>
      </c>
      <c r="B32" s="36" t="s">
        <v>980</v>
      </c>
      <c r="C32" s="36" t="s">
        <v>133</v>
      </c>
      <c r="D32" s="36" t="s">
        <v>68</v>
      </c>
      <c r="E32" s="36" t="s">
        <v>46</v>
      </c>
      <c r="F32" s="36" t="s">
        <v>148</v>
      </c>
      <c r="G32" s="36" t="s">
        <v>188</v>
      </c>
      <c r="H32" s="36" t="s">
        <v>1014</v>
      </c>
      <c r="I32" s="36" t="s">
        <v>24</v>
      </c>
      <c r="J32" s="36" t="s">
        <v>37</v>
      </c>
      <c r="K32" s="36" t="s">
        <v>909</v>
      </c>
      <c r="L32" s="36" t="s">
        <v>223</v>
      </c>
      <c r="M32" s="36" t="s">
        <v>896</v>
      </c>
      <c r="N32" s="36" t="s">
        <v>910</v>
      </c>
      <c r="O32" s="36"/>
      <c r="P32" s="36" t="s">
        <v>891</v>
      </c>
      <c r="Q32" s="36" t="s">
        <v>1015</v>
      </c>
      <c r="R32" s="36" t="s">
        <v>891</v>
      </c>
      <c r="S32" s="36" t="s">
        <v>86</v>
      </c>
    </row>
    <row r="33" spans="1:19" x14ac:dyDescent="0.3">
      <c r="A33" s="36" t="s">
        <v>224</v>
      </c>
      <c r="B33" s="36" t="s">
        <v>1016</v>
      </c>
      <c r="C33" s="36" t="s">
        <v>144</v>
      </c>
      <c r="D33" s="36" t="s">
        <v>191</v>
      </c>
      <c r="E33" s="36" t="s">
        <v>47</v>
      </c>
      <c r="F33" s="36" t="s">
        <v>138</v>
      </c>
      <c r="G33" s="36" t="s">
        <v>168</v>
      </c>
      <c r="H33" s="36" t="s">
        <v>1017</v>
      </c>
      <c r="I33" s="36" t="s">
        <v>31</v>
      </c>
      <c r="J33" s="36"/>
      <c r="K33" s="36" t="s">
        <v>982</v>
      </c>
      <c r="L33" s="36" t="s">
        <v>225</v>
      </c>
      <c r="M33" s="36" t="s">
        <v>1007</v>
      </c>
      <c r="N33" s="36" t="s">
        <v>1018</v>
      </c>
      <c r="O33" s="36" t="s">
        <v>916</v>
      </c>
      <c r="P33" s="36" t="s">
        <v>927</v>
      </c>
      <c r="Q33" s="36" t="s">
        <v>895</v>
      </c>
      <c r="R33" s="36" t="s">
        <v>966</v>
      </c>
      <c r="S33" s="36" t="s">
        <v>86</v>
      </c>
    </row>
    <row r="34" spans="1:19" x14ac:dyDescent="0.3">
      <c r="A34" s="36" t="s">
        <v>226</v>
      </c>
      <c r="B34" s="36" t="s">
        <v>980</v>
      </c>
      <c r="C34" s="36" t="s">
        <v>133</v>
      </c>
      <c r="D34" s="36" t="s">
        <v>69</v>
      </c>
      <c r="E34" s="36" t="s">
        <v>47</v>
      </c>
      <c r="F34" s="36" t="s">
        <v>194</v>
      </c>
      <c r="G34" s="36" t="s">
        <v>227</v>
      </c>
      <c r="H34" s="36" t="s">
        <v>1019</v>
      </c>
      <c r="I34" s="36" t="s">
        <v>24</v>
      </c>
      <c r="J34" s="36" t="s">
        <v>39</v>
      </c>
      <c r="K34" s="36" t="s">
        <v>959</v>
      </c>
      <c r="L34" s="36" t="s">
        <v>228</v>
      </c>
      <c r="M34" s="36" t="s">
        <v>906</v>
      </c>
      <c r="N34" s="36" t="s">
        <v>892</v>
      </c>
      <c r="O34" s="36" t="s">
        <v>908</v>
      </c>
      <c r="P34" s="36" t="s">
        <v>916</v>
      </c>
      <c r="Q34" s="36" t="s">
        <v>1020</v>
      </c>
      <c r="R34" s="36" t="s">
        <v>1021</v>
      </c>
      <c r="S34" s="36" t="s">
        <v>88</v>
      </c>
    </row>
    <row r="35" spans="1:19" x14ac:dyDescent="0.3">
      <c r="A35" s="36" t="s">
        <v>229</v>
      </c>
      <c r="B35" s="36" t="s">
        <v>980</v>
      </c>
      <c r="C35" s="36" t="s">
        <v>133</v>
      </c>
      <c r="D35" s="36" t="s">
        <v>61</v>
      </c>
      <c r="E35" s="36" t="s">
        <v>46</v>
      </c>
      <c r="F35" s="36" t="s">
        <v>1022</v>
      </c>
      <c r="G35" s="36" t="s">
        <v>230</v>
      </c>
      <c r="H35" s="36" t="s">
        <v>1023</v>
      </c>
      <c r="I35" s="36"/>
      <c r="J35" s="36" t="s">
        <v>38</v>
      </c>
      <c r="K35" s="36" t="s">
        <v>986</v>
      </c>
      <c r="L35" s="36" t="s">
        <v>231</v>
      </c>
      <c r="M35" s="36" t="s">
        <v>896</v>
      </c>
      <c r="N35" s="36" t="s">
        <v>1009</v>
      </c>
      <c r="O35" s="36" t="s">
        <v>890</v>
      </c>
      <c r="P35" s="36" t="s">
        <v>899</v>
      </c>
      <c r="Q35" s="36" t="s">
        <v>1012</v>
      </c>
      <c r="R35" s="36" t="s">
        <v>966</v>
      </c>
      <c r="S35" s="36" t="s">
        <v>86</v>
      </c>
    </row>
    <row r="36" spans="1:19" x14ac:dyDescent="0.3">
      <c r="A36" s="36" t="s">
        <v>232</v>
      </c>
      <c r="B36" s="36" t="s">
        <v>954</v>
      </c>
      <c r="C36" s="36" t="s">
        <v>133</v>
      </c>
      <c r="D36" s="36" t="s">
        <v>63</v>
      </c>
      <c r="E36" s="36" t="s">
        <v>46</v>
      </c>
      <c r="F36" s="36" t="s">
        <v>148</v>
      </c>
      <c r="G36" s="36" t="s">
        <v>171</v>
      </c>
      <c r="H36" s="36" t="s">
        <v>1024</v>
      </c>
      <c r="I36" s="36" t="s">
        <v>28</v>
      </c>
      <c r="J36" s="36" t="s">
        <v>38</v>
      </c>
      <c r="K36" s="36" t="s">
        <v>1025</v>
      </c>
      <c r="L36" s="36" t="s">
        <v>233</v>
      </c>
      <c r="M36" s="36" t="s">
        <v>896</v>
      </c>
      <c r="N36" s="36" t="s">
        <v>1018</v>
      </c>
      <c r="O36" s="36" t="s">
        <v>898</v>
      </c>
      <c r="P36" s="36" t="s">
        <v>890</v>
      </c>
      <c r="Q36" s="36" t="s">
        <v>908</v>
      </c>
      <c r="R36" s="36" t="s">
        <v>921</v>
      </c>
      <c r="S36" s="36" t="s">
        <v>86</v>
      </c>
    </row>
    <row r="37" spans="1:19" x14ac:dyDescent="0.3">
      <c r="A37" s="36" t="s">
        <v>234</v>
      </c>
      <c r="B37" s="36" t="s">
        <v>1026</v>
      </c>
      <c r="C37" s="36" t="s">
        <v>133</v>
      </c>
      <c r="D37" s="36" t="s">
        <v>67</v>
      </c>
      <c r="E37" s="36" t="s">
        <v>46</v>
      </c>
      <c r="F37" s="36" t="s">
        <v>148</v>
      </c>
      <c r="G37" s="36" t="s">
        <v>235</v>
      </c>
      <c r="H37" s="36" t="s">
        <v>896</v>
      </c>
      <c r="I37" s="36" t="s">
        <v>25</v>
      </c>
      <c r="J37" s="36" t="s">
        <v>38</v>
      </c>
      <c r="K37" s="36" t="s">
        <v>1000</v>
      </c>
      <c r="L37" s="36"/>
      <c r="M37" s="36" t="s">
        <v>896</v>
      </c>
      <c r="N37" s="36" t="s">
        <v>1027</v>
      </c>
      <c r="O37" s="36" t="s">
        <v>890</v>
      </c>
      <c r="P37" s="36" t="s">
        <v>916</v>
      </c>
      <c r="Q37" s="36" t="s">
        <v>1028</v>
      </c>
      <c r="R37" s="36" t="s">
        <v>907</v>
      </c>
      <c r="S37" s="36" t="s">
        <v>86</v>
      </c>
    </row>
    <row r="38" spans="1:19" x14ac:dyDescent="0.3">
      <c r="A38" s="36" t="s">
        <v>236</v>
      </c>
      <c r="B38" s="36" t="s">
        <v>938</v>
      </c>
      <c r="C38" s="36" t="s">
        <v>1029</v>
      </c>
      <c r="D38" s="36"/>
      <c r="E38" s="36" t="s">
        <v>46</v>
      </c>
      <c r="F38" s="36" t="s">
        <v>148</v>
      </c>
      <c r="G38" s="36"/>
      <c r="H38" s="36" t="s">
        <v>1030</v>
      </c>
      <c r="I38" s="36" t="s">
        <v>28</v>
      </c>
      <c r="J38" s="36" t="s">
        <v>39</v>
      </c>
      <c r="K38" s="36" t="s">
        <v>1025</v>
      </c>
      <c r="L38" s="36" t="s">
        <v>237</v>
      </c>
      <c r="M38" s="36" t="s">
        <v>896</v>
      </c>
      <c r="N38" s="36" t="s">
        <v>1031</v>
      </c>
      <c r="O38" s="36" t="s">
        <v>898</v>
      </c>
      <c r="P38" s="36" t="s">
        <v>916</v>
      </c>
      <c r="Q38" s="36" t="s">
        <v>898</v>
      </c>
      <c r="R38" s="36" t="s">
        <v>986</v>
      </c>
      <c r="S38" s="36" t="s">
        <v>87</v>
      </c>
    </row>
    <row r="39" spans="1:19" x14ac:dyDescent="0.3">
      <c r="A39" s="36" t="s">
        <v>238</v>
      </c>
      <c r="B39" s="36" t="s">
        <v>1032</v>
      </c>
      <c r="C39" s="36" t="s">
        <v>133</v>
      </c>
      <c r="D39" s="36" t="s">
        <v>64</v>
      </c>
      <c r="E39" s="36" t="s">
        <v>47</v>
      </c>
      <c r="F39" s="36" t="s">
        <v>134</v>
      </c>
      <c r="G39" s="36" t="s">
        <v>239</v>
      </c>
      <c r="H39" s="36" t="s">
        <v>1033</v>
      </c>
      <c r="I39" s="36"/>
      <c r="J39" s="36" t="s">
        <v>36</v>
      </c>
      <c r="K39" s="36" t="s">
        <v>926</v>
      </c>
      <c r="L39" s="36" t="s">
        <v>240</v>
      </c>
      <c r="M39" s="36" t="s">
        <v>1007</v>
      </c>
      <c r="N39" s="36" t="s">
        <v>889</v>
      </c>
      <c r="O39" s="36" t="s">
        <v>898</v>
      </c>
      <c r="P39" s="36" t="s">
        <v>916</v>
      </c>
      <c r="Q39" s="36" t="s">
        <v>889</v>
      </c>
      <c r="R39" s="36" t="s">
        <v>917</v>
      </c>
      <c r="S39" s="36" t="s">
        <v>87</v>
      </c>
    </row>
    <row r="40" spans="1:19" x14ac:dyDescent="0.3">
      <c r="A40" s="36" t="s">
        <v>241</v>
      </c>
      <c r="B40" s="36" t="s">
        <v>886</v>
      </c>
      <c r="C40" s="36"/>
      <c r="D40" s="36" t="s">
        <v>61</v>
      </c>
      <c r="E40" s="36" t="s">
        <v>47</v>
      </c>
      <c r="F40" s="36" t="s">
        <v>134</v>
      </c>
      <c r="G40" s="36" t="s">
        <v>242</v>
      </c>
      <c r="H40" s="36" t="s">
        <v>1034</v>
      </c>
      <c r="I40" s="36" t="s">
        <v>28</v>
      </c>
      <c r="J40" s="36" t="s">
        <v>41</v>
      </c>
      <c r="K40" s="36" t="s">
        <v>1035</v>
      </c>
      <c r="L40" s="36" t="s">
        <v>243</v>
      </c>
      <c r="M40" s="36" t="s">
        <v>946</v>
      </c>
      <c r="N40" s="36"/>
      <c r="O40" s="36" t="s">
        <v>890</v>
      </c>
      <c r="P40" s="36" t="s">
        <v>961</v>
      </c>
      <c r="Q40" s="36" t="s">
        <v>936</v>
      </c>
      <c r="R40" s="36" t="s">
        <v>947</v>
      </c>
      <c r="S40" s="36" t="s">
        <v>86</v>
      </c>
    </row>
    <row r="41" spans="1:19" x14ac:dyDescent="0.3">
      <c r="A41" s="36" t="s">
        <v>244</v>
      </c>
      <c r="B41" s="36" t="s">
        <v>1036</v>
      </c>
      <c r="C41" s="36" t="s">
        <v>133</v>
      </c>
      <c r="D41" s="36" t="s">
        <v>66</v>
      </c>
      <c r="E41" s="36" t="s">
        <v>47</v>
      </c>
      <c r="F41" s="36" t="s">
        <v>245</v>
      </c>
      <c r="G41" s="36" t="s">
        <v>246</v>
      </c>
      <c r="H41" s="36"/>
      <c r="I41" s="36" t="s">
        <v>24</v>
      </c>
      <c r="J41" s="36" t="s">
        <v>36</v>
      </c>
      <c r="K41" s="36" t="s">
        <v>1004</v>
      </c>
      <c r="L41" s="36" t="s">
        <v>247</v>
      </c>
      <c r="M41" s="36" t="s">
        <v>906</v>
      </c>
      <c r="N41" s="36" t="s">
        <v>890</v>
      </c>
      <c r="O41" s="36" t="s">
        <v>908</v>
      </c>
      <c r="P41" s="36" t="s">
        <v>916</v>
      </c>
      <c r="Q41" s="36" t="s">
        <v>896</v>
      </c>
      <c r="R41" s="36" t="s">
        <v>1037</v>
      </c>
      <c r="S41" s="36" t="s">
        <v>87</v>
      </c>
    </row>
    <row r="42" spans="1:19" x14ac:dyDescent="0.3">
      <c r="A42" s="36" t="s">
        <v>248</v>
      </c>
      <c r="B42" s="36" t="s">
        <v>994</v>
      </c>
      <c r="C42" s="36" t="s">
        <v>133</v>
      </c>
      <c r="D42" s="36" t="s">
        <v>62</v>
      </c>
      <c r="E42" s="36" t="s">
        <v>47</v>
      </c>
      <c r="F42" s="36" t="s">
        <v>138</v>
      </c>
      <c r="G42" s="36" t="s">
        <v>249</v>
      </c>
      <c r="H42" s="36" t="s">
        <v>1038</v>
      </c>
      <c r="I42" s="36" t="s">
        <v>904</v>
      </c>
      <c r="J42" s="36" t="s">
        <v>37</v>
      </c>
      <c r="K42" s="36" t="s">
        <v>1000</v>
      </c>
      <c r="L42" s="36" t="s">
        <v>250</v>
      </c>
      <c r="M42" s="36" t="s">
        <v>896</v>
      </c>
      <c r="N42" s="36" t="s">
        <v>892</v>
      </c>
      <c r="O42" s="36" t="s">
        <v>890</v>
      </c>
      <c r="P42" s="36" t="s">
        <v>916</v>
      </c>
      <c r="Q42" s="36" t="s">
        <v>909</v>
      </c>
      <c r="R42" s="36" t="s">
        <v>910</v>
      </c>
      <c r="S42" s="36"/>
    </row>
    <row r="43" spans="1:19" x14ac:dyDescent="0.3">
      <c r="A43" s="36" t="s">
        <v>251</v>
      </c>
      <c r="B43" s="36" t="s">
        <v>949</v>
      </c>
      <c r="C43" s="36" t="s">
        <v>991</v>
      </c>
      <c r="D43" s="36" t="s">
        <v>64</v>
      </c>
      <c r="E43" s="36" t="s">
        <v>47</v>
      </c>
      <c r="F43" s="36" t="s">
        <v>134</v>
      </c>
      <c r="G43" s="36" t="s">
        <v>252</v>
      </c>
      <c r="H43" s="36" t="s">
        <v>1039</v>
      </c>
      <c r="I43" s="36" t="s">
        <v>24</v>
      </c>
      <c r="J43" s="36" t="s">
        <v>36</v>
      </c>
      <c r="K43" s="36" t="s">
        <v>982</v>
      </c>
      <c r="L43" s="36" t="s">
        <v>253</v>
      </c>
      <c r="M43" s="36" t="s">
        <v>896</v>
      </c>
      <c r="N43" s="36" t="s">
        <v>895</v>
      </c>
      <c r="O43" s="36" t="s">
        <v>908</v>
      </c>
      <c r="P43" s="36" t="s">
        <v>916</v>
      </c>
      <c r="Q43" s="36" t="s">
        <v>965</v>
      </c>
      <c r="R43" s="36" t="s">
        <v>1037</v>
      </c>
      <c r="S43" s="36" t="s">
        <v>87</v>
      </c>
    </row>
    <row r="44" spans="1:19" x14ac:dyDescent="0.3">
      <c r="A44" s="36" t="s">
        <v>254</v>
      </c>
      <c r="B44" s="36" t="s">
        <v>988</v>
      </c>
      <c r="C44" s="36" t="s">
        <v>144</v>
      </c>
      <c r="D44" s="36" t="s">
        <v>61</v>
      </c>
      <c r="E44" s="36" t="s">
        <v>47</v>
      </c>
      <c r="F44" s="36" t="s">
        <v>1040</v>
      </c>
      <c r="G44" s="36" t="s">
        <v>174</v>
      </c>
      <c r="H44" s="36" t="s">
        <v>1041</v>
      </c>
      <c r="I44" s="36" t="s">
        <v>29</v>
      </c>
      <c r="J44" s="36" t="s">
        <v>36</v>
      </c>
      <c r="K44" s="36" t="s">
        <v>1004</v>
      </c>
      <c r="L44" s="36" t="s">
        <v>255</v>
      </c>
      <c r="M44" s="36" t="s">
        <v>896</v>
      </c>
      <c r="N44" s="36" t="s">
        <v>1008</v>
      </c>
      <c r="O44" s="36" t="s">
        <v>890</v>
      </c>
      <c r="P44" s="36" t="s">
        <v>891</v>
      </c>
      <c r="Q44" s="36" t="s">
        <v>1000</v>
      </c>
      <c r="R44" s="36" t="s">
        <v>1042</v>
      </c>
      <c r="S44" s="36" t="s">
        <v>86</v>
      </c>
    </row>
    <row r="45" spans="1:19" x14ac:dyDescent="0.3">
      <c r="A45" s="36" t="s">
        <v>256</v>
      </c>
      <c r="B45" s="36" t="s">
        <v>902</v>
      </c>
      <c r="C45" s="36"/>
      <c r="D45" s="36" t="s">
        <v>66</v>
      </c>
      <c r="E45" s="36" t="s">
        <v>46</v>
      </c>
      <c r="F45" s="36" t="s">
        <v>148</v>
      </c>
      <c r="G45" s="36"/>
      <c r="H45" s="36" t="s">
        <v>1043</v>
      </c>
      <c r="I45" s="36" t="s">
        <v>24</v>
      </c>
      <c r="J45" s="36" t="s">
        <v>38</v>
      </c>
      <c r="K45" s="36" t="s">
        <v>1044</v>
      </c>
      <c r="L45" s="36" t="s">
        <v>257</v>
      </c>
      <c r="M45" s="36" t="s">
        <v>896</v>
      </c>
      <c r="N45" s="36" t="s">
        <v>1045</v>
      </c>
      <c r="O45" s="36" t="s">
        <v>916</v>
      </c>
      <c r="P45" s="36" t="s">
        <v>899</v>
      </c>
      <c r="Q45" s="36" t="s">
        <v>900</v>
      </c>
      <c r="R45" s="36" t="s">
        <v>998</v>
      </c>
      <c r="S45" s="36" t="s">
        <v>86</v>
      </c>
    </row>
    <row r="46" spans="1:19" x14ac:dyDescent="0.3">
      <c r="A46" s="36" t="s">
        <v>258</v>
      </c>
      <c r="B46" s="36" t="s">
        <v>906</v>
      </c>
      <c r="C46" s="36" t="s">
        <v>943</v>
      </c>
      <c r="D46" s="36" t="s">
        <v>61</v>
      </c>
      <c r="E46" s="36" t="s">
        <v>46</v>
      </c>
      <c r="F46" s="36" t="s">
        <v>159</v>
      </c>
      <c r="G46" s="36" t="s">
        <v>142</v>
      </c>
      <c r="H46" s="36" t="s">
        <v>1046</v>
      </c>
      <c r="I46" s="36" t="s">
        <v>25</v>
      </c>
      <c r="J46" s="36" t="s">
        <v>36</v>
      </c>
      <c r="K46" s="36" t="s">
        <v>1047</v>
      </c>
      <c r="L46" s="36" t="s">
        <v>259</v>
      </c>
      <c r="M46" s="36" t="s">
        <v>906</v>
      </c>
      <c r="N46" s="36" t="s">
        <v>1035</v>
      </c>
      <c r="O46" s="36" t="s">
        <v>898</v>
      </c>
      <c r="P46" s="36" t="s">
        <v>916</v>
      </c>
      <c r="Q46" s="36" t="s">
        <v>893</v>
      </c>
      <c r="R46" s="36" t="s">
        <v>971</v>
      </c>
      <c r="S46" s="36" t="s">
        <v>86</v>
      </c>
    </row>
    <row r="47" spans="1:19" x14ac:dyDescent="0.3">
      <c r="A47" s="36" t="s">
        <v>260</v>
      </c>
      <c r="B47" s="36" t="s">
        <v>1016</v>
      </c>
      <c r="C47" s="36" t="s">
        <v>144</v>
      </c>
      <c r="D47" s="36" t="s">
        <v>69</v>
      </c>
      <c r="E47" s="36" t="s">
        <v>47</v>
      </c>
      <c r="F47" s="36" t="s">
        <v>134</v>
      </c>
      <c r="G47" s="36" t="s">
        <v>261</v>
      </c>
      <c r="H47" s="36" t="s">
        <v>1048</v>
      </c>
      <c r="I47" s="36" t="s">
        <v>26</v>
      </c>
      <c r="J47" s="36" t="s">
        <v>39</v>
      </c>
      <c r="K47" s="36" t="s">
        <v>990</v>
      </c>
      <c r="L47" s="36" t="s">
        <v>262</v>
      </c>
      <c r="M47" s="36" t="s">
        <v>946</v>
      </c>
      <c r="N47" s="36" t="s">
        <v>1049</v>
      </c>
      <c r="O47" s="36" t="s">
        <v>898</v>
      </c>
      <c r="P47" s="36" t="s">
        <v>890</v>
      </c>
      <c r="Q47" s="36" t="s">
        <v>933</v>
      </c>
      <c r="R47" s="36" t="s">
        <v>1050</v>
      </c>
      <c r="S47" s="36" t="s">
        <v>88</v>
      </c>
    </row>
    <row r="48" spans="1:19" x14ac:dyDescent="0.3">
      <c r="A48" s="36" t="s">
        <v>263</v>
      </c>
      <c r="B48" s="36" t="s">
        <v>962</v>
      </c>
      <c r="C48" s="36" t="s">
        <v>133</v>
      </c>
      <c r="D48" s="36" t="s">
        <v>65</v>
      </c>
      <c r="E48" s="36" t="s">
        <v>46</v>
      </c>
      <c r="F48" s="36" t="s">
        <v>134</v>
      </c>
      <c r="G48" s="36" t="s">
        <v>264</v>
      </c>
      <c r="H48" s="36" t="s">
        <v>1046</v>
      </c>
      <c r="I48" s="36" t="s">
        <v>1051</v>
      </c>
      <c r="J48" s="36" t="s">
        <v>36</v>
      </c>
      <c r="K48" s="36" t="s">
        <v>1052</v>
      </c>
      <c r="L48" s="36" t="s">
        <v>265</v>
      </c>
      <c r="M48" s="36" t="s">
        <v>886</v>
      </c>
      <c r="N48" s="36" t="s">
        <v>936</v>
      </c>
      <c r="O48" s="36" t="s">
        <v>898</v>
      </c>
      <c r="P48" s="36" t="s">
        <v>961</v>
      </c>
      <c r="Q48" s="36" t="s">
        <v>1053</v>
      </c>
      <c r="R48" s="36" t="s">
        <v>986</v>
      </c>
      <c r="S48" s="36" t="s">
        <v>86</v>
      </c>
    </row>
    <row r="49" spans="1:19" x14ac:dyDescent="0.3">
      <c r="A49" s="36" t="s">
        <v>266</v>
      </c>
      <c r="B49" s="36" t="s">
        <v>1054</v>
      </c>
      <c r="C49" s="36" t="s">
        <v>144</v>
      </c>
      <c r="D49" s="36" t="s">
        <v>62</v>
      </c>
      <c r="E49" s="36" t="s">
        <v>47</v>
      </c>
      <c r="F49" s="36" t="s">
        <v>134</v>
      </c>
      <c r="G49" s="36" t="s">
        <v>267</v>
      </c>
      <c r="H49" s="36" t="s">
        <v>1055</v>
      </c>
      <c r="I49" s="36" t="s">
        <v>24</v>
      </c>
      <c r="J49" s="36" t="s">
        <v>37</v>
      </c>
      <c r="K49" s="36" t="s">
        <v>961</v>
      </c>
      <c r="L49" s="36" t="s">
        <v>268</v>
      </c>
      <c r="M49" s="36" t="s">
        <v>896</v>
      </c>
      <c r="N49" s="36" t="s">
        <v>893</v>
      </c>
      <c r="O49" s="36" t="s">
        <v>908</v>
      </c>
      <c r="P49" s="36" t="s">
        <v>891</v>
      </c>
      <c r="Q49" s="36" t="s">
        <v>1056</v>
      </c>
      <c r="R49" s="36" t="s">
        <v>929</v>
      </c>
      <c r="S49" s="36" t="s">
        <v>86</v>
      </c>
    </row>
    <row r="50" spans="1:19" x14ac:dyDescent="0.3">
      <c r="A50" s="36" t="s">
        <v>269</v>
      </c>
      <c r="B50" s="36" t="s">
        <v>1026</v>
      </c>
      <c r="C50" s="36" t="s">
        <v>133</v>
      </c>
      <c r="D50" s="36" t="s">
        <v>67</v>
      </c>
      <c r="E50" s="36" t="s">
        <v>46</v>
      </c>
      <c r="F50" s="36" t="s">
        <v>159</v>
      </c>
      <c r="G50" s="36" t="s">
        <v>188</v>
      </c>
      <c r="H50" s="36" t="s">
        <v>1057</v>
      </c>
      <c r="I50" s="36" t="s">
        <v>28</v>
      </c>
      <c r="J50" s="36" t="s">
        <v>37</v>
      </c>
      <c r="K50" s="36"/>
      <c r="L50" s="36" t="s">
        <v>270</v>
      </c>
      <c r="M50" s="36" t="s">
        <v>896</v>
      </c>
      <c r="N50" s="36" t="s">
        <v>966</v>
      </c>
      <c r="O50" s="36" t="s">
        <v>908</v>
      </c>
      <c r="P50" s="36" t="s">
        <v>927</v>
      </c>
      <c r="Q50" s="36" t="s">
        <v>998</v>
      </c>
      <c r="R50" s="36" t="s">
        <v>998</v>
      </c>
      <c r="S50" s="36" t="s">
        <v>87</v>
      </c>
    </row>
    <row r="51" spans="1:19" x14ac:dyDescent="0.3">
      <c r="A51" s="36" t="s">
        <v>271</v>
      </c>
      <c r="B51" s="36"/>
      <c r="C51" s="36" t="s">
        <v>144</v>
      </c>
      <c r="D51" s="36" t="s">
        <v>67</v>
      </c>
      <c r="E51" s="36" t="s">
        <v>46</v>
      </c>
      <c r="F51" s="36" t="s">
        <v>138</v>
      </c>
      <c r="G51" s="36"/>
      <c r="H51" s="36" t="s">
        <v>1058</v>
      </c>
      <c r="I51" s="36" t="s">
        <v>24</v>
      </c>
      <c r="J51" s="36" t="s">
        <v>39</v>
      </c>
      <c r="K51" s="36" t="s">
        <v>1021</v>
      </c>
      <c r="L51" s="36" t="s">
        <v>272</v>
      </c>
      <c r="M51" s="36"/>
      <c r="N51" s="36" t="s">
        <v>1059</v>
      </c>
      <c r="O51" s="36" t="s">
        <v>916</v>
      </c>
      <c r="P51" s="36" t="s">
        <v>946</v>
      </c>
      <c r="Q51" s="36" t="s">
        <v>1060</v>
      </c>
      <c r="R51" s="36" t="s">
        <v>1012</v>
      </c>
      <c r="S51" s="36" t="s">
        <v>86</v>
      </c>
    </row>
    <row r="52" spans="1:19" x14ac:dyDescent="0.3">
      <c r="A52" s="36" t="s">
        <v>273</v>
      </c>
      <c r="B52" s="36" t="s">
        <v>930</v>
      </c>
      <c r="C52" s="36" t="s">
        <v>943</v>
      </c>
      <c r="D52" s="36" t="s">
        <v>69</v>
      </c>
      <c r="E52" s="36" t="s">
        <v>47</v>
      </c>
      <c r="F52" s="36" t="s">
        <v>159</v>
      </c>
      <c r="G52" s="36" t="s">
        <v>274</v>
      </c>
      <c r="H52" s="36" t="s">
        <v>1061</v>
      </c>
      <c r="I52" s="36" t="s">
        <v>27</v>
      </c>
      <c r="J52" s="36" t="s">
        <v>40</v>
      </c>
      <c r="K52" s="36" t="s">
        <v>1062</v>
      </c>
      <c r="L52" s="36" t="s">
        <v>275</v>
      </c>
      <c r="M52" s="36" t="s">
        <v>906</v>
      </c>
      <c r="N52" s="36" t="s">
        <v>1027</v>
      </c>
      <c r="O52" s="36" t="s">
        <v>890</v>
      </c>
      <c r="P52" s="36" t="s">
        <v>916</v>
      </c>
      <c r="Q52" s="36" t="s">
        <v>907</v>
      </c>
      <c r="R52" s="36" t="s">
        <v>977</v>
      </c>
      <c r="S52" s="36" t="s">
        <v>87</v>
      </c>
    </row>
    <row r="53" spans="1:19" x14ac:dyDescent="0.3">
      <c r="A53" s="36" t="s">
        <v>276</v>
      </c>
      <c r="B53" s="36" t="s">
        <v>1016</v>
      </c>
      <c r="C53" s="36" t="s">
        <v>1063</v>
      </c>
      <c r="D53" s="36" t="s">
        <v>155</v>
      </c>
      <c r="E53" s="36" t="s">
        <v>47</v>
      </c>
      <c r="F53" s="36" t="s">
        <v>138</v>
      </c>
      <c r="G53" s="36" t="s">
        <v>278</v>
      </c>
      <c r="H53" s="36" t="s">
        <v>1064</v>
      </c>
      <c r="I53" s="36" t="s">
        <v>24</v>
      </c>
      <c r="J53" s="36" t="s">
        <v>40</v>
      </c>
      <c r="K53" s="36" t="s">
        <v>1065</v>
      </c>
      <c r="L53" s="36" t="s">
        <v>279</v>
      </c>
      <c r="M53" s="36" t="s">
        <v>896</v>
      </c>
      <c r="N53" s="36" t="s">
        <v>916</v>
      </c>
      <c r="O53" s="36" t="s">
        <v>890</v>
      </c>
      <c r="P53" s="36"/>
      <c r="Q53" s="36" t="s">
        <v>993</v>
      </c>
      <c r="R53" s="36" t="s">
        <v>1013</v>
      </c>
      <c r="S53" s="36" t="s">
        <v>86</v>
      </c>
    </row>
    <row r="54" spans="1:19" x14ac:dyDescent="0.3">
      <c r="A54" s="36" t="s">
        <v>280</v>
      </c>
      <c r="B54" s="36"/>
      <c r="C54" s="36" t="s">
        <v>1066</v>
      </c>
      <c r="D54" s="36" t="s">
        <v>64</v>
      </c>
      <c r="E54" s="36" t="s">
        <v>46</v>
      </c>
      <c r="F54" s="36" t="s">
        <v>148</v>
      </c>
      <c r="G54" s="36" t="s">
        <v>188</v>
      </c>
      <c r="H54" s="36" t="s">
        <v>1067</v>
      </c>
      <c r="I54" s="36" t="s">
        <v>24</v>
      </c>
      <c r="J54" s="36" t="s">
        <v>37</v>
      </c>
      <c r="K54" s="36" t="s">
        <v>933</v>
      </c>
      <c r="L54" s="36" t="s">
        <v>281</v>
      </c>
      <c r="M54" s="36" t="s">
        <v>1068</v>
      </c>
      <c r="N54" s="36" t="s">
        <v>965</v>
      </c>
      <c r="O54" s="36" t="s">
        <v>890</v>
      </c>
      <c r="P54" s="36" t="s">
        <v>891</v>
      </c>
      <c r="Q54" s="36"/>
      <c r="R54" s="36" t="s">
        <v>895</v>
      </c>
      <c r="S54" s="36" t="s">
        <v>86</v>
      </c>
    </row>
    <row r="55" spans="1:19" x14ac:dyDescent="0.3">
      <c r="A55" s="36" t="s">
        <v>282</v>
      </c>
      <c r="B55" s="36" t="s">
        <v>1069</v>
      </c>
      <c r="C55" s="36"/>
      <c r="D55" s="36" t="s">
        <v>69</v>
      </c>
      <c r="E55" s="36" t="s">
        <v>46</v>
      </c>
      <c r="F55" s="36" t="s">
        <v>159</v>
      </c>
      <c r="G55" s="36" t="s">
        <v>142</v>
      </c>
      <c r="H55" s="36" t="s">
        <v>896</v>
      </c>
      <c r="I55" s="36" t="s">
        <v>24</v>
      </c>
      <c r="J55" s="36" t="s">
        <v>36</v>
      </c>
      <c r="K55" s="36" t="s">
        <v>1004</v>
      </c>
      <c r="L55" s="36" t="s">
        <v>283</v>
      </c>
      <c r="M55" s="36" t="s">
        <v>896</v>
      </c>
      <c r="N55" s="36" t="s">
        <v>907</v>
      </c>
      <c r="O55" s="36" t="s">
        <v>908</v>
      </c>
      <c r="P55" s="36" t="s">
        <v>916</v>
      </c>
      <c r="Q55" s="36" t="s">
        <v>1065</v>
      </c>
      <c r="R55" s="36" t="s">
        <v>1070</v>
      </c>
      <c r="S55" s="36" t="s">
        <v>86</v>
      </c>
    </row>
    <row r="56" spans="1:19" x14ac:dyDescent="0.3">
      <c r="A56" s="36" t="s">
        <v>284</v>
      </c>
      <c r="B56" s="36" t="s">
        <v>1071</v>
      </c>
      <c r="C56" s="36" t="s">
        <v>1029</v>
      </c>
      <c r="D56" s="36" t="s">
        <v>68</v>
      </c>
      <c r="E56" s="36" t="s">
        <v>47</v>
      </c>
      <c r="F56" s="36" t="s">
        <v>194</v>
      </c>
      <c r="G56" s="36" t="s">
        <v>285</v>
      </c>
      <c r="H56" s="36" t="s">
        <v>1072</v>
      </c>
      <c r="I56" s="36" t="s">
        <v>24</v>
      </c>
      <c r="J56" s="36" t="s">
        <v>37</v>
      </c>
      <c r="K56" s="36" t="s">
        <v>1025</v>
      </c>
      <c r="L56" s="36" t="s">
        <v>286</v>
      </c>
      <c r="M56" s="36"/>
      <c r="N56" s="36" t="s">
        <v>986</v>
      </c>
      <c r="O56" s="36" t="s">
        <v>890</v>
      </c>
      <c r="P56" s="36" t="s">
        <v>891</v>
      </c>
      <c r="Q56" s="36" t="s">
        <v>927</v>
      </c>
      <c r="R56" s="36" t="s">
        <v>1073</v>
      </c>
      <c r="S56" s="36" t="s">
        <v>86</v>
      </c>
    </row>
    <row r="57" spans="1:19" x14ac:dyDescent="0.3">
      <c r="A57" s="36" t="s">
        <v>287</v>
      </c>
      <c r="B57" s="36" t="s">
        <v>1074</v>
      </c>
      <c r="C57" s="36" t="s">
        <v>133</v>
      </c>
      <c r="D57" s="36" t="s">
        <v>68</v>
      </c>
      <c r="E57" s="36" t="s">
        <v>47</v>
      </c>
      <c r="F57" s="36" t="s">
        <v>138</v>
      </c>
      <c r="G57" s="36" t="s">
        <v>139</v>
      </c>
      <c r="H57" s="36" t="s">
        <v>1075</v>
      </c>
      <c r="I57" s="36" t="s">
        <v>25</v>
      </c>
      <c r="J57" s="36" t="s">
        <v>42</v>
      </c>
      <c r="K57" s="36" t="s">
        <v>1018</v>
      </c>
      <c r="L57" s="36" t="s">
        <v>288</v>
      </c>
      <c r="M57" s="36" t="s">
        <v>896</v>
      </c>
      <c r="N57" s="36" t="s">
        <v>1070</v>
      </c>
      <c r="O57" s="36" t="s">
        <v>908</v>
      </c>
      <c r="P57" s="36" t="s">
        <v>927</v>
      </c>
      <c r="Q57" s="36" t="s">
        <v>1076</v>
      </c>
      <c r="R57" s="36" t="s">
        <v>953</v>
      </c>
      <c r="S57" s="36" t="s">
        <v>86</v>
      </c>
    </row>
    <row r="58" spans="1:19" x14ac:dyDescent="0.3">
      <c r="A58" s="36" t="s">
        <v>289</v>
      </c>
      <c r="B58" s="36" t="s">
        <v>954</v>
      </c>
      <c r="C58" s="36" t="s">
        <v>133</v>
      </c>
      <c r="D58" s="36" t="s">
        <v>1077</v>
      </c>
      <c r="E58" s="36" t="s">
        <v>46</v>
      </c>
      <c r="F58" s="36" t="s">
        <v>159</v>
      </c>
      <c r="G58" s="36" t="s">
        <v>171</v>
      </c>
      <c r="H58" s="36" t="s">
        <v>1078</v>
      </c>
      <c r="I58" s="36" t="s">
        <v>25</v>
      </c>
      <c r="J58" s="36" t="s">
        <v>38</v>
      </c>
      <c r="K58" s="36" t="s">
        <v>1079</v>
      </c>
      <c r="L58" s="36" t="s">
        <v>290</v>
      </c>
      <c r="M58" s="36" t="s">
        <v>1007</v>
      </c>
      <c r="N58" s="36" t="s">
        <v>1025</v>
      </c>
      <c r="O58" s="36" t="s">
        <v>898</v>
      </c>
      <c r="P58" s="36" t="s">
        <v>916</v>
      </c>
      <c r="Q58" s="36" t="s">
        <v>914</v>
      </c>
      <c r="R58" s="36"/>
      <c r="S58" s="36" t="s">
        <v>86</v>
      </c>
    </row>
    <row r="59" spans="1:19" x14ac:dyDescent="0.3">
      <c r="A59" s="36" t="s">
        <v>291</v>
      </c>
      <c r="B59" s="36" t="s">
        <v>962</v>
      </c>
      <c r="C59" s="36" t="s">
        <v>133</v>
      </c>
      <c r="D59" s="36" t="s">
        <v>64</v>
      </c>
      <c r="E59" s="36" t="s">
        <v>46</v>
      </c>
      <c r="F59" s="36" t="s">
        <v>159</v>
      </c>
      <c r="G59" s="36" t="s">
        <v>292</v>
      </c>
      <c r="H59" s="36" t="s">
        <v>1080</v>
      </c>
      <c r="I59" s="36" t="s">
        <v>24</v>
      </c>
      <c r="J59" s="36" t="s">
        <v>40</v>
      </c>
      <c r="K59" s="36" t="s">
        <v>998</v>
      </c>
      <c r="L59" s="36" t="s">
        <v>293</v>
      </c>
      <c r="M59" s="36" t="s">
        <v>946</v>
      </c>
      <c r="N59" s="36" t="s">
        <v>1012</v>
      </c>
      <c r="O59" s="36" t="s">
        <v>890</v>
      </c>
      <c r="P59" s="36" t="s">
        <v>891</v>
      </c>
      <c r="Q59" s="36" t="s">
        <v>1081</v>
      </c>
      <c r="R59" s="36" t="s">
        <v>1082</v>
      </c>
      <c r="S59" s="36" t="s">
        <v>86</v>
      </c>
    </row>
    <row r="60" spans="1:19" x14ac:dyDescent="0.3">
      <c r="A60" s="36" t="s">
        <v>294</v>
      </c>
      <c r="B60" s="36" t="s">
        <v>930</v>
      </c>
      <c r="C60" s="36" t="s">
        <v>133</v>
      </c>
      <c r="D60" s="36" t="s">
        <v>63</v>
      </c>
      <c r="E60" s="36" t="s">
        <v>47</v>
      </c>
      <c r="F60" s="36" t="s">
        <v>138</v>
      </c>
      <c r="G60" s="36" t="s">
        <v>295</v>
      </c>
      <c r="H60" s="36" t="s">
        <v>1083</v>
      </c>
      <c r="I60" s="36" t="s">
        <v>24</v>
      </c>
      <c r="J60" s="36"/>
      <c r="K60" s="36" t="s">
        <v>1062</v>
      </c>
      <c r="L60" s="36" t="s">
        <v>296</v>
      </c>
      <c r="M60" s="36" t="s">
        <v>896</v>
      </c>
      <c r="N60" s="36" t="s">
        <v>941</v>
      </c>
      <c r="O60" s="36" t="s">
        <v>890</v>
      </c>
      <c r="P60" s="36" t="s">
        <v>891</v>
      </c>
      <c r="Q60" s="36" t="s">
        <v>928</v>
      </c>
      <c r="R60" s="36" t="s">
        <v>1084</v>
      </c>
      <c r="S60" s="36" t="s">
        <v>86</v>
      </c>
    </row>
    <row r="61" spans="1:19" x14ac:dyDescent="0.3">
      <c r="A61" s="36" t="s">
        <v>297</v>
      </c>
      <c r="B61" s="36" t="s">
        <v>954</v>
      </c>
      <c r="C61" s="36" t="s">
        <v>133</v>
      </c>
      <c r="D61" s="36" t="s">
        <v>64</v>
      </c>
      <c r="E61" s="36" t="s">
        <v>46</v>
      </c>
      <c r="F61" s="36" t="s">
        <v>138</v>
      </c>
      <c r="G61" s="36" t="s">
        <v>142</v>
      </c>
      <c r="H61" s="36" t="s">
        <v>1085</v>
      </c>
      <c r="I61" s="36" t="s">
        <v>28</v>
      </c>
      <c r="J61" s="36" t="s">
        <v>41</v>
      </c>
      <c r="K61" s="36" t="s">
        <v>995</v>
      </c>
      <c r="L61" s="36" t="s">
        <v>298</v>
      </c>
      <c r="M61" s="36" t="s">
        <v>896</v>
      </c>
      <c r="N61" s="36" t="s">
        <v>907</v>
      </c>
      <c r="O61" s="36" t="s">
        <v>898</v>
      </c>
      <c r="P61" s="36" t="s">
        <v>898</v>
      </c>
      <c r="Q61" s="36" t="s">
        <v>1086</v>
      </c>
      <c r="R61" s="36" t="s">
        <v>936</v>
      </c>
      <c r="S61" s="36" t="s">
        <v>88</v>
      </c>
    </row>
    <row r="62" spans="1:19" x14ac:dyDescent="0.3">
      <c r="A62" s="36" t="s">
        <v>299</v>
      </c>
      <c r="B62" s="36" t="s">
        <v>1087</v>
      </c>
      <c r="C62" s="36" t="s">
        <v>991</v>
      </c>
      <c r="D62" s="36" t="s">
        <v>65</v>
      </c>
      <c r="E62" s="36" t="s">
        <v>46</v>
      </c>
      <c r="F62" s="36" t="s">
        <v>148</v>
      </c>
      <c r="G62" s="36" t="s">
        <v>142</v>
      </c>
      <c r="H62" s="36" t="s">
        <v>1088</v>
      </c>
      <c r="I62" s="36" t="s">
        <v>25</v>
      </c>
      <c r="J62" s="36" t="s">
        <v>36</v>
      </c>
      <c r="K62" s="36"/>
      <c r="L62" s="36"/>
      <c r="M62" s="36" t="s">
        <v>896</v>
      </c>
      <c r="N62" s="36" t="s">
        <v>1084</v>
      </c>
      <c r="O62" s="36" t="s">
        <v>908</v>
      </c>
      <c r="P62" s="36" t="s">
        <v>927</v>
      </c>
      <c r="Q62" s="36" t="s">
        <v>1089</v>
      </c>
      <c r="R62" s="36" t="s">
        <v>1090</v>
      </c>
      <c r="S62" s="36" t="s">
        <v>86</v>
      </c>
    </row>
    <row r="63" spans="1:19" x14ac:dyDescent="0.3">
      <c r="A63" s="36" t="s">
        <v>300</v>
      </c>
      <c r="B63" s="36" t="s">
        <v>1091</v>
      </c>
      <c r="C63" s="36" t="s">
        <v>133</v>
      </c>
      <c r="D63" s="36" t="s">
        <v>69</v>
      </c>
      <c r="E63" s="36" t="s">
        <v>47</v>
      </c>
      <c r="F63" s="36" t="s">
        <v>138</v>
      </c>
      <c r="G63" s="36" t="s">
        <v>301</v>
      </c>
      <c r="H63" s="36" t="s">
        <v>1092</v>
      </c>
      <c r="I63" s="36" t="s">
        <v>29</v>
      </c>
      <c r="J63" s="36" t="s">
        <v>41</v>
      </c>
      <c r="K63" s="36" t="s">
        <v>979</v>
      </c>
      <c r="L63" s="36" t="s">
        <v>302</v>
      </c>
      <c r="M63" s="36" t="s">
        <v>906</v>
      </c>
      <c r="N63" s="36" t="s">
        <v>1093</v>
      </c>
      <c r="O63" s="36" t="s">
        <v>898</v>
      </c>
      <c r="P63" s="36" t="s">
        <v>916</v>
      </c>
      <c r="Q63" s="36" t="s">
        <v>929</v>
      </c>
      <c r="R63" s="36" t="s">
        <v>893</v>
      </c>
      <c r="S63" s="36" t="s">
        <v>88</v>
      </c>
    </row>
    <row r="64" spans="1:19" x14ac:dyDescent="0.3">
      <c r="A64" s="36" t="s">
        <v>303</v>
      </c>
      <c r="B64" s="36" t="s">
        <v>1071</v>
      </c>
      <c r="C64" s="36" t="s">
        <v>133</v>
      </c>
      <c r="D64" s="36" t="s">
        <v>1077</v>
      </c>
      <c r="E64" s="36" t="s">
        <v>47</v>
      </c>
      <c r="F64" s="36" t="s">
        <v>138</v>
      </c>
      <c r="G64" s="36" t="s">
        <v>304</v>
      </c>
      <c r="H64" s="36" t="s">
        <v>1094</v>
      </c>
      <c r="I64" s="36" t="s">
        <v>25</v>
      </c>
      <c r="J64" s="36" t="s">
        <v>36</v>
      </c>
      <c r="K64" s="36" t="s">
        <v>960</v>
      </c>
      <c r="L64" s="36" t="s">
        <v>305</v>
      </c>
      <c r="M64" s="36" t="s">
        <v>906</v>
      </c>
      <c r="N64" s="36" t="s">
        <v>928</v>
      </c>
      <c r="O64" s="36" t="s">
        <v>898</v>
      </c>
      <c r="P64" s="36" t="s">
        <v>916</v>
      </c>
      <c r="Q64" s="36" t="s">
        <v>1095</v>
      </c>
      <c r="R64" s="36" t="s">
        <v>967</v>
      </c>
      <c r="S64" s="36" t="s">
        <v>88</v>
      </c>
    </row>
    <row r="65" spans="1:19" x14ac:dyDescent="0.3">
      <c r="A65" s="36" t="s">
        <v>306</v>
      </c>
      <c r="B65" s="36" t="s">
        <v>906</v>
      </c>
      <c r="C65" s="36" t="s">
        <v>133</v>
      </c>
      <c r="D65" s="36" t="s">
        <v>61</v>
      </c>
      <c r="E65" s="36" t="s">
        <v>46</v>
      </c>
      <c r="F65" s="36" t="s">
        <v>148</v>
      </c>
      <c r="G65" s="36" t="s">
        <v>307</v>
      </c>
      <c r="H65" s="36" t="s">
        <v>1096</v>
      </c>
      <c r="I65" s="36" t="s">
        <v>25</v>
      </c>
      <c r="J65" s="36" t="s">
        <v>40</v>
      </c>
      <c r="K65" s="36" t="s">
        <v>1031</v>
      </c>
      <c r="L65" s="36" t="s">
        <v>308</v>
      </c>
      <c r="M65" s="36" t="s">
        <v>906</v>
      </c>
      <c r="N65" s="36" t="s">
        <v>922</v>
      </c>
      <c r="O65" s="36" t="s">
        <v>890</v>
      </c>
      <c r="P65" s="36" t="s">
        <v>891</v>
      </c>
      <c r="Q65" s="36" t="s">
        <v>1045</v>
      </c>
      <c r="R65" s="36" t="s">
        <v>924</v>
      </c>
      <c r="S65" s="36" t="s">
        <v>86</v>
      </c>
    </row>
    <row r="66" spans="1:19" x14ac:dyDescent="0.3">
      <c r="A66" s="36" t="s">
        <v>309</v>
      </c>
      <c r="B66" s="36" t="s">
        <v>980</v>
      </c>
      <c r="C66" s="36" t="s">
        <v>133</v>
      </c>
      <c r="D66" s="36" t="s">
        <v>65</v>
      </c>
      <c r="E66" s="36" t="s">
        <v>46</v>
      </c>
      <c r="F66" s="36" t="s">
        <v>134</v>
      </c>
      <c r="G66" s="36" t="s">
        <v>310</v>
      </c>
      <c r="H66" s="36" t="s">
        <v>1097</v>
      </c>
      <c r="I66" s="36" t="s">
        <v>27</v>
      </c>
      <c r="J66" s="36" t="s">
        <v>39</v>
      </c>
      <c r="K66" s="36" t="s">
        <v>995</v>
      </c>
      <c r="L66" s="36" t="s">
        <v>311</v>
      </c>
      <c r="M66" s="36" t="s">
        <v>906</v>
      </c>
      <c r="N66" s="36" t="s">
        <v>1020</v>
      </c>
      <c r="O66" s="36" t="s">
        <v>890</v>
      </c>
      <c r="P66" s="36" t="s">
        <v>927</v>
      </c>
      <c r="Q66" s="36" t="s">
        <v>1006</v>
      </c>
      <c r="R66" s="36" t="s">
        <v>934</v>
      </c>
      <c r="S66" s="36" t="s">
        <v>87</v>
      </c>
    </row>
    <row r="67" spans="1:19" x14ac:dyDescent="0.3">
      <c r="A67" s="36" t="s">
        <v>312</v>
      </c>
      <c r="B67" s="36" t="s">
        <v>1098</v>
      </c>
      <c r="C67" s="36" t="s">
        <v>1029</v>
      </c>
      <c r="D67" s="36" t="s">
        <v>61</v>
      </c>
      <c r="E67" s="36" t="s">
        <v>47</v>
      </c>
      <c r="F67" s="36" t="s">
        <v>194</v>
      </c>
      <c r="G67" s="36" t="s">
        <v>174</v>
      </c>
      <c r="H67" s="36" t="s">
        <v>1099</v>
      </c>
      <c r="I67" s="36" t="s">
        <v>24</v>
      </c>
      <c r="J67" s="36" t="s">
        <v>36</v>
      </c>
      <c r="K67" s="36" t="s">
        <v>914</v>
      </c>
      <c r="L67" s="36" t="s">
        <v>313</v>
      </c>
      <c r="M67" s="36"/>
      <c r="N67" s="36" t="s">
        <v>895</v>
      </c>
      <c r="O67" s="36" t="s">
        <v>916</v>
      </c>
      <c r="P67" s="36" t="s">
        <v>891</v>
      </c>
      <c r="Q67" s="36" t="s">
        <v>979</v>
      </c>
      <c r="R67" s="36" t="s">
        <v>917</v>
      </c>
      <c r="S67" s="36" t="s">
        <v>86</v>
      </c>
    </row>
    <row r="68" spans="1:19" x14ac:dyDescent="0.3">
      <c r="A68" s="36" t="s">
        <v>314</v>
      </c>
      <c r="B68" s="36" t="s">
        <v>980</v>
      </c>
      <c r="C68" s="36" t="s">
        <v>1066</v>
      </c>
      <c r="D68" s="36"/>
      <c r="E68" s="36" t="s">
        <v>46</v>
      </c>
      <c r="F68" s="36" t="s">
        <v>134</v>
      </c>
      <c r="G68" s="36" t="s">
        <v>177</v>
      </c>
      <c r="H68" s="36" t="s">
        <v>896</v>
      </c>
      <c r="I68" s="36" t="s">
        <v>26</v>
      </c>
      <c r="J68" s="36" t="s">
        <v>36</v>
      </c>
      <c r="K68" s="36" t="s">
        <v>995</v>
      </c>
      <c r="L68" s="36" t="s">
        <v>315</v>
      </c>
      <c r="M68" s="36" t="s">
        <v>906</v>
      </c>
      <c r="N68" s="36" t="s">
        <v>1027</v>
      </c>
      <c r="O68" s="36" t="s">
        <v>898</v>
      </c>
      <c r="P68" s="36" t="s">
        <v>916</v>
      </c>
      <c r="Q68" s="36" t="s">
        <v>996</v>
      </c>
      <c r="R68" s="36" t="s">
        <v>924</v>
      </c>
      <c r="S68" s="36" t="s">
        <v>86</v>
      </c>
    </row>
    <row r="69" spans="1:19" x14ac:dyDescent="0.3">
      <c r="A69" s="36" t="s">
        <v>306</v>
      </c>
      <c r="B69" s="36" t="s">
        <v>906</v>
      </c>
      <c r="C69" s="36" t="s">
        <v>133</v>
      </c>
      <c r="D69" s="36" t="s">
        <v>61</v>
      </c>
      <c r="E69" s="36" t="s">
        <v>46</v>
      </c>
      <c r="F69" s="36" t="s">
        <v>148</v>
      </c>
      <c r="G69" s="36" t="s">
        <v>307</v>
      </c>
      <c r="H69" s="36" t="s">
        <v>1096</v>
      </c>
      <c r="I69" s="36" t="s">
        <v>25</v>
      </c>
      <c r="J69" s="36" t="s">
        <v>40</v>
      </c>
      <c r="K69" s="36" t="s">
        <v>1031</v>
      </c>
      <c r="L69" s="36" t="s">
        <v>308</v>
      </c>
      <c r="M69" s="36" t="s">
        <v>906</v>
      </c>
      <c r="N69" s="36" t="s">
        <v>922</v>
      </c>
      <c r="O69" s="36" t="s">
        <v>890</v>
      </c>
      <c r="P69" s="36" t="s">
        <v>891</v>
      </c>
      <c r="Q69" s="36" t="s">
        <v>1045</v>
      </c>
      <c r="R69" s="36" t="s">
        <v>924</v>
      </c>
      <c r="S69" s="36" t="s">
        <v>86</v>
      </c>
    </row>
    <row r="70" spans="1:19" x14ac:dyDescent="0.3">
      <c r="A70" s="36" t="s">
        <v>316</v>
      </c>
      <c r="B70" s="36" t="s">
        <v>906</v>
      </c>
      <c r="C70" s="36" t="s">
        <v>943</v>
      </c>
      <c r="D70" s="36" t="s">
        <v>65</v>
      </c>
      <c r="E70" s="36" t="s">
        <v>46</v>
      </c>
      <c r="F70" s="36" t="s">
        <v>148</v>
      </c>
      <c r="G70" s="36" t="s">
        <v>142</v>
      </c>
      <c r="H70" s="36" t="s">
        <v>896</v>
      </c>
      <c r="I70" s="36" t="s">
        <v>24</v>
      </c>
      <c r="J70" s="36" t="s">
        <v>36</v>
      </c>
      <c r="K70" s="36" t="s">
        <v>1062</v>
      </c>
      <c r="L70" s="36" t="s">
        <v>317</v>
      </c>
      <c r="M70" s="36" t="s">
        <v>896</v>
      </c>
      <c r="N70" s="36" t="s">
        <v>968</v>
      </c>
      <c r="O70" s="36" t="s">
        <v>890</v>
      </c>
      <c r="P70" s="36" t="s">
        <v>891</v>
      </c>
      <c r="Q70" s="36" t="s">
        <v>928</v>
      </c>
      <c r="R70" s="36" t="s">
        <v>1009</v>
      </c>
      <c r="S70" s="36" t="s">
        <v>86</v>
      </c>
    </row>
    <row r="71" spans="1:19" x14ac:dyDescent="0.3">
      <c r="A71" s="36" t="s">
        <v>318</v>
      </c>
      <c r="B71" s="36" t="s">
        <v>1074</v>
      </c>
      <c r="C71" s="36" t="s">
        <v>144</v>
      </c>
      <c r="D71" s="36" t="s">
        <v>155</v>
      </c>
      <c r="E71" s="36" t="s">
        <v>46</v>
      </c>
      <c r="F71" s="36" t="s">
        <v>148</v>
      </c>
      <c r="G71" s="36" t="s">
        <v>149</v>
      </c>
      <c r="H71" s="36" t="s">
        <v>1100</v>
      </c>
      <c r="I71" s="36" t="s">
        <v>25</v>
      </c>
      <c r="J71" s="36" t="s">
        <v>38</v>
      </c>
      <c r="K71" s="36" t="s">
        <v>1101</v>
      </c>
      <c r="L71" s="36" t="s">
        <v>319</v>
      </c>
      <c r="M71" s="36" t="s">
        <v>896</v>
      </c>
      <c r="N71" s="36" t="s">
        <v>979</v>
      </c>
      <c r="O71" s="36"/>
      <c r="P71" s="36" t="s">
        <v>916</v>
      </c>
      <c r="Q71" s="36" t="s">
        <v>958</v>
      </c>
      <c r="R71" s="36" t="s">
        <v>1102</v>
      </c>
      <c r="S71" s="36" t="s">
        <v>87</v>
      </c>
    </row>
    <row r="72" spans="1:19" x14ac:dyDescent="0.3">
      <c r="A72" s="36" t="s">
        <v>320</v>
      </c>
      <c r="B72" s="36" t="s">
        <v>911</v>
      </c>
      <c r="C72" s="36"/>
      <c r="D72" s="36" t="s">
        <v>62</v>
      </c>
      <c r="E72" s="36" t="s">
        <v>47</v>
      </c>
      <c r="F72" s="36" t="s">
        <v>194</v>
      </c>
      <c r="G72" s="36" t="s">
        <v>321</v>
      </c>
      <c r="H72" s="36" t="s">
        <v>1103</v>
      </c>
      <c r="I72" s="36" t="s">
        <v>24</v>
      </c>
      <c r="J72" s="36" t="s">
        <v>43</v>
      </c>
      <c r="K72" s="36" t="s">
        <v>1093</v>
      </c>
      <c r="L72" s="36" t="s">
        <v>322</v>
      </c>
      <c r="M72" s="36" t="s">
        <v>906</v>
      </c>
      <c r="N72" s="36" t="s">
        <v>895</v>
      </c>
      <c r="O72" s="36" t="s">
        <v>898</v>
      </c>
      <c r="P72" s="36" t="s">
        <v>916</v>
      </c>
      <c r="Q72" s="36" t="s">
        <v>1076</v>
      </c>
      <c r="R72" s="36" t="s">
        <v>1104</v>
      </c>
      <c r="S72" s="36" t="s">
        <v>86</v>
      </c>
    </row>
    <row r="73" spans="1:19" x14ac:dyDescent="0.3">
      <c r="A73" s="36" t="s">
        <v>323</v>
      </c>
      <c r="B73" s="36" t="s">
        <v>969</v>
      </c>
      <c r="C73" s="36" t="s">
        <v>133</v>
      </c>
      <c r="D73" s="36" t="s">
        <v>68</v>
      </c>
      <c r="E73" s="36" t="s">
        <v>47</v>
      </c>
      <c r="F73" s="36" t="s">
        <v>1105</v>
      </c>
      <c r="G73" s="36" t="s">
        <v>239</v>
      </c>
      <c r="H73" s="36" t="s">
        <v>1106</v>
      </c>
      <c r="I73" s="36" t="s">
        <v>25</v>
      </c>
      <c r="J73" s="36" t="s">
        <v>36</v>
      </c>
      <c r="K73" s="36" t="s">
        <v>1028</v>
      </c>
      <c r="L73" s="36" t="s">
        <v>324</v>
      </c>
      <c r="M73" s="36" t="s">
        <v>896</v>
      </c>
      <c r="N73" s="36" t="s">
        <v>1082</v>
      </c>
      <c r="O73" s="36" t="s">
        <v>898</v>
      </c>
      <c r="P73" s="36" t="s">
        <v>891</v>
      </c>
      <c r="Q73" s="36" t="s">
        <v>910</v>
      </c>
      <c r="R73" s="36" t="s">
        <v>1009</v>
      </c>
      <c r="S73" s="36" t="s">
        <v>86</v>
      </c>
    </row>
    <row r="74" spans="1:19" x14ac:dyDescent="0.3">
      <c r="A74" s="36" t="s">
        <v>325</v>
      </c>
      <c r="B74" s="36" t="s">
        <v>954</v>
      </c>
      <c r="C74" s="36" t="s">
        <v>943</v>
      </c>
      <c r="D74" s="36" t="s">
        <v>69</v>
      </c>
      <c r="E74" s="36" t="s">
        <v>47</v>
      </c>
      <c r="F74" s="36" t="s">
        <v>134</v>
      </c>
      <c r="G74" s="36" t="s">
        <v>181</v>
      </c>
      <c r="H74" s="36" t="s">
        <v>1107</v>
      </c>
      <c r="I74" s="36"/>
      <c r="J74" s="36" t="s">
        <v>41</v>
      </c>
      <c r="K74" s="36" t="s">
        <v>1047</v>
      </c>
      <c r="L74" s="36" t="s">
        <v>326</v>
      </c>
      <c r="M74" s="36" t="s">
        <v>896</v>
      </c>
      <c r="N74" s="36" t="s">
        <v>986</v>
      </c>
      <c r="O74" s="36" t="s">
        <v>890</v>
      </c>
      <c r="P74" s="36" t="s">
        <v>916</v>
      </c>
      <c r="Q74" s="36" t="s">
        <v>1108</v>
      </c>
      <c r="R74" s="36" t="s">
        <v>961</v>
      </c>
      <c r="S74" s="36" t="s">
        <v>86</v>
      </c>
    </row>
    <row r="75" spans="1:19" x14ac:dyDescent="0.3">
      <c r="A75" s="36" t="s">
        <v>327</v>
      </c>
      <c r="B75" s="36" t="s">
        <v>954</v>
      </c>
      <c r="C75" s="36" t="s">
        <v>1066</v>
      </c>
      <c r="D75" s="36" t="s">
        <v>61</v>
      </c>
      <c r="E75" s="36" t="s">
        <v>46</v>
      </c>
      <c r="F75" s="36" t="s">
        <v>148</v>
      </c>
      <c r="G75" s="36" t="s">
        <v>328</v>
      </c>
      <c r="H75" s="36" t="s">
        <v>1109</v>
      </c>
      <c r="I75" s="36" t="s">
        <v>24</v>
      </c>
      <c r="J75" s="36"/>
      <c r="K75" s="36" t="s">
        <v>1006</v>
      </c>
      <c r="L75" s="36" t="s">
        <v>329</v>
      </c>
      <c r="M75" s="36" t="s">
        <v>896</v>
      </c>
      <c r="N75" s="36" t="s">
        <v>921</v>
      </c>
      <c r="O75" s="36" t="s">
        <v>890</v>
      </c>
      <c r="P75" s="36" t="s">
        <v>927</v>
      </c>
      <c r="Q75" s="36" t="s">
        <v>1110</v>
      </c>
      <c r="R75" s="36" t="s">
        <v>971</v>
      </c>
      <c r="S75" s="36" t="s">
        <v>88</v>
      </c>
    </row>
    <row r="76" spans="1:19" x14ac:dyDescent="0.3">
      <c r="A76" s="36" t="s">
        <v>330</v>
      </c>
      <c r="B76" s="36"/>
      <c r="C76" s="36" t="s">
        <v>144</v>
      </c>
      <c r="D76" s="36" t="s">
        <v>69</v>
      </c>
      <c r="E76" s="36" t="s">
        <v>46</v>
      </c>
      <c r="F76" s="36" t="s">
        <v>138</v>
      </c>
      <c r="G76" s="36" t="s">
        <v>188</v>
      </c>
      <c r="H76" s="36"/>
      <c r="I76" s="36" t="s">
        <v>24</v>
      </c>
      <c r="J76" s="36" t="s">
        <v>37</v>
      </c>
      <c r="K76" s="36" t="s">
        <v>1110</v>
      </c>
      <c r="L76" s="36" t="s">
        <v>331</v>
      </c>
      <c r="M76" s="36" t="s">
        <v>896</v>
      </c>
      <c r="N76" s="36" t="s">
        <v>922</v>
      </c>
      <c r="O76" s="36" t="s">
        <v>916</v>
      </c>
      <c r="P76" s="36" t="s">
        <v>961</v>
      </c>
      <c r="Q76" s="36"/>
      <c r="R76" s="36" t="s">
        <v>1111</v>
      </c>
      <c r="S76" s="36" t="s">
        <v>86</v>
      </c>
    </row>
    <row r="77" spans="1:19" x14ac:dyDescent="0.3">
      <c r="A77" s="36" t="s">
        <v>332</v>
      </c>
      <c r="B77" s="36" t="s">
        <v>949</v>
      </c>
      <c r="C77" s="36" t="s">
        <v>144</v>
      </c>
      <c r="D77" s="36" t="s">
        <v>67</v>
      </c>
      <c r="E77" s="36" t="s">
        <v>47</v>
      </c>
      <c r="F77" s="36" t="s">
        <v>1112</v>
      </c>
      <c r="G77" s="36" t="s">
        <v>333</v>
      </c>
      <c r="H77" s="36" t="s">
        <v>1113</v>
      </c>
      <c r="I77" s="36" t="s">
        <v>28</v>
      </c>
      <c r="J77" s="36" t="s">
        <v>36</v>
      </c>
      <c r="K77" s="36" t="s">
        <v>1110</v>
      </c>
      <c r="L77" s="36"/>
      <c r="M77" s="36" t="s">
        <v>896</v>
      </c>
      <c r="N77" s="36" t="s">
        <v>941</v>
      </c>
      <c r="O77" s="36" t="s">
        <v>890</v>
      </c>
      <c r="P77" s="36" t="s">
        <v>916</v>
      </c>
      <c r="Q77" s="36" t="s">
        <v>993</v>
      </c>
      <c r="R77" s="36" t="s">
        <v>1002</v>
      </c>
      <c r="S77" s="36" t="s">
        <v>86</v>
      </c>
    </row>
    <row r="78" spans="1:19" x14ac:dyDescent="0.3">
      <c r="A78" s="36" t="s">
        <v>334</v>
      </c>
      <c r="B78" s="36" t="s">
        <v>902</v>
      </c>
      <c r="C78" s="36" t="s">
        <v>133</v>
      </c>
      <c r="D78" s="36" t="s">
        <v>62</v>
      </c>
      <c r="E78" s="36" t="s">
        <v>46</v>
      </c>
      <c r="F78" s="36" t="s">
        <v>159</v>
      </c>
      <c r="G78" s="36" t="s">
        <v>335</v>
      </c>
      <c r="H78" s="36" t="s">
        <v>1114</v>
      </c>
      <c r="I78" s="36"/>
      <c r="J78" s="36" t="s">
        <v>39</v>
      </c>
      <c r="K78" s="36" t="s">
        <v>891</v>
      </c>
      <c r="L78" s="36"/>
      <c r="M78" s="36" t="s">
        <v>906</v>
      </c>
      <c r="N78" s="36" t="s">
        <v>1115</v>
      </c>
      <c r="O78" s="36" t="s">
        <v>890</v>
      </c>
      <c r="P78" s="36" t="s">
        <v>946</v>
      </c>
      <c r="Q78" s="36" t="s">
        <v>1116</v>
      </c>
      <c r="R78" s="36" t="s">
        <v>965</v>
      </c>
      <c r="S78" s="36" t="s">
        <v>86</v>
      </c>
    </row>
    <row r="79" spans="1:19" x14ac:dyDescent="0.3">
      <c r="A79" s="36" t="s">
        <v>336</v>
      </c>
      <c r="B79" s="36" t="s">
        <v>1117</v>
      </c>
      <c r="C79" s="36" t="s">
        <v>144</v>
      </c>
      <c r="D79" s="36" t="s">
        <v>62</v>
      </c>
      <c r="E79" s="36" t="s">
        <v>47</v>
      </c>
      <c r="F79" s="36" t="s">
        <v>138</v>
      </c>
      <c r="G79" s="36" t="s">
        <v>181</v>
      </c>
      <c r="H79" s="36" t="s">
        <v>1118</v>
      </c>
      <c r="I79" s="36" t="s">
        <v>24</v>
      </c>
      <c r="J79" s="36" t="s">
        <v>41</v>
      </c>
      <c r="K79" s="36" t="s">
        <v>996</v>
      </c>
      <c r="L79" s="36" t="s">
        <v>337</v>
      </c>
      <c r="M79" s="36" t="s">
        <v>896</v>
      </c>
      <c r="N79" s="36"/>
      <c r="O79" s="36" t="s">
        <v>898</v>
      </c>
      <c r="P79" s="36" t="s">
        <v>927</v>
      </c>
      <c r="Q79" s="36" t="s">
        <v>1119</v>
      </c>
      <c r="R79" s="36" t="s">
        <v>923</v>
      </c>
      <c r="S79" s="36" t="s">
        <v>86</v>
      </c>
    </row>
    <row r="80" spans="1:19" x14ac:dyDescent="0.3">
      <c r="A80" s="36" t="s">
        <v>338</v>
      </c>
      <c r="B80" s="36"/>
      <c r="C80" s="36" t="s">
        <v>133</v>
      </c>
      <c r="D80" s="36" t="s">
        <v>191</v>
      </c>
      <c r="E80" s="36" t="s">
        <v>47</v>
      </c>
      <c r="F80" s="36" t="s">
        <v>159</v>
      </c>
      <c r="G80" s="36" t="s">
        <v>321</v>
      </c>
      <c r="H80" s="36" t="s">
        <v>1120</v>
      </c>
      <c r="I80" s="36" t="s">
        <v>24</v>
      </c>
      <c r="J80" s="36" t="s">
        <v>43</v>
      </c>
      <c r="K80" s="36" t="s">
        <v>1121</v>
      </c>
      <c r="L80" s="36"/>
      <c r="M80" s="36" t="s">
        <v>896</v>
      </c>
      <c r="N80" s="36" t="s">
        <v>1070</v>
      </c>
      <c r="O80" s="36" t="s">
        <v>916</v>
      </c>
      <c r="P80" s="36" t="s">
        <v>899</v>
      </c>
      <c r="Q80" s="36" t="s">
        <v>1122</v>
      </c>
      <c r="R80" s="36" t="s">
        <v>1123</v>
      </c>
      <c r="S80" s="36" t="s">
        <v>86</v>
      </c>
    </row>
    <row r="81" spans="1:19" x14ac:dyDescent="0.3">
      <c r="A81" s="36" t="s">
        <v>339</v>
      </c>
      <c r="B81" s="36" t="s">
        <v>1124</v>
      </c>
      <c r="C81" s="36" t="s">
        <v>1125</v>
      </c>
      <c r="D81" s="36" t="s">
        <v>70</v>
      </c>
      <c r="E81" s="36" t="s">
        <v>47</v>
      </c>
      <c r="F81" s="36" t="s">
        <v>134</v>
      </c>
      <c r="G81" s="36" t="s">
        <v>340</v>
      </c>
      <c r="H81" s="36" t="s">
        <v>1126</v>
      </c>
      <c r="I81" s="36" t="s">
        <v>25</v>
      </c>
      <c r="J81" s="36" t="s">
        <v>36</v>
      </c>
      <c r="K81" s="36" t="s">
        <v>921</v>
      </c>
      <c r="L81" s="36" t="s">
        <v>341</v>
      </c>
      <c r="M81" s="36" t="s">
        <v>896</v>
      </c>
      <c r="N81" s="36" t="s">
        <v>927</v>
      </c>
      <c r="O81" s="36" t="s">
        <v>890</v>
      </c>
      <c r="P81" s="36" t="s">
        <v>891</v>
      </c>
      <c r="Q81" s="36" t="s">
        <v>998</v>
      </c>
      <c r="R81" s="36"/>
      <c r="S81" s="36" t="s">
        <v>86</v>
      </c>
    </row>
    <row r="82" spans="1:19" x14ac:dyDescent="0.3">
      <c r="A82" s="36" t="s">
        <v>342</v>
      </c>
      <c r="B82" s="36" t="s">
        <v>1127</v>
      </c>
      <c r="C82" s="36" t="s">
        <v>144</v>
      </c>
      <c r="D82" s="36" t="s">
        <v>65</v>
      </c>
      <c r="E82" s="36" t="s">
        <v>47</v>
      </c>
      <c r="F82" s="36" t="s">
        <v>138</v>
      </c>
      <c r="G82" s="36" t="s">
        <v>343</v>
      </c>
      <c r="H82" s="36" t="s">
        <v>1128</v>
      </c>
      <c r="I82" s="36" t="s">
        <v>28</v>
      </c>
      <c r="J82" s="36" t="s">
        <v>42</v>
      </c>
      <c r="K82" s="36" t="s">
        <v>1025</v>
      </c>
      <c r="L82" s="36" t="s">
        <v>344</v>
      </c>
      <c r="M82" s="36" t="s">
        <v>896</v>
      </c>
      <c r="N82" s="36" t="s">
        <v>979</v>
      </c>
      <c r="O82" s="36"/>
      <c r="P82" s="36" t="s">
        <v>891</v>
      </c>
      <c r="Q82" s="36" t="s">
        <v>1129</v>
      </c>
      <c r="R82" s="36" t="s">
        <v>971</v>
      </c>
      <c r="S82" s="36" t="s">
        <v>86</v>
      </c>
    </row>
    <row r="83" spans="1:19" x14ac:dyDescent="0.3">
      <c r="A83" s="36" t="s">
        <v>345</v>
      </c>
      <c r="B83" s="36" t="s">
        <v>1054</v>
      </c>
      <c r="C83" s="36" t="s">
        <v>144</v>
      </c>
      <c r="D83" s="36" t="s">
        <v>62</v>
      </c>
      <c r="E83" s="36" t="s">
        <v>47</v>
      </c>
      <c r="F83" s="36" t="s">
        <v>159</v>
      </c>
      <c r="G83" s="36" t="s">
        <v>346</v>
      </c>
      <c r="H83" s="36" t="s">
        <v>1130</v>
      </c>
      <c r="I83" s="36"/>
      <c r="J83" s="36" t="s">
        <v>41</v>
      </c>
      <c r="K83" s="36" t="s">
        <v>1131</v>
      </c>
      <c r="L83" s="36" t="s">
        <v>347</v>
      </c>
      <c r="M83" s="36" t="s">
        <v>1132</v>
      </c>
      <c r="N83" s="36" t="s">
        <v>1021</v>
      </c>
      <c r="O83" s="36" t="s">
        <v>898</v>
      </c>
      <c r="P83" s="36" t="s">
        <v>927</v>
      </c>
      <c r="Q83" s="36" t="s">
        <v>895</v>
      </c>
      <c r="R83" s="36" t="s">
        <v>1133</v>
      </c>
      <c r="S83" s="36" t="s">
        <v>88</v>
      </c>
    </row>
    <row r="84" spans="1:19" x14ac:dyDescent="0.3">
      <c r="A84" s="36" t="s">
        <v>348</v>
      </c>
      <c r="B84" s="36" t="s">
        <v>988</v>
      </c>
      <c r="C84" s="36" t="s">
        <v>133</v>
      </c>
      <c r="D84" s="36" t="s">
        <v>944</v>
      </c>
      <c r="E84" s="36" t="s">
        <v>47</v>
      </c>
      <c r="F84" s="36" t="s">
        <v>159</v>
      </c>
      <c r="G84" s="36" t="s">
        <v>349</v>
      </c>
      <c r="H84" s="36" t="s">
        <v>1134</v>
      </c>
      <c r="I84" s="36" t="s">
        <v>25</v>
      </c>
      <c r="J84" s="36" t="s">
        <v>41</v>
      </c>
      <c r="K84" s="36" t="s">
        <v>1004</v>
      </c>
      <c r="L84" s="36" t="s">
        <v>350</v>
      </c>
      <c r="M84" s="36" t="s">
        <v>1068</v>
      </c>
      <c r="N84" s="36" t="s">
        <v>1027</v>
      </c>
      <c r="O84" s="36" t="s">
        <v>898</v>
      </c>
      <c r="P84" s="36" t="s">
        <v>916</v>
      </c>
      <c r="Q84" s="36" t="s">
        <v>1086</v>
      </c>
      <c r="R84" s="36" t="s">
        <v>1135</v>
      </c>
      <c r="S84" s="36" t="s">
        <v>86</v>
      </c>
    </row>
    <row r="85" spans="1:19" x14ac:dyDescent="0.3">
      <c r="A85" s="36" t="s">
        <v>351</v>
      </c>
      <c r="B85" s="36" t="s">
        <v>1136</v>
      </c>
      <c r="C85" s="36" t="s">
        <v>1137</v>
      </c>
      <c r="D85" s="36" t="s">
        <v>63</v>
      </c>
      <c r="E85" s="36" t="s">
        <v>46</v>
      </c>
      <c r="F85" s="36" t="s">
        <v>245</v>
      </c>
      <c r="G85" s="36" t="s">
        <v>352</v>
      </c>
      <c r="H85" s="36" t="s">
        <v>896</v>
      </c>
      <c r="I85" s="36" t="s">
        <v>951</v>
      </c>
      <c r="J85" s="36" t="s">
        <v>38</v>
      </c>
      <c r="K85" s="36" t="s">
        <v>1025</v>
      </c>
      <c r="L85" s="36" t="s">
        <v>353</v>
      </c>
      <c r="M85" s="36" t="s">
        <v>946</v>
      </c>
      <c r="N85" s="36" t="s">
        <v>1035</v>
      </c>
      <c r="O85" s="36" t="s">
        <v>898</v>
      </c>
      <c r="P85" s="36" t="s">
        <v>916</v>
      </c>
      <c r="Q85" s="36" t="s">
        <v>1138</v>
      </c>
      <c r="R85" s="36" t="s">
        <v>1110</v>
      </c>
      <c r="S85" s="36" t="s">
        <v>87</v>
      </c>
    </row>
    <row r="86" spans="1:19" x14ac:dyDescent="0.3">
      <c r="A86" s="36" t="s">
        <v>354</v>
      </c>
      <c r="B86" s="36" t="s">
        <v>994</v>
      </c>
      <c r="C86" s="36" t="s">
        <v>144</v>
      </c>
      <c r="D86" s="36" t="s">
        <v>61</v>
      </c>
      <c r="E86" s="36" t="s">
        <v>47</v>
      </c>
      <c r="F86" s="36" t="s">
        <v>134</v>
      </c>
      <c r="G86" s="36" t="s">
        <v>355</v>
      </c>
      <c r="H86" s="36" t="s">
        <v>1139</v>
      </c>
      <c r="I86" s="36" t="s">
        <v>1140</v>
      </c>
      <c r="J86" s="36" t="s">
        <v>40</v>
      </c>
      <c r="K86" s="36" t="s">
        <v>1062</v>
      </c>
      <c r="L86" s="36" t="s">
        <v>356</v>
      </c>
      <c r="M86" s="36" t="s">
        <v>896</v>
      </c>
      <c r="N86" s="36" t="s">
        <v>1028</v>
      </c>
      <c r="O86" s="36" t="s">
        <v>898</v>
      </c>
      <c r="P86" s="36" t="s">
        <v>891</v>
      </c>
      <c r="Q86" s="36" t="s">
        <v>996</v>
      </c>
      <c r="R86" s="36" t="s">
        <v>897</v>
      </c>
      <c r="S86" s="36" t="s">
        <v>86</v>
      </c>
    </row>
    <row r="87" spans="1:19" x14ac:dyDescent="0.3">
      <c r="A87" s="36" t="s">
        <v>357</v>
      </c>
      <c r="B87" s="36" t="s">
        <v>886</v>
      </c>
      <c r="C87" s="36" t="s">
        <v>133</v>
      </c>
      <c r="D87" s="36" t="s">
        <v>67</v>
      </c>
      <c r="E87" s="36" t="s">
        <v>47</v>
      </c>
      <c r="F87" s="36" t="s">
        <v>1141</v>
      </c>
      <c r="G87" s="36" t="s">
        <v>239</v>
      </c>
      <c r="H87" s="36" t="s">
        <v>1142</v>
      </c>
      <c r="I87" s="36" t="s">
        <v>26</v>
      </c>
      <c r="J87" s="36" t="s">
        <v>36</v>
      </c>
      <c r="K87" s="36" t="s">
        <v>941</v>
      </c>
      <c r="L87" s="36" t="s">
        <v>358</v>
      </c>
      <c r="M87" s="36" t="s">
        <v>896</v>
      </c>
      <c r="N87" s="36" t="s">
        <v>1082</v>
      </c>
      <c r="O87" s="36" t="s">
        <v>890</v>
      </c>
      <c r="P87" s="36" t="s">
        <v>927</v>
      </c>
      <c r="Q87" s="36" t="s">
        <v>1143</v>
      </c>
      <c r="R87" s="36" t="s">
        <v>929</v>
      </c>
      <c r="S87" s="36" t="s">
        <v>87</v>
      </c>
    </row>
    <row r="88" spans="1:19" x14ac:dyDescent="0.3">
      <c r="A88" s="36" t="s">
        <v>359</v>
      </c>
      <c r="B88" s="36" t="s">
        <v>988</v>
      </c>
      <c r="C88" s="36" t="s">
        <v>991</v>
      </c>
      <c r="D88" s="36" t="s">
        <v>1144</v>
      </c>
      <c r="E88" s="36" t="s">
        <v>46</v>
      </c>
      <c r="F88" s="36" t="s">
        <v>138</v>
      </c>
      <c r="G88" s="36" t="s">
        <v>360</v>
      </c>
      <c r="H88" s="36" t="s">
        <v>896</v>
      </c>
      <c r="I88" s="36" t="s">
        <v>26</v>
      </c>
      <c r="J88" s="36" t="s">
        <v>39</v>
      </c>
      <c r="K88" s="36" t="s">
        <v>1062</v>
      </c>
      <c r="L88" s="36" t="s">
        <v>361</v>
      </c>
      <c r="M88" s="36" t="s">
        <v>896</v>
      </c>
      <c r="N88" s="36" t="s">
        <v>909</v>
      </c>
      <c r="O88" s="36" t="s">
        <v>890</v>
      </c>
      <c r="P88" s="36" t="s">
        <v>891</v>
      </c>
      <c r="Q88" s="36" t="s">
        <v>952</v>
      </c>
      <c r="R88" s="36" t="s">
        <v>968</v>
      </c>
      <c r="S88" s="36" t="s">
        <v>86</v>
      </c>
    </row>
    <row r="89" spans="1:19" x14ac:dyDescent="0.3">
      <c r="A89" s="36" t="s">
        <v>184</v>
      </c>
      <c r="B89" s="36" t="s">
        <v>954</v>
      </c>
      <c r="C89" s="36" t="s">
        <v>133</v>
      </c>
      <c r="D89" s="36" t="s">
        <v>63</v>
      </c>
      <c r="E89" s="36" t="s">
        <v>47</v>
      </c>
      <c r="F89" s="36" t="s">
        <v>159</v>
      </c>
      <c r="G89" s="36" t="s">
        <v>185</v>
      </c>
      <c r="H89" s="36" t="s">
        <v>978</v>
      </c>
      <c r="I89" s="36" t="s">
        <v>28</v>
      </c>
      <c r="J89" s="36" t="s">
        <v>42</v>
      </c>
      <c r="K89" s="36" t="s">
        <v>914</v>
      </c>
      <c r="L89" s="36" t="s">
        <v>186</v>
      </c>
      <c r="M89" s="36" t="s">
        <v>896</v>
      </c>
      <c r="N89" s="36" t="s">
        <v>891</v>
      </c>
      <c r="O89" s="36" t="s">
        <v>890</v>
      </c>
      <c r="P89" s="36" t="s">
        <v>891</v>
      </c>
      <c r="Q89" s="36" t="s">
        <v>979</v>
      </c>
      <c r="R89" s="36" t="s">
        <v>910</v>
      </c>
      <c r="S89" s="36" t="s">
        <v>86</v>
      </c>
    </row>
    <row r="90" spans="1:19" x14ac:dyDescent="0.3">
      <c r="A90" s="36" t="s">
        <v>362</v>
      </c>
      <c r="B90" s="36" t="s">
        <v>1145</v>
      </c>
      <c r="C90" s="36" t="s">
        <v>144</v>
      </c>
      <c r="D90" s="36" t="s">
        <v>68</v>
      </c>
      <c r="E90" s="36" t="s">
        <v>47</v>
      </c>
      <c r="F90" s="36" t="s">
        <v>134</v>
      </c>
      <c r="G90" s="36" t="s">
        <v>363</v>
      </c>
      <c r="H90" s="36" t="s">
        <v>1146</v>
      </c>
      <c r="I90" s="36" t="s">
        <v>24</v>
      </c>
      <c r="J90" s="36" t="s">
        <v>40</v>
      </c>
      <c r="K90" s="36" t="s">
        <v>959</v>
      </c>
      <c r="L90" s="36" t="s">
        <v>365</v>
      </c>
      <c r="M90" s="36" t="s">
        <v>896</v>
      </c>
      <c r="N90" s="36" t="s">
        <v>968</v>
      </c>
      <c r="O90" s="36" t="s">
        <v>898</v>
      </c>
      <c r="P90" s="36"/>
      <c r="Q90" s="36" t="s">
        <v>1047</v>
      </c>
      <c r="R90" s="36" t="s">
        <v>1147</v>
      </c>
      <c r="S90" s="36" t="s">
        <v>88</v>
      </c>
    </row>
    <row r="91" spans="1:19" x14ac:dyDescent="0.3">
      <c r="A91" s="36" t="s">
        <v>366</v>
      </c>
      <c r="B91" s="36" t="s">
        <v>1071</v>
      </c>
      <c r="C91" s="36" t="s">
        <v>133</v>
      </c>
      <c r="D91" s="36" t="s">
        <v>65</v>
      </c>
      <c r="E91" s="36" t="s">
        <v>47</v>
      </c>
      <c r="F91" s="36" t="s">
        <v>245</v>
      </c>
      <c r="G91" s="36" t="s">
        <v>367</v>
      </c>
      <c r="H91" s="36" t="s">
        <v>1148</v>
      </c>
      <c r="I91" s="36" t="s">
        <v>24</v>
      </c>
      <c r="J91" s="36" t="s">
        <v>36</v>
      </c>
      <c r="K91" s="36" t="s">
        <v>926</v>
      </c>
      <c r="L91" s="36" t="s">
        <v>368</v>
      </c>
      <c r="M91" s="36" t="s">
        <v>946</v>
      </c>
      <c r="N91" s="36" t="s">
        <v>916</v>
      </c>
      <c r="O91" s="36" t="s">
        <v>890</v>
      </c>
      <c r="P91" s="36" t="s">
        <v>891</v>
      </c>
      <c r="Q91" s="36" t="s">
        <v>1149</v>
      </c>
      <c r="R91" s="36" t="s">
        <v>1059</v>
      </c>
      <c r="S91" s="36" t="s">
        <v>86</v>
      </c>
    </row>
    <row r="92" spans="1:19" x14ac:dyDescent="0.3">
      <c r="A92" s="36" t="s">
        <v>369</v>
      </c>
      <c r="B92" s="36" t="s">
        <v>942</v>
      </c>
      <c r="C92" s="36" t="s">
        <v>133</v>
      </c>
      <c r="D92" s="36" t="s">
        <v>61</v>
      </c>
      <c r="E92" s="36" t="s">
        <v>47</v>
      </c>
      <c r="F92" s="36" t="s">
        <v>134</v>
      </c>
      <c r="G92" s="36" t="s">
        <v>370</v>
      </c>
      <c r="H92" s="36" t="s">
        <v>1150</v>
      </c>
      <c r="I92" s="36" t="s">
        <v>24</v>
      </c>
      <c r="J92" s="36" t="s">
        <v>41</v>
      </c>
      <c r="K92" s="36" t="s">
        <v>1006</v>
      </c>
      <c r="L92" s="36" t="s">
        <v>371</v>
      </c>
      <c r="M92" s="36" t="s">
        <v>896</v>
      </c>
      <c r="N92" s="36" t="s">
        <v>941</v>
      </c>
      <c r="O92" s="36" t="s">
        <v>890</v>
      </c>
      <c r="P92" s="36" t="s">
        <v>961</v>
      </c>
      <c r="Q92" s="36" t="s">
        <v>1004</v>
      </c>
      <c r="R92" s="36" t="s">
        <v>1045</v>
      </c>
      <c r="S92" s="36" t="s">
        <v>88</v>
      </c>
    </row>
    <row r="93" spans="1:19" x14ac:dyDescent="0.3">
      <c r="A93" s="36" t="s">
        <v>372</v>
      </c>
      <c r="B93" s="36" t="s">
        <v>1151</v>
      </c>
      <c r="C93" s="36" t="s">
        <v>144</v>
      </c>
      <c r="D93" s="36" t="s">
        <v>61</v>
      </c>
      <c r="E93" s="36" t="s">
        <v>47</v>
      </c>
      <c r="F93" s="36" t="s">
        <v>138</v>
      </c>
      <c r="G93" s="36" t="s">
        <v>321</v>
      </c>
      <c r="H93" s="36" t="s">
        <v>1152</v>
      </c>
      <c r="I93" s="36" t="s">
        <v>25</v>
      </c>
      <c r="J93" s="36" t="s">
        <v>43</v>
      </c>
      <c r="K93" s="36" t="s">
        <v>892</v>
      </c>
      <c r="L93" s="36" t="s">
        <v>373</v>
      </c>
      <c r="M93" s="36" t="s">
        <v>896</v>
      </c>
      <c r="N93" s="36" t="s">
        <v>1021</v>
      </c>
      <c r="O93" s="36" t="s">
        <v>890</v>
      </c>
      <c r="P93" s="36" t="s">
        <v>961</v>
      </c>
      <c r="Q93" s="36" t="s">
        <v>1153</v>
      </c>
      <c r="R93" s="36" t="s">
        <v>1084</v>
      </c>
      <c r="S93" s="36" t="s">
        <v>86</v>
      </c>
    </row>
    <row r="94" spans="1:19" x14ac:dyDescent="0.3">
      <c r="A94" s="36" t="s">
        <v>374</v>
      </c>
      <c r="B94" s="36" t="s">
        <v>1036</v>
      </c>
      <c r="C94" s="36" t="s">
        <v>144</v>
      </c>
      <c r="D94" s="36" t="s">
        <v>64</v>
      </c>
      <c r="E94" s="36" t="s">
        <v>47</v>
      </c>
      <c r="F94" s="36" t="s">
        <v>134</v>
      </c>
      <c r="G94" s="36" t="s">
        <v>375</v>
      </c>
      <c r="H94" s="36" t="s">
        <v>1154</v>
      </c>
      <c r="I94" s="36" t="s">
        <v>24</v>
      </c>
      <c r="J94" s="36" t="s">
        <v>37</v>
      </c>
      <c r="K94" s="36" t="s">
        <v>1000</v>
      </c>
      <c r="L94" s="36" t="s">
        <v>376</v>
      </c>
      <c r="M94" s="36" t="s">
        <v>906</v>
      </c>
      <c r="N94" s="36" t="s">
        <v>1044</v>
      </c>
      <c r="O94" s="36" t="s">
        <v>890</v>
      </c>
      <c r="P94" s="36" t="s">
        <v>916</v>
      </c>
      <c r="Q94" s="36" t="s">
        <v>922</v>
      </c>
      <c r="R94" s="36" t="s">
        <v>1115</v>
      </c>
      <c r="S94" s="36" t="s">
        <v>87</v>
      </c>
    </row>
    <row r="95" spans="1:19" x14ac:dyDescent="0.3">
      <c r="A95" s="36" t="s">
        <v>377</v>
      </c>
      <c r="B95" s="36" t="s">
        <v>1074</v>
      </c>
      <c r="C95" s="36" t="s">
        <v>133</v>
      </c>
      <c r="D95" s="36" t="s">
        <v>61</v>
      </c>
      <c r="E95" s="36" t="s">
        <v>46</v>
      </c>
      <c r="F95" s="36" t="s">
        <v>148</v>
      </c>
      <c r="G95" s="36" t="s">
        <v>378</v>
      </c>
      <c r="H95" s="36" t="s">
        <v>1155</v>
      </c>
      <c r="I95" s="36" t="s">
        <v>24</v>
      </c>
      <c r="J95" s="36" t="s">
        <v>38</v>
      </c>
      <c r="K95" s="36" t="s">
        <v>990</v>
      </c>
      <c r="L95" s="36" t="s">
        <v>379</v>
      </c>
      <c r="M95" s="36" t="s">
        <v>1124</v>
      </c>
      <c r="N95" s="36" t="s">
        <v>982</v>
      </c>
      <c r="O95" s="36" t="s">
        <v>890</v>
      </c>
      <c r="P95" s="36" t="s">
        <v>927</v>
      </c>
      <c r="Q95" s="36" t="s">
        <v>896</v>
      </c>
      <c r="R95" s="36" t="s">
        <v>917</v>
      </c>
      <c r="S95" s="36"/>
    </row>
    <row r="96" spans="1:19" x14ac:dyDescent="0.3">
      <c r="A96" s="36" t="s">
        <v>380</v>
      </c>
      <c r="B96" s="36" t="s">
        <v>1124</v>
      </c>
      <c r="C96" s="36" t="s">
        <v>144</v>
      </c>
      <c r="D96" s="36" t="s">
        <v>65</v>
      </c>
      <c r="E96" s="36" t="s">
        <v>47</v>
      </c>
      <c r="F96" s="36"/>
      <c r="G96" s="36" t="s">
        <v>381</v>
      </c>
      <c r="H96" s="36" t="s">
        <v>1156</v>
      </c>
      <c r="I96" s="36" t="s">
        <v>28</v>
      </c>
      <c r="J96" s="36" t="s">
        <v>36</v>
      </c>
      <c r="K96" s="36"/>
      <c r="L96" s="36" t="s">
        <v>382</v>
      </c>
      <c r="M96" s="36" t="s">
        <v>906</v>
      </c>
      <c r="N96" s="36" t="s">
        <v>948</v>
      </c>
      <c r="O96" s="36" t="s">
        <v>898</v>
      </c>
      <c r="P96" s="36" t="s">
        <v>961</v>
      </c>
      <c r="Q96" s="36" t="s">
        <v>1157</v>
      </c>
      <c r="R96" s="36" t="s">
        <v>1158</v>
      </c>
      <c r="S96" s="36" t="s">
        <v>86</v>
      </c>
    </row>
    <row r="97" spans="1:19" x14ac:dyDescent="0.3">
      <c r="A97" s="36" t="s">
        <v>383</v>
      </c>
      <c r="B97" s="36"/>
      <c r="C97" s="36" t="s">
        <v>133</v>
      </c>
      <c r="D97" s="36" t="s">
        <v>70</v>
      </c>
      <c r="E97" s="36" t="s">
        <v>46</v>
      </c>
      <c r="F97" s="36" t="s">
        <v>159</v>
      </c>
      <c r="G97" s="36" t="s">
        <v>384</v>
      </c>
      <c r="H97" s="36" t="s">
        <v>1159</v>
      </c>
      <c r="I97" s="36" t="s">
        <v>24</v>
      </c>
      <c r="J97" s="36" t="s">
        <v>37</v>
      </c>
      <c r="K97" s="36" t="s">
        <v>1004</v>
      </c>
      <c r="L97" s="36" t="s">
        <v>385</v>
      </c>
      <c r="M97" s="36" t="s">
        <v>1160</v>
      </c>
      <c r="N97" s="36" t="s">
        <v>921</v>
      </c>
      <c r="O97" s="36"/>
      <c r="P97" s="36" t="s">
        <v>927</v>
      </c>
      <c r="Q97" s="36" t="s">
        <v>898</v>
      </c>
      <c r="R97" s="36" t="s">
        <v>1084</v>
      </c>
      <c r="S97" s="36" t="s">
        <v>86</v>
      </c>
    </row>
    <row r="98" spans="1:19" x14ac:dyDescent="0.3">
      <c r="A98" s="36" t="s">
        <v>386</v>
      </c>
      <c r="B98" s="36"/>
      <c r="C98" s="36" t="s">
        <v>133</v>
      </c>
      <c r="D98" s="36" t="s">
        <v>63</v>
      </c>
      <c r="E98" s="36" t="s">
        <v>46</v>
      </c>
      <c r="F98" s="36" t="s">
        <v>148</v>
      </c>
      <c r="G98" s="36" t="s">
        <v>335</v>
      </c>
      <c r="H98" s="36" t="s">
        <v>1161</v>
      </c>
      <c r="I98" s="36" t="s">
        <v>25</v>
      </c>
      <c r="J98" s="36" t="s">
        <v>39</v>
      </c>
      <c r="K98" s="36" t="s">
        <v>986</v>
      </c>
      <c r="L98" s="36" t="s">
        <v>387</v>
      </c>
      <c r="M98" s="36" t="s">
        <v>896</v>
      </c>
      <c r="N98" s="36" t="s">
        <v>1104</v>
      </c>
      <c r="O98" s="36" t="s">
        <v>898</v>
      </c>
      <c r="P98" s="36" t="s">
        <v>961</v>
      </c>
      <c r="Q98" s="36" t="s">
        <v>1162</v>
      </c>
      <c r="R98" s="36" t="s">
        <v>936</v>
      </c>
      <c r="S98" s="36" t="s">
        <v>86</v>
      </c>
    </row>
    <row r="99" spans="1:19" x14ac:dyDescent="0.3">
      <c r="A99" s="36" t="s">
        <v>388</v>
      </c>
      <c r="B99" s="36" t="s">
        <v>988</v>
      </c>
      <c r="C99" s="36" t="s">
        <v>133</v>
      </c>
      <c r="D99" s="36" t="s">
        <v>70</v>
      </c>
      <c r="E99" s="36" t="s">
        <v>46</v>
      </c>
      <c r="F99" s="36" t="s">
        <v>134</v>
      </c>
      <c r="G99" s="36" t="s">
        <v>389</v>
      </c>
      <c r="H99" s="36" t="s">
        <v>1163</v>
      </c>
      <c r="I99" s="36" t="s">
        <v>27</v>
      </c>
      <c r="J99" s="36" t="s">
        <v>39</v>
      </c>
      <c r="K99" s="36" t="s">
        <v>1119</v>
      </c>
      <c r="L99" s="36" t="s">
        <v>390</v>
      </c>
      <c r="M99" s="36" t="s">
        <v>906</v>
      </c>
      <c r="N99" s="36"/>
      <c r="O99" s="36" t="s">
        <v>908</v>
      </c>
      <c r="P99" s="36" t="s">
        <v>927</v>
      </c>
      <c r="Q99" s="36" t="s">
        <v>909</v>
      </c>
      <c r="R99" s="36" t="s">
        <v>936</v>
      </c>
      <c r="S99" s="36" t="s">
        <v>87</v>
      </c>
    </row>
    <row r="100" spans="1:19" x14ac:dyDescent="0.3">
      <c r="A100" s="36" t="s">
        <v>391</v>
      </c>
      <c r="B100" s="36" t="s">
        <v>911</v>
      </c>
      <c r="C100" s="36" t="s">
        <v>133</v>
      </c>
      <c r="D100" s="36" t="s">
        <v>67</v>
      </c>
      <c r="E100" s="36" t="s">
        <v>47</v>
      </c>
      <c r="F100" s="36" t="s">
        <v>138</v>
      </c>
      <c r="G100" s="36" t="s">
        <v>249</v>
      </c>
      <c r="H100" s="36" t="s">
        <v>1164</v>
      </c>
      <c r="I100" s="36" t="s">
        <v>24</v>
      </c>
      <c r="J100" s="36" t="s">
        <v>37</v>
      </c>
      <c r="K100" s="36" t="s">
        <v>916</v>
      </c>
      <c r="L100" s="36"/>
      <c r="M100" s="36" t="s">
        <v>906</v>
      </c>
      <c r="N100" s="36" t="s">
        <v>924</v>
      </c>
      <c r="O100" s="36" t="s">
        <v>908</v>
      </c>
      <c r="P100" s="36" t="s">
        <v>927</v>
      </c>
      <c r="Q100" s="36" t="s">
        <v>1042</v>
      </c>
      <c r="R100" s="36" t="s">
        <v>966</v>
      </c>
      <c r="S100" s="36" t="s">
        <v>86</v>
      </c>
    </row>
    <row r="101" spans="1:19" x14ac:dyDescent="0.3">
      <c r="A101" s="36" t="s">
        <v>392</v>
      </c>
      <c r="B101" s="36" t="s">
        <v>1074</v>
      </c>
      <c r="C101" s="36"/>
      <c r="D101" s="36" t="s">
        <v>66</v>
      </c>
      <c r="E101" s="36" t="s">
        <v>46</v>
      </c>
      <c r="F101" s="36" t="s">
        <v>159</v>
      </c>
      <c r="G101" s="36" t="s">
        <v>393</v>
      </c>
      <c r="H101" s="36" t="s">
        <v>1165</v>
      </c>
      <c r="I101" s="36" t="s">
        <v>27</v>
      </c>
      <c r="J101" s="36" t="s">
        <v>36</v>
      </c>
      <c r="K101" s="36" t="s">
        <v>1025</v>
      </c>
      <c r="L101" s="36" t="s">
        <v>394</v>
      </c>
      <c r="M101" s="36" t="s">
        <v>896</v>
      </c>
      <c r="N101" s="36" t="s">
        <v>968</v>
      </c>
      <c r="O101" s="36" t="s">
        <v>890</v>
      </c>
      <c r="P101" s="36" t="s">
        <v>891</v>
      </c>
      <c r="Q101" s="36" t="s">
        <v>968</v>
      </c>
      <c r="R101" s="36" t="s">
        <v>1044</v>
      </c>
      <c r="S101" s="36" t="s">
        <v>86</v>
      </c>
    </row>
    <row r="102" spans="1:19" x14ac:dyDescent="0.3">
      <c r="A102" s="36" t="s">
        <v>395</v>
      </c>
      <c r="B102" s="36" t="s">
        <v>911</v>
      </c>
      <c r="C102" s="36" t="s">
        <v>133</v>
      </c>
      <c r="D102" s="36" t="s">
        <v>68</v>
      </c>
      <c r="E102" s="36" t="s">
        <v>47</v>
      </c>
      <c r="F102" s="36" t="s">
        <v>138</v>
      </c>
      <c r="G102" s="36" t="s">
        <v>396</v>
      </c>
      <c r="H102" s="36" t="s">
        <v>1166</v>
      </c>
      <c r="I102" s="36" t="s">
        <v>24</v>
      </c>
      <c r="J102" s="36" t="s">
        <v>36</v>
      </c>
      <c r="K102" s="36" t="s">
        <v>1062</v>
      </c>
      <c r="L102" s="36" t="s">
        <v>397</v>
      </c>
      <c r="M102" s="36" t="s">
        <v>906</v>
      </c>
      <c r="N102" s="36" t="s">
        <v>1049</v>
      </c>
      <c r="O102" s="36" t="s">
        <v>898</v>
      </c>
      <c r="P102" s="36" t="s">
        <v>890</v>
      </c>
      <c r="Q102" s="36" t="s">
        <v>1028</v>
      </c>
      <c r="R102" s="36" t="s">
        <v>1009</v>
      </c>
      <c r="S102" s="36" t="s">
        <v>88</v>
      </c>
    </row>
    <row r="103" spans="1:19" x14ac:dyDescent="0.3">
      <c r="A103" s="36" t="s">
        <v>398</v>
      </c>
      <c r="B103" s="36" t="s">
        <v>1010</v>
      </c>
      <c r="C103" s="36" t="s">
        <v>144</v>
      </c>
      <c r="D103" s="36" t="s">
        <v>62</v>
      </c>
      <c r="E103" s="36" t="s">
        <v>46</v>
      </c>
      <c r="F103" s="36" t="s">
        <v>159</v>
      </c>
      <c r="G103" s="36" t="s">
        <v>149</v>
      </c>
      <c r="H103" s="36" t="s">
        <v>896</v>
      </c>
      <c r="I103" s="36" t="s">
        <v>26</v>
      </c>
      <c r="J103" s="36" t="s">
        <v>38</v>
      </c>
      <c r="K103" s="36" t="s">
        <v>1000</v>
      </c>
      <c r="L103" s="36" t="s">
        <v>399</v>
      </c>
      <c r="M103" s="36" t="s">
        <v>896</v>
      </c>
      <c r="N103" s="36" t="s">
        <v>1001</v>
      </c>
      <c r="O103" s="36" t="s">
        <v>898</v>
      </c>
      <c r="P103" s="36" t="s">
        <v>927</v>
      </c>
      <c r="Q103" s="36" t="s">
        <v>1086</v>
      </c>
      <c r="R103" s="36" t="s">
        <v>891</v>
      </c>
      <c r="S103" s="36" t="s">
        <v>86</v>
      </c>
    </row>
    <row r="104" spans="1:19" x14ac:dyDescent="0.3">
      <c r="A104" s="36" t="s">
        <v>400</v>
      </c>
      <c r="B104" s="36" t="s">
        <v>906</v>
      </c>
      <c r="C104" s="36" t="s">
        <v>943</v>
      </c>
      <c r="D104" s="36" t="s">
        <v>61</v>
      </c>
      <c r="E104" s="36" t="s">
        <v>46</v>
      </c>
      <c r="F104" s="36" t="s">
        <v>148</v>
      </c>
      <c r="G104" s="36" t="s">
        <v>171</v>
      </c>
      <c r="H104" s="36" t="s">
        <v>1167</v>
      </c>
      <c r="I104" s="36" t="s">
        <v>24</v>
      </c>
      <c r="J104" s="36" t="s">
        <v>39</v>
      </c>
      <c r="K104" s="36" t="s">
        <v>990</v>
      </c>
      <c r="L104" s="36" t="s">
        <v>401</v>
      </c>
      <c r="M104" s="36" t="s">
        <v>896</v>
      </c>
      <c r="N104" s="36" t="s">
        <v>907</v>
      </c>
      <c r="O104" s="36" t="s">
        <v>890</v>
      </c>
      <c r="P104" s="36" t="s">
        <v>890</v>
      </c>
      <c r="Q104" s="36" t="s">
        <v>1149</v>
      </c>
      <c r="R104" s="36" t="s">
        <v>1090</v>
      </c>
      <c r="S104" s="36" t="s">
        <v>86</v>
      </c>
    </row>
    <row r="105" spans="1:19" x14ac:dyDescent="0.3">
      <c r="A105" s="36" t="s">
        <v>402</v>
      </c>
      <c r="B105" s="36" t="s">
        <v>1168</v>
      </c>
      <c r="C105" s="36" t="s">
        <v>133</v>
      </c>
      <c r="D105" s="36" t="s">
        <v>63</v>
      </c>
      <c r="E105" s="36" t="s">
        <v>47</v>
      </c>
      <c r="F105" s="36" t="s">
        <v>138</v>
      </c>
      <c r="G105" s="36" t="s">
        <v>295</v>
      </c>
      <c r="H105" s="36" t="s">
        <v>1169</v>
      </c>
      <c r="I105" s="36" t="s">
        <v>30</v>
      </c>
      <c r="J105" s="36" t="s">
        <v>37</v>
      </c>
      <c r="K105" s="36" t="s">
        <v>990</v>
      </c>
      <c r="L105" s="36" t="s">
        <v>403</v>
      </c>
      <c r="M105" s="36" t="s">
        <v>946</v>
      </c>
      <c r="N105" s="36" t="s">
        <v>892</v>
      </c>
      <c r="O105" s="36" t="s">
        <v>898</v>
      </c>
      <c r="P105" s="36" t="s">
        <v>916</v>
      </c>
      <c r="Q105" s="36" t="s">
        <v>926</v>
      </c>
      <c r="R105" s="36" t="s">
        <v>1052</v>
      </c>
      <c r="S105" s="36" t="s">
        <v>88</v>
      </c>
    </row>
    <row r="106" spans="1:19" x14ac:dyDescent="0.3">
      <c r="A106" s="36" t="s">
        <v>404</v>
      </c>
      <c r="B106" s="36" t="s">
        <v>919</v>
      </c>
      <c r="C106" s="36" t="s">
        <v>133</v>
      </c>
      <c r="D106" s="36" t="s">
        <v>155</v>
      </c>
      <c r="E106" s="36" t="s">
        <v>46</v>
      </c>
      <c r="F106" s="36" t="s">
        <v>148</v>
      </c>
      <c r="G106" s="36" t="s">
        <v>405</v>
      </c>
      <c r="H106" s="36" t="s">
        <v>896</v>
      </c>
      <c r="I106" s="36" t="s">
        <v>27</v>
      </c>
      <c r="J106" s="36" t="s">
        <v>38</v>
      </c>
      <c r="K106" s="36" t="s">
        <v>908</v>
      </c>
      <c r="L106" s="36" t="s">
        <v>406</v>
      </c>
      <c r="M106" s="36" t="s">
        <v>896</v>
      </c>
      <c r="N106" s="36" t="s">
        <v>968</v>
      </c>
      <c r="O106" s="36" t="s">
        <v>890</v>
      </c>
      <c r="P106" s="36" t="s">
        <v>927</v>
      </c>
      <c r="Q106" s="36" t="s">
        <v>898</v>
      </c>
      <c r="R106" s="36" t="s">
        <v>1090</v>
      </c>
      <c r="S106" s="36" t="s">
        <v>87</v>
      </c>
    </row>
    <row r="107" spans="1:19" x14ac:dyDescent="0.3">
      <c r="A107" s="36" t="s">
        <v>407</v>
      </c>
      <c r="B107" s="36" t="s">
        <v>1170</v>
      </c>
      <c r="C107" s="36" t="s">
        <v>133</v>
      </c>
      <c r="D107" s="36" t="s">
        <v>69</v>
      </c>
      <c r="E107" s="36" t="s">
        <v>47</v>
      </c>
      <c r="F107" s="36" t="s">
        <v>134</v>
      </c>
      <c r="G107" s="36" t="s">
        <v>408</v>
      </c>
      <c r="H107" s="36" t="s">
        <v>1171</v>
      </c>
      <c r="I107" s="36" t="s">
        <v>25</v>
      </c>
      <c r="J107" s="36" t="s">
        <v>42</v>
      </c>
      <c r="K107" s="36" t="s">
        <v>1123</v>
      </c>
      <c r="L107" s="36"/>
      <c r="M107" s="36" t="s">
        <v>906</v>
      </c>
      <c r="N107" s="36" t="s">
        <v>953</v>
      </c>
      <c r="O107" s="36" t="s">
        <v>916</v>
      </c>
      <c r="P107" s="36" t="s">
        <v>961</v>
      </c>
      <c r="Q107" s="36" t="s">
        <v>1172</v>
      </c>
      <c r="R107" s="36"/>
      <c r="S107" s="36" t="s">
        <v>86</v>
      </c>
    </row>
    <row r="108" spans="1:19" x14ac:dyDescent="0.3">
      <c r="A108" s="36" t="s">
        <v>409</v>
      </c>
      <c r="B108" s="36" t="s">
        <v>1074</v>
      </c>
      <c r="C108" s="36" t="s">
        <v>144</v>
      </c>
      <c r="D108" s="36" t="s">
        <v>63</v>
      </c>
      <c r="E108" s="36" t="s">
        <v>47</v>
      </c>
      <c r="F108" s="36" t="s">
        <v>1112</v>
      </c>
      <c r="G108" s="36" t="s">
        <v>370</v>
      </c>
      <c r="H108" s="36" t="s">
        <v>1173</v>
      </c>
      <c r="I108" s="36" t="s">
        <v>26</v>
      </c>
      <c r="J108" s="36" t="s">
        <v>41</v>
      </c>
      <c r="K108" s="36" t="s">
        <v>1093</v>
      </c>
      <c r="L108" s="36" t="s">
        <v>410</v>
      </c>
      <c r="M108" s="36" t="s">
        <v>906</v>
      </c>
      <c r="N108" s="36" t="s">
        <v>971</v>
      </c>
      <c r="O108" s="36" t="s">
        <v>890</v>
      </c>
      <c r="P108" s="36" t="s">
        <v>961</v>
      </c>
      <c r="Q108" s="36" t="s">
        <v>1013</v>
      </c>
      <c r="R108" s="36" t="s">
        <v>1089</v>
      </c>
      <c r="S108" s="36"/>
    </row>
    <row r="109" spans="1:19" x14ac:dyDescent="0.3">
      <c r="A109" s="36" t="s">
        <v>411</v>
      </c>
      <c r="B109" s="36" t="s">
        <v>1174</v>
      </c>
      <c r="C109" s="36" t="s">
        <v>144</v>
      </c>
      <c r="D109" s="36" t="s">
        <v>66</v>
      </c>
      <c r="E109" s="36" t="s">
        <v>47</v>
      </c>
      <c r="F109" s="36" t="s">
        <v>134</v>
      </c>
      <c r="G109" s="36" t="s">
        <v>412</v>
      </c>
      <c r="H109" s="36" t="s">
        <v>1175</v>
      </c>
      <c r="I109" s="36" t="s">
        <v>24</v>
      </c>
      <c r="J109" s="36" t="s">
        <v>42</v>
      </c>
      <c r="K109" s="36" t="s">
        <v>1176</v>
      </c>
      <c r="L109" s="36" t="s">
        <v>413</v>
      </c>
      <c r="M109" s="36" t="s">
        <v>896</v>
      </c>
      <c r="N109" s="36" t="s">
        <v>889</v>
      </c>
      <c r="O109" s="36" t="s">
        <v>890</v>
      </c>
      <c r="P109" s="36" t="s">
        <v>891</v>
      </c>
      <c r="Q109" s="36" t="s">
        <v>909</v>
      </c>
      <c r="R109" s="36" t="s">
        <v>971</v>
      </c>
      <c r="S109" s="36" t="s">
        <v>86</v>
      </c>
    </row>
    <row r="110" spans="1:19" x14ac:dyDescent="0.3">
      <c r="A110" s="36" t="s">
        <v>414</v>
      </c>
      <c r="B110" s="36" t="s">
        <v>1177</v>
      </c>
      <c r="C110" s="36" t="s">
        <v>133</v>
      </c>
      <c r="D110" s="36" t="s">
        <v>155</v>
      </c>
      <c r="E110" s="36" t="s">
        <v>46</v>
      </c>
      <c r="F110" s="36" t="s">
        <v>159</v>
      </c>
      <c r="G110" s="36" t="s">
        <v>415</v>
      </c>
      <c r="H110" s="36" t="s">
        <v>1178</v>
      </c>
      <c r="I110" s="36" t="s">
        <v>31</v>
      </c>
      <c r="J110" s="36" t="s">
        <v>39</v>
      </c>
      <c r="K110" s="36" t="s">
        <v>927</v>
      </c>
      <c r="L110" s="36" t="s">
        <v>416</v>
      </c>
      <c r="M110" s="36" t="s">
        <v>896</v>
      </c>
      <c r="N110" s="36" t="s">
        <v>1084</v>
      </c>
      <c r="O110" s="36" t="s">
        <v>916</v>
      </c>
      <c r="P110" s="36" t="s">
        <v>961</v>
      </c>
      <c r="Q110" s="36" t="s">
        <v>1162</v>
      </c>
      <c r="R110" s="36" t="s">
        <v>1012</v>
      </c>
      <c r="S110" s="36" t="s">
        <v>86</v>
      </c>
    </row>
    <row r="111" spans="1:19" x14ac:dyDescent="0.3">
      <c r="A111" s="36" t="s">
        <v>417</v>
      </c>
      <c r="B111" s="36" t="s">
        <v>942</v>
      </c>
      <c r="C111" s="36" t="s">
        <v>912</v>
      </c>
      <c r="D111" s="36" t="s">
        <v>69</v>
      </c>
      <c r="E111" s="36" t="s">
        <v>47</v>
      </c>
      <c r="F111" s="36" t="s">
        <v>134</v>
      </c>
      <c r="G111" s="36" t="s">
        <v>418</v>
      </c>
      <c r="H111" s="36" t="s">
        <v>1179</v>
      </c>
      <c r="I111" s="36" t="s">
        <v>28</v>
      </c>
      <c r="J111" s="36" t="s">
        <v>42</v>
      </c>
      <c r="K111" s="36" t="s">
        <v>1180</v>
      </c>
      <c r="L111" s="36" t="s">
        <v>419</v>
      </c>
      <c r="M111" s="36" t="s">
        <v>1124</v>
      </c>
      <c r="N111" s="36" t="s">
        <v>1047</v>
      </c>
      <c r="O111" s="36" t="s">
        <v>916</v>
      </c>
      <c r="P111" s="36" t="s">
        <v>916</v>
      </c>
      <c r="Q111" s="36" t="s">
        <v>1181</v>
      </c>
      <c r="R111" s="36" t="s">
        <v>1115</v>
      </c>
      <c r="S111" s="36" t="s">
        <v>87</v>
      </c>
    </row>
    <row r="112" spans="1:19" x14ac:dyDescent="0.3">
      <c r="A112" s="36" t="s">
        <v>420</v>
      </c>
      <c r="B112" s="36" t="s">
        <v>1054</v>
      </c>
      <c r="C112" s="36" t="s">
        <v>133</v>
      </c>
      <c r="D112" s="36" t="s">
        <v>61</v>
      </c>
      <c r="E112" s="36" t="s">
        <v>47</v>
      </c>
      <c r="F112" s="36" t="s">
        <v>194</v>
      </c>
      <c r="G112" s="36" t="s">
        <v>421</v>
      </c>
      <c r="H112" s="36" t="s">
        <v>1182</v>
      </c>
      <c r="I112" s="36" t="s">
        <v>28</v>
      </c>
      <c r="J112" s="36" t="s">
        <v>43</v>
      </c>
      <c r="K112" s="36" t="s">
        <v>1006</v>
      </c>
      <c r="L112" s="36" t="s">
        <v>422</v>
      </c>
      <c r="M112" s="36" t="s">
        <v>896</v>
      </c>
      <c r="N112" s="36" t="s">
        <v>922</v>
      </c>
      <c r="O112" s="36" t="s">
        <v>908</v>
      </c>
      <c r="P112" s="36" t="s">
        <v>916</v>
      </c>
      <c r="Q112" s="36" t="s">
        <v>1004</v>
      </c>
      <c r="R112" s="36" t="s">
        <v>1123</v>
      </c>
      <c r="S112" s="36"/>
    </row>
    <row r="113" spans="1:19" x14ac:dyDescent="0.3">
      <c r="A113" s="36" t="s">
        <v>423</v>
      </c>
      <c r="B113" s="36" t="s">
        <v>1183</v>
      </c>
      <c r="C113" s="36" t="s">
        <v>144</v>
      </c>
      <c r="D113" s="36" t="s">
        <v>64</v>
      </c>
      <c r="E113" s="36" t="s">
        <v>47</v>
      </c>
      <c r="F113" s="36" t="s">
        <v>159</v>
      </c>
      <c r="G113" s="36" t="s">
        <v>321</v>
      </c>
      <c r="H113" s="36"/>
      <c r="I113" s="36" t="s">
        <v>27</v>
      </c>
      <c r="J113" s="36" t="s">
        <v>43</v>
      </c>
      <c r="K113" s="36" t="s">
        <v>1184</v>
      </c>
      <c r="L113" s="36" t="s">
        <v>424</v>
      </c>
      <c r="M113" s="36" t="s">
        <v>946</v>
      </c>
      <c r="N113" s="36" t="s">
        <v>1021</v>
      </c>
      <c r="O113" s="36" t="s">
        <v>890</v>
      </c>
      <c r="P113" s="36" t="s">
        <v>891</v>
      </c>
      <c r="Q113" s="36" t="s">
        <v>900</v>
      </c>
      <c r="R113" s="36" t="s">
        <v>1002</v>
      </c>
      <c r="S113" s="36" t="s">
        <v>86</v>
      </c>
    </row>
    <row r="114" spans="1:19" x14ac:dyDescent="0.3">
      <c r="A114" s="36" t="s">
        <v>425</v>
      </c>
      <c r="B114" s="36" t="s">
        <v>980</v>
      </c>
      <c r="C114" s="36" t="s">
        <v>133</v>
      </c>
      <c r="D114" s="36" t="s">
        <v>191</v>
      </c>
      <c r="E114" s="36" t="s">
        <v>46</v>
      </c>
      <c r="F114" s="36" t="s">
        <v>134</v>
      </c>
      <c r="G114" s="36" t="s">
        <v>426</v>
      </c>
      <c r="H114" s="36" t="s">
        <v>1185</v>
      </c>
      <c r="I114" s="36" t="s">
        <v>26</v>
      </c>
      <c r="J114" s="36"/>
      <c r="K114" s="36" t="s">
        <v>1186</v>
      </c>
      <c r="L114" s="36" t="s">
        <v>427</v>
      </c>
      <c r="M114" s="36" t="s">
        <v>1124</v>
      </c>
      <c r="N114" s="36"/>
      <c r="O114" s="36" t="s">
        <v>898</v>
      </c>
      <c r="P114" s="36" t="s">
        <v>927</v>
      </c>
      <c r="Q114" s="36" t="s">
        <v>959</v>
      </c>
      <c r="R114" s="36"/>
      <c r="S114" s="36" t="s">
        <v>88</v>
      </c>
    </row>
    <row r="115" spans="1:19" x14ac:dyDescent="0.3">
      <c r="A115" s="36" t="s">
        <v>428</v>
      </c>
      <c r="B115" s="36" t="s">
        <v>980</v>
      </c>
      <c r="C115" s="36" t="s">
        <v>133</v>
      </c>
      <c r="D115" s="36" t="s">
        <v>155</v>
      </c>
      <c r="E115" s="36" t="s">
        <v>46</v>
      </c>
      <c r="F115" s="36" t="s">
        <v>148</v>
      </c>
      <c r="G115" s="36" t="s">
        <v>142</v>
      </c>
      <c r="H115" s="36" t="s">
        <v>1185</v>
      </c>
      <c r="I115" s="36"/>
      <c r="J115" s="36" t="s">
        <v>36</v>
      </c>
      <c r="K115" s="36" t="s">
        <v>1149</v>
      </c>
      <c r="L115" s="36" t="s">
        <v>429</v>
      </c>
      <c r="M115" s="36" t="s">
        <v>946</v>
      </c>
      <c r="N115" s="36" t="s">
        <v>1020</v>
      </c>
      <c r="O115" s="36" t="s">
        <v>890</v>
      </c>
      <c r="P115" s="36" t="s">
        <v>916</v>
      </c>
      <c r="Q115" s="36" t="s">
        <v>921</v>
      </c>
      <c r="R115" s="36" t="s">
        <v>1111</v>
      </c>
      <c r="S115" s="36" t="s">
        <v>86</v>
      </c>
    </row>
    <row r="116" spans="1:19" x14ac:dyDescent="0.3">
      <c r="A116" s="36" t="s">
        <v>430</v>
      </c>
      <c r="B116" s="36" t="s">
        <v>930</v>
      </c>
      <c r="C116" s="36" t="s">
        <v>133</v>
      </c>
      <c r="D116" s="36" t="s">
        <v>67</v>
      </c>
      <c r="E116" s="36" t="s">
        <v>47</v>
      </c>
      <c r="F116" s="36" t="s">
        <v>134</v>
      </c>
      <c r="G116" s="36" t="s">
        <v>431</v>
      </c>
      <c r="H116" s="36" t="s">
        <v>1187</v>
      </c>
      <c r="I116" s="36" t="s">
        <v>30</v>
      </c>
      <c r="J116" s="36" t="s">
        <v>42</v>
      </c>
      <c r="K116" s="36" t="s">
        <v>960</v>
      </c>
      <c r="L116" s="36" t="s">
        <v>432</v>
      </c>
      <c r="M116" s="36" t="s">
        <v>946</v>
      </c>
      <c r="N116" s="36" t="s">
        <v>965</v>
      </c>
      <c r="O116" s="36" t="s">
        <v>890</v>
      </c>
      <c r="P116" s="36" t="s">
        <v>961</v>
      </c>
      <c r="Q116" s="36" t="s">
        <v>952</v>
      </c>
      <c r="R116" s="36" t="s">
        <v>953</v>
      </c>
      <c r="S116" s="36" t="s">
        <v>86</v>
      </c>
    </row>
    <row r="117" spans="1:19" x14ac:dyDescent="0.3">
      <c r="A117" s="36" t="s">
        <v>433</v>
      </c>
      <c r="B117" s="36" t="s">
        <v>1030</v>
      </c>
      <c r="C117" s="36" t="s">
        <v>943</v>
      </c>
      <c r="D117" s="36" t="s">
        <v>66</v>
      </c>
      <c r="E117" s="36" t="s">
        <v>47</v>
      </c>
      <c r="F117" s="36" t="s">
        <v>194</v>
      </c>
      <c r="G117" s="36"/>
      <c r="H117" s="36" t="s">
        <v>1188</v>
      </c>
      <c r="I117" s="36" t="s">
        <v>24</v>
      </c>
      <c r="J117" s="36" t="s">
        <v>37</v>
      </c>
      <c r="K117" s="36" t="s">
        <v>1000</v>
      </c>
      <c r="L117" s="36" t="s">
        <v>434</v>
      </c>
      <c r="M117" s="36"/>
      <c r="N117" s="36" t="s">
        <v>1093</v>
      </c>
      <c r="O117" s="36" t="s">
        <v>890</v>
      </c>
      <c r="P117" s="36" t="s">
        <v>916</v>
      </c>
      <c r="Q117" s="36" t="s">
        <v>1093</v>
      </c>
      <c r="R117" s="36" t="s">
        <v>1123</v>
      </c>
      <c r="S117" s="36" t="s">
        <v>88</v>
      </c>
    </row>
    <row r="118" spans="1:19" x14ac:dyDescent="0.3">
      <c r="A118" s="36" t="s">
        <v>435</v>
      </c>
      <c r="B118" s="36" t="s">
        <v>1189</v>
      </c>
      <c r="C118" s="36" t="s">
        <v>144</v>
      </c>
      <c r="D118" s="36" t="s">
        <v>66</v>
      </c>
      <c r="E118" s="36" t="s">
        <v>47</v>
      </c>
      <c r="F118" s="36" t="s">
        <v>159</v>
      </c>
      <c r="G118" s="36" t="s">
        <v>436</v>
      </c>
      <c r="H118" s="36" t="s">
        <v>1190</v>
      </c>
      <c r="I118" s="36" t="s">
        <v>30</v>
      </c>
      <c r="J118" s="36" t="s">
        <v>36</v>
      </c>
      <c r="K118" s="36" t="s">
        <v>1018</v>
      </c>
      <c r="L118" s="36" t="s">
        <v>437</v>
      </c>
      <c r="M118" s="36" t="s">
        <v>896</v>
      </c>
      <c r="N118" s="36" t="s">
        <v>929</v>
      </c>
      <c r="O118" s="36" t="s">
        <v>890</v>
      </c>
      <c r="P118" s="36" t="s">
        <v>891</v>
      </c>
      <c r="Q118" s="36" t="s">
        <v>1050</v>
      </c>
      <c r="R118" s="36" t="s">
        <v>1070</v>
      </c>
      <c r="S118" s="36" t="s">
        <v>86</v>
      </c>
    </row>
    <row r="119" spans="1:19" x14ac:dyDescent="0.3">
      <c r="A119" s="36" t="s">
        <v>438</v>
      </c>
      <c r="B119" s="36" t="s">
        <v>906</v>
      </c>
      <c r="C119" s="36"/>
      <c r="D119" s="36" t="s">
        <v>64</v>
      </c>
      <c r="E119" s="36" t="s">
        <v>46</v>
      </c>
      <c r="F119" s="36" t="s">
        <v>148</v>
      </c>
      <c r="G119" s="36" t="s">
        <v>439</v>
      </c>
      <c r="H119" s="36" t="s">
        <v>896</v>
      </c>
      <c r="I119" s="36" t="s">
        <v>27</v>
      </c>
      <c r="J119" s="36" t="s">
        <v>40</v>
      </c>
      <c r="K119" s="36" t="s">
        <v>979</v>
      </c>
      <c r="L119" s="36" t="s">
        <v>440</v>
      </c>
      <c r="M119" s="36" t="s">
        <v>946</v>
      </c>
      <c r="N119" s="36" t="s">
        <v>936</v>
      </c>
      <c r="O119" s="36" t="s">
        <v>898</v>
      </c>
      <c r="P119" s="36" t="s">
        <v>927</v>
      </c>
      <c r="Q119" s="36" t="s">
        <v>998</v>
      </c>
      <c r="R119" s="36" t="s">
        <v>1018</v>
      </c>
      <c r="S119" s="36" t="s">
        <v>86</v>
      </c>
    </row>
    <row r="120" spans="1:19" x14ac:dyDescent="0.3">
      <c r="A120" s="36" t="s">
        <v>441</v>
      </c>
      <c r="B120" s="36" t="s">
        <v>980</v>
      </c>
      <c r="C120" s="36" t="s">
        <v>144</v>
      </c>
      <c r="D120" s="36" t="s">
        <v>64</v>
      </c>
      <c r="E120" s="36" t="s">
        <v>47</v>
      </c>
      <c r="F120" s="36" t="s">
        <v>138</v>
      </c>
      <c r="G120" s="36" t="s">
        <v>249</v>
      </c>
      <c r="H120" s="36" t="s">
        <v>1191</v>
      </c>
      <c r="I120" s="36" t="s">
        <v>29</v>
      </c>
      <c r="J120" s="36" t="s">
        <v>37</v>
      </c>
      <c r="K120" s="36" t="s">
        <v>1027</v>
      </c>
      <c r="L120" s="36" t="s">
        <v>442</v>
      </c>
      <c r="M120" s="36" t="s">
        <v>896</v>
      </c>
      <c r="N120" s="36" t="s">
        <v>934</v>
      </c>
      <c r="O120" s="36" t="s">
        <v>890</v>
      </c>
      <c r="P120" s="36" t="s">
        <v>927</v>
      </c>
      <c r="Q120" s="36" t="s">
        <v>1021</v>
      </c>
      <c r="R120" s="36" t="s">
        <v>918</v>
      </c>
      <c r="S120" s="36" t="s">
        <v>86</v>
      </c>
    </row>
    <row r="121" spans="1:19" x14ac:dyDescent="0.3">
      <c r="A121" s="36" t="s">
        <v>443</v>
      </c>
      <c r="B121" s="36" t="s">
        <v>1124</v>
      </c>
      <c r="C121" s="36" t="s">
        <v>1029</v>
      </c>
      <c r="D121" s="36" t="s">
        <v>63</v>
      </c>
      <c r="E121" s="36" t="s">
        <v>47</v>
      </c>
      <c r="F121" s="36" t="s">
        <v>1192</v>
      </c>
      <c r="G121" s="36" t="s">
        <v>408</v>
      </c>
      <c r="H121" s="36" t="s">
        <v>1193</v>
      </c>
      <c r="I121" s="36" t="s">
        <v>25</v>
      </c>
      <c r="J121" s="36" t="s">
        <v>42</v>
      </c>
      <c r="K121" s="36" t="s">
        <v>1025</v>
      </c>
      <c r="L121" s="36" t="s">
        <v>444</v>
      </c>
      <c r="M121" s="36" t="s">
        <v>896</v>
      </c>
      <c r="N121" s="36" t="s">
        <v>982</v>
      </c>
      <c r="O121" s="36" t="s">
        <v>890</v>
      </c>
      <c r="P121" s="36" t="s">
        <v>916</v>
      </c>
      <c r="Q121" s="36" t="s">
        <v>958</v>
      </c>
      <c r="R121" s="36" t="s">
        <v>1084</v>
      </c>
      <c r="S121" s="36" t="s">
        <v>87</v>
      </c>
    </row>
    <row r="122" spans="1:19" x14ac:dyDescent="0.3">
      <c r="A122" s="36" t="s">
        <v>445</v>
      </c>
      <c r="B122" s="36" t="s">
        <v>1026</v>
      </c>
      <c r="C122" s="36" t="s">
        <v>133</v>
      </c>
      <c r="D122" s="36" t="s">
        <v>67</v>
      </c>
      <c r="E122" s="36" t="s">
        <v>46</v>
      </c>
      <c r="F122" s="36" t="s">
        <v>148</v>
      </c>
      <c r="G122" s="36" t="s">
        <v>188</v>
      </c>
      <c r="H122" s="36" t="s">
        <v>1194</v>
      </c>
      <c r="I122" s="36" t="s">
        <v>1140</v>
      </c>
      <c r="J122" s="36" t="s">
        <v>37</v>
      </c>
      <c r="K122" s="36" t="s">
        <v>941</v>
      </c>
      <c r="L122" s="36" t="s">
        <v>446</v>
      </c>
      <c r="M122" s="36" t="s">
        <v>896</v>
      </c>
      <c r="N122" s="36" t="s">
        <v>936</v>
      </c>
      <c r="O122" s="36" t="s">
        <v>890</v>
      </c>
      <c r="P122" s="36" t="s">
        <v>899</v>
      </c>
      <c r="Q122" s="36" t="s">
        <v>891</v>
      </c>
      <c r="R122" s="36" t="s">
        <v>1084</v>
      </c>
      <c r="S122" s="36" t="s">
        <v>86</v>
      </c>
    </row>
    <row r="123" spans="1:19" x14ac:dyDescent="0.3">
      <c r="A123" s="36" t="s">
        <v>447</v>
      </c>
      <c r="B123" s="36" t="s">
        <v>906</v>
      </c>
      <c r="C123" s="36" t="s">
        <v>133</v>
      </c>
      <c r="D123" s="36" t="s">
        <v>1195</v>
      </c>
      <c r="E123" s="36" t="s">
        <v>46</v>
      </c>
      <c r="F123" s="36" t="s">
        <v>134</v>
      </c>
      <c r="G123" s="36" t="s">
        <v>448</v>
      </c>
      <c r="H123" s="36" t="s">
        <v>896</v>
      </c>
      <c r="I123" s="36" t="s">
        <v>24</v>
      </c>
      <c r="J123" s="36" t="s">
        <v>36</v>
      </c>
      <c r="K123" s="36" t="s">
        <v>1079</v>
      </c>
      <c r="L123" s="36" t="s">
        <v>449</v>
      </c>
      <c r="M123" s="36" t="s">
        <v>896</v>
      </c>
      <c r="N123" s="36" t="s">
        <v>1149</v>
      </c>
      <c r="O123" s="36" t="s">
        <v>898</v>
      </c>
      <c r="P123" s="36" t="s">
        <v>916</v>
      </c>
      <c r="Q123" s="36" t="s">
        <v>933</v>
      </c>
      <c r="R123" s="36" t="s">
        <v>915</v>
      </c>
      <c r="S123" s="36" t="s">
        <v>86</v>
      </c>
    </row>
    <row r="124" spans="1:19" x14ac:dyDescent="0.3">
      <c r="A124" s="36" t="s">
        <v>450</v>
      </c>
      <c r="B124" s="36" t="s">
        <v>1030</v>
      </c>
      <c r="C124" s="36" t="s">
        <v>144</v>
      </c>
      <c r="D124" s="36" t="s">
        <v>70</v>
      </c>
      <c r="E124" s="36" t="s">
        <v>47</v>
      </c>
      <c r="F124" s="36" t="s">
        <v>138</v>
      </c>
      <c r="G124" s="36" t="s">
        <v>451</v>
      </c>
      <c r="H124" s="36" t="s">
        <v>1196</v>
      </c>
      <c r="I124" s="36" t="s">
        <v>1197</v>
      </c>
      <c r="J124" s="36" t="s">
        <v>40</v>
      </c>
      <c r="K124" s="36" t="s">
        <v>1006</v>
      </c>
      <c r="L124" s="36" t="s">
        <v>452</v>
      </c>
      <c r="M124" s="36" t="s">
        <v>906</v>
      </c>
      <c r="N124" s="36" t="s">
        <v>1028</v>
      </c>
      <c r="O124" s="36" t="s">
        <v>890</v>
      </c>
      <c r="P124" s="36"/>
      <c r="Q124" s="36" t="s">
        <v>1119</v>
      </c>
      <c r="R124" s="36" t="s">
        <v>893</v>
      </c>
      <c r="S124" s="36" t="s">
        <v>87</v>
      </c>
    </row>
    <row r="125" spans="1:19" x14ac:dyDescent="0.3">
      <c r="A125" s="36" t="s">
        <v>453</v>
      </c>
      <c r="B125" s="36"/>
      <c r="C125" s="36" t="s">
        <v>1137</v>
      </c>
      <c r="D125" s="36" t="s">
        <v>64</v>
      </c>
      <c r="E125" s="36" t="s">
        <v>46</v>
      </c>
      <c r="F125" s="36" t="s">
        <v>138</v>
      </c>
      <c r="G125" s="36" t="s">
        <v>177</v>
      </c>
      <c r="H125" s="36" t="s">
        <v>1198</v>
      </c>
      <c r="I125" s="36" t="s">
        <v>27</v>
      </c>
      <c r="J125" s="36" t="s">
        <v>38</v>
      </c>
      <c r="K125" s="36" t="s">
        <v>959</v>
      </c>
      <c r="L125" s="36"/>
      <c r="M125" s="36" t="s">
        <v>906</v>
      </c>
      <c r="N125" s="36" t="s">
        <v>1082</v>
      </c>
      <c r="O125" s="36" t="s">
        <v>898</v>
      </c>
      <c r="P125" s="36" t="s">
        <v>916</v>
      </c>
      <c r="Q125" s="36" t="s">
        <v>959</v>
      </c>
      <c r="R125" s="36" t="s">
        <v>917</v>
      </c>
      <c r="S125" s="36" t="s">
        <v>87</v>
      </c>
    </row>
    <row r="126" spans="1:19" x14ac:dyDescent="0.3">
      <c r="A126" s="36" t="s">
        <v>454</v>
      </c>
      <c r="B126" s="36" t="s">
        <v>1177</v>
      </c>
      <c r="C126" s="36" t="s">
        <v>133</v>
      </c>
      <c r="D126" s="36" t="s">
        <v>68</v>
      </c>
      <c r="E126" s="36" t="s">
        <v>46</v>
      </c>
      <c r="F126" s="36" t="s">
        <v>148</v>
      </c>
      <c r="G126" s="36" t="s">
        <v>171</v>
      </c>
      <c r="H126" s="36" t="s">
        <v>1199</v>
      </c>
      <c r="I126" s="36" t="s">
        <v>24</v>
      </c>
      <c r="J126" s="36" t="s">
        <v>38</v>
      </c>
      <c r="K126" s="36" t="s">
        <v>890</v>
      </c>
      <c r="L126" s="36" t="s">
        <v>455</v>
      </c>
      <c r="M126" s="36" t="s">
        <v>896</v>
      </c>
      <c r="N126" s="36" t="s">
        <v>947</v>
      </c>
      <c r="O126" s="36" t="s">
        <v>898</v>
      </c>
      <c r="P126" s="36" t="s">
        <v>961</v>
      </c>
      <c r="Q126" s="36" t="s">
        <v>1050</v>
      </c>
      <c r="R126" s="36" t="s">
        <v>889</v>
      </c>
      <c r="S126" s="36" t="s">
        <v>86</v>
      </c>
    </row>
    <row r="127" spans="1:19" x14ac:dyDescent="0.3">
      <c r="A127" s="36" t="s">
        <v>456</v>
      </c>
      <c r="B127" s="36" t="s">
        <v>949</v>
      </c>
      <c r="C127" s="36" t="s">
        <v>144</v>
      </c>
      <c r="D127" s="36" t="s">
        <v>62</v>
      </c>
      <c r="E127" s="36" t="s">
        <v>47</v>
      </c>
      <c r="F127" s="36" t="s">
        <v>245</v>
      </c>
      <c r="G127" s="36" t="s">
        <v>457</v>
      </c>
      <c r="H127" s="36" t="s">
        <v>1200</v>
      </c>
      <c r="I127" s="36" t="s">
        <v>27</v>
      </c>
      <c r="J127" s="36"/>
      <c r="K127" s="36" t="s">
        <v>914</v>
      </c>
      <c r="L127" s="36" t="s">
        <v>458</v>
      </c>
      <c r="M127" s="36" t="s">
        <v>896</v>
      </c>
      <c r="N127" s="36" t="s">
        <v>965</v>
      </c>
      <c r="O127" s="36"/>
      <c r="P127" s="36" t="s">
        <v>916</v>
      </c>
      <c r="Q127" s="36" t="s">
        <v>976</v>
      </c>
      <c r="R127" s="36" t="s">
        <v>1084</v>
      </c>
      <c r="S127" s="36" t="s">
        <v>88</v>
      </c>
    </row>
    <row r="128" spans="1:19" x14ac:dyDescent="0.3">
      <c r="A128" s="36" t="s">
        <v>459</v>
      </c>
      <c r="B128" s="36" t="s">
        <v>1201</v>
      </c>
      <c r="C128" s="36" t="s">
        <v>133</v>
      </c>
      <c r="D128" s="36" t="s">
        <v>66</v>
      </c>
      <c r="E128" s="36" t="s">
        <v>47</v>
      </c>
      <c r="F128" s="36" t="s">
        <v>138</v>
      </c>
      <c r="G128" s="36" t="s">
        <v>460</v>
      </c>
      <c r="H128" s="36" t="s">
        <v>1202</v>
      </c>
      <c r="I128" s="36"/>
      <c r="J128" s="36" t="s">
        <v>42</v>
      </c>
      <c r="K128" s="36" t="s">
        <v>1176</v>
      </c>
      <c r="L128" s="36" t="s">
        <v>461</v>
      </c>
      <c r="M128" s="36" t="s">
        <v>896</v>
      </c>
      <c r="N128" s="36" t="s">
        <v>895</v>
      </c>
      <c r="O128" s="36" t="s">
        <v>908</v>
      </c>
      <c r="P128" s="36" t="s">
        <v>898</v>
      </c>
      <c r="Q128" s="36" t="s">
        <v>1062</v>
      </c>
      <c r="R128" s="36" t="s">
        <v>976</v>
      </c>
      <c r="S128" s="36" t="s">
        <v>86</v>
      </c>
    </row>
    <row r="129" spans="1:19" x14ac:dyDescent="0.3">
      <c r="A129" s="36" t="s">
        <v>462</v>
      </c>
      <c r="B129" s="36" t="s">
        <v>902</v>
      </c>
      <c r="C129" s="36"/>
      <c r="D129" s="36" t="s">
        <v>67</v>
      </c>
      <c r="E129" s="36" t="s">
        <v>46</v>
      </c>
      <c r="F129" s="36" t="s">
        <v>134</v>
      </c>
      <c r="G129" s="36" t="s">
        <v>463</v>
      </c>
      <c r="H129" s="36" t="s">
        <v>1203</v>
      </c>
      <c r="I129" s="36" t="s">
        <v>27</v>
      </c>
      <c r="J129" s="36"/>
      <c r="K129" s="36" t="s">
        <v>1047</v>
      </c>
      <c r="L129" s="36" t="s">
        <v>464</v>
      </c>
      <c r="M129" s="36" t="s">
        <v>906</v>
      </c>
      <c r="N129" s="36" t="s">
        <v>968</v>
      </c>
      <c r="O129" s="36" t="s">
        <v>890</v>
      </c>
      <c r="P129" s="36" t="s">
        <v>961</v>
      </c>
      <c r="Q129" s="36" t="s">
        <v>922</v>
      </c>
      <c r="R129" s="36" t="s">
        <v>907</v>
      </c>
      <c r="S129" s="36" t="s">
        <v>86</v>
      </c>
    </row>
    <row r="130" spans="1:19" x14ac:dyDescent="0.3">
      <c r="A130" s="36" t="s">
        <v>465</v>
      </c>
      <c r="B130" s="36" t="s">
        <v>980</v>
      </c>
      <c r="C130" s="36" t="s">
        <v>144</v>
      </c>
      <c r="D130" s="36"/>
      <c r="E130" s="36" t="s">
        <v>47</v>
      </c>
      <c r="F130" s="36" t="s">
        <v>138</v>
      </c>
      <c r="G130" s="36" t="s">
        <v>139</v>
      </c>
      <c r="H130" s="36" t="s">
        <v>1204</v>
      </c>
      <c r="I130" s="36" t="s">
        <v>28</v>
      </c>
      <c r="J130" s="36" t="s">
        <v>42</v>
      </c>
      <c r="K130" s="36" t="s">
        <v>933</v>
      </c>
      <c r="L130" s="36" t="s">
        <v>466</v>
      </c>
      <c r="M130" s="36" t="s">
        <v>896</v>
      </c>
      <c r="N130" s="36" t="s">
        <v>1047</v>
      </c>
      <c r="O130" s="36" t="s">
        <v>890</v>
      </c>
      <c r="P130" s="36"/>
      <c r="Q130" s="36" t="s">
        <v>1205</v>
      </c>
      <c r="R130" s="36" t="s">
        <v>1070</v>
      </c>
      <c r="S130" s="36" t="s">
        <v>88</v>
      </c>
    </row>
    <row r="131" spans="1:19" x14ac:dyDescent="0.3">
      <c r="A131" s="36" t="s">
        <v>467</v>
      </c>
      <c r="B131" s="36" t="s">
        <v>980</v>
      </c>
      <c r="C131" s="36" t="s">
        <v>133</v>
      </c>
      <c r="D131" s="36" t="s">
        <v>62</v>
      </c>
      <c r="E131" s="36" t="s">
        <v>46</v>
      </c>
      <c r="F131" s="36" t="s">
        <v>148</v>
      </c>
      <c r="G131" s="36" t="s">
        <v>142</v>
      </c>
      <c r="H131" s="36" t="s">
        <v>1206</v>
      </c>
      <c r="I131" s="36" t="s">
        <v>31</v>
      </c>
      <c r="J131" s="36" t="s">
        <v>36</v>
      </c>
      <c r="K131" s="36" t="s">
        <v>1062</v>
      </c>
      <c r="L131" s="36" t="s">
        <v>468</v>
      </c>
      <c r="M131" s="36" t="s">
        <v>1124</v>
      </c>
      <c r="N131" s="36" t="s">
        <v>1001</v>
      </c>
      <c r="O131" s="36" t="s">
        <v>908</v>
      </c>
      <c r="P131" s="36" t="s">
        <v>890</v>
      </c>
      <c r="Q131" s="36" t="s">
        <v>941</v>
      </c>
      <c r="R131" s="36" t="s">
        <v>1090</v>
      </c>
      <c r="S131" s="36" t="s">
        <v>88</v>
      </c>
    </row>
    <row r="132" spans="1:19" x14ac:dyDescent="0.3">
      <c r="A132" s="36" t="s">
        <v>469</v>
      </c>
      <c r="B132" s="36" t="s">
        <v>1069</v>
      </c>
      <c r="C132" s="36" t="s">
        <v>144</v>
      </c>
      <c r="D132" s="36" t="s">
        <v>62</v>
      </c>
      <c r="E132" s="36" t="s">
        <v>46</v>
      </c>
      <c r="F132" s="36" t="s">
        <v>134</v>
      </c>
      <c r="G132" s="36" t="s">
        <v>426</v>
      </c>
      <c r="H132" s="36" t="s">
        <v>1207</v>
      </c>
      <c r="I132" s="36" t="s">
        <v>24</v>
      </c>
      <c r="J132" s="36" t="s">
        <v>38</v>
      </c>
      <c r="K132" s="36" t="s">
        <v>952</v>
      </c>
      <c r="L132" s="36" t="s">
        <v>470</v>
      </c>
      <c r="M132" s="36" t="s">
        <v>896</v>
      </c>
      <c r="N132" s="36" t="s">
        <v>895</v>
      </c>
      <c r="O132" s="36" t="s">
        <v>890</v>
      </c>
      <c r="P132" s="36" t="s">
        <v>891</v>
      </c>
      <c r="Q132" s="36" t="s">
        <v>1059</v>
      </c>
      <c r="R132" s="36" t="s">
        <v>986</v>
      </c>
      <c r="S132" s="36" t="s">
        <v>86</v>
      </c>
    </row>
    <row r="133" spans="1:19" x14ac:dyDescent="0.3">
      <c r="A133" s="36" t="s">
        <v>471</v>
      </c>
      <c r="B133" s="36" t="s">
        <v>886</v>
      </c>
      <c r="C133" s="36"/>
      <c r="D133" s="36" t="s">
        <v>64</v>
      </c>
      <c r="E133" s="36" t="s">
        <v>46</v>
      </c>
      <c r="F133" s="36"/>
      <c r="G133" s="36" t="s">
        <v>177</v>
      </c>
      <c r="H133" s="36" t="s">
        <v>1208</v>
      </c>
      <c r="I133" s="36" t="s">
        <v>24</v>
      </c>
      <c r="J133" s="36" t="s">
        <v>36</v>
      </c>
      <c r="K133" s="36" t="s">
        <v>1079</v>
      </c>
      <c r="L133" s="36" t="s">
        <v>472</v>
      </c>
      <c r="M133" s="36" t="s">
        <v>906</v>
      </c>
      <c r="N133" s="36" t="s">
        <v>928</v>
      </c>
      <c r="O133" s="36" t="s">
        <v>898</v>
      </c>
      <c r="P133" s="36" t="s">
        <v>898</v>
      </c>
      <c r="Q133" s="36" t="s">
        <v>958</v>
      </c>
      <c r="R133" s="36" t="s">
        <v>915</v>
      </c>
      <c r="S133" s="36" t="s">
        <v>88</v>
      </c>
    </row>
    <row r="134" spans="1:19" x14ac:dyDescent="0.3">
      <c r="A134" s="36" t="s">
        <v>473</v>
      </c>
      <c r="B134" s="36" t="s">
        <v>906</v>
      </c>
      <c r="C134" s="36" t="s">
        <v>1066</v>
      </c>
      <c r="D134" s="36" t="s">
        <v>62</v>
      </c>
      <c r="E134" s="36" t="s">
        <v>46</v>
      </c>
      <c r="F134" s="36"/>
      <c r="G134" s="36" t="s">
        <v>426</v>
      </c>
      <c r="H134" s="36" t="s">
        <v>1209</v>
      </c>
      <c r="I134" s="36" t="s">
        <v>25</v>
      </c>
      <c r="J134" s="36" t="s">
        <v>39</v>
      </c>
      <c r="K134" s="36" t="s">
        <v>933</v>
      </c>
      <c r="L134" s="36" t="s">
        <v>474</v>
      </c>
      <c r="M134" s="36" t="s">
        <v>896</v>
      </c>
      <c r="N134" s="36" t="s">
        <v>982</v>
      </c>
      <c r="O134" s="36" t="s">
        <v>898</v>
      </c>
      <c r="P134" s="36" t="s">
        <v>890</v>
      </c>
      <c r="Q134" s="36" t="s">
        <v>914</v>
      </c>
      <c r="R134" s="36" t="s">
        <v>922</v>
      </c>
      <c r="S134" s="36" t="s">
        <v>88</v>
      </c>
    </row>
    <row r="135" spans="1:19" x14ac:dyDescent="0.3">
      <c r="A135" s="36" t="s">
        <v>475</v>
      </c>
      <c r="B135" s="36" t="s">
        <v>954</v>
      </c>
      <c r="C135" s="36" t="s">
        <v>991</v>
      </c>
      <c r="D135" s="36" t="s">
        <v>62</v>
      </c>
      <c r="E135" s="36" t="s">
        <v>46</v>
      </c>
      <c r="F135" s="36" t="s">
        <v>148</v>
      </c>
      <c r="G135" s="36" t="s">
        <v>426</v>
      </c>
      <c r="H135" s="36" t="s">
        <v>1210</v>
      </c>
      <c r="I135" s="36" t="s">
        <v>24</v>
      </c>
      <c r="J135" s="36" t="s">
        <v>38</v>
      </c>
      <c r="K135" s="36" t="s">
        <v>1079</v>
      </c>
      <c r="L135" s="36" t="s">
        <v>476</v>
      </c>
      <c r="M135" s="36" t="s">
        <v>1124</v>
      </c>
      <c r="N135" s="36" t="s">
        <v>928</v>
      </c>
      <c r="O135" s="36" t="s">
        <v>890</v>
      </c>
      <c r="P135" s="36" t="s">
        <v>890</v>
      </c>
      <c r="Q135" s="36" t="s">
        <v>1018</v>
      </c>
      <c r="R135" s="36" t="s">
        <v>1093</v>
      </c>
      <c r="S135" s="36" t="s">
        <v>88</v>
      </c>
    </row>
    <row r="136" spans="1:19" x14ac:dyDescent="0.3">
      <c r="A136" s="36" t="s">
        <v>477</v>
      </c>
      <c r="B136" s="36" t="s">
        <v>988</v>
      </c>
      <c r="C136" s="36" t="s">
        <v>133</v>
      </c>
      <c r="D136" s="36" t="s">
        <v>67</v>
      </c>
      <c r="E136" s="36" t="s">
        <v>46</v>
      </c>
      <c r="F136" s="36" t="s">
        <v>159</v>
      </c>
      <c r="G136" s="36" t="s">
        <v>188</v>
      </c>
      <c r="H136" s="36" t="s">
        <v>1030</v>
      </c>
      <c r="I136" s="36" t="s">
        <v>27</v>
      </c>
      <c r="J136" s="36" t="s">
        <v>37</v>
      </c>
      <c r="K136" s="36" t="s">
        <v>898</v>
      </c>
      <c r="L136" s="36" t="s">
        <v>478</v>
      </c>
      <c r="M136" s="36" t="s">
        <v>896</v>
      </c>
      <c r="N136" s="36" t="s">
        <v>891</v>
      </c>
      <c r="O136" s="36" t="s">
        <v>890</v>
      </c>
      <c r="P136" s="36" t="s">
        <v>899</v>
      </c>
      <c r="Q136" s="36" t="s">
        <v>1135</v>
      </c>
      <c r="R136" s="36" t="s">
        <v>917</v>
      </c>
      <c r="S136" s="36" t="s">
        <v>86</v>
      </c>
    </row>
    <row r="137" spans="1:19" x14ac:dyDescent="0.3">
      <c r="A137" s="36" t="s">
        <v>479</v>
      </c>
      <c r="B137" s="36" t="s">
        <v>1069</v>
      </c>
      <c r="C137" s="36" t="s">
        <v>1066</v>
      </c>
      <c r="D137" s="36" t="s">
        <v>67</v>
      </c>
      <c r="E137" s="36" t="s">
        <v>46</v>
      </c>
      <c r="F137" s="36" t="s">
        <v>245</v>
      </c>
      <c r="G137" s="36" t="s">
        <v>480</v>
      </c>
      <c r="H137" s="36" t="s">
        <v>896</v>
      </c>
      <c r="I137" s="36" t="s">
        <v>25</v>
      </c>
      <c r="J137" s="36" t="s">
        <v>36</v>
      </c>
      <c r="K137" s="36" t="s">
        <v>958</v>
      </c>
      <c r="L137" s="36" t="s">
        <v>481</v>
      </c>
      <c r="M137" s="36" t="s">
        <v>896</v>
      </c>
      <c r="N137" s="36"/>
      <c r="O137" s="36" t="s">
        <v>908</v>
      </c>
      <c r="P137" s="36" t="s">
        <v>898</v>
      </c>
      <c r="Q137" s="36" t="s">
        <v>896</v>
      </c>
      <c r="R137" s="36" t="s">
        <v>982</v>
      </c>
      <c r="S137" s="36" t="s">
        <v>88</v>
      </c>
    </row>
    <row r="138" spans="1:19" x14ac:dyDescent="0.3">
      <c r="A138" s="36" t="s">
        <v>482</v>
      </c>
      <c r="B138" s="36" t="s">
        <v>930</v>
      </c>
      <c r="C138" s="36" t="s">
        <v>1125</v>
      </c>
      <c r="D138" s="36" t="s">
        <v>62</v>
      </c>
      <c r="E138" s="36" t="s">
        <v>47</v>
      </c>
      <c r="F138" s="36" t="s">
        <v>138</v>
      </c>
      <c r="G138" s="36" t="s">
        <v>174</v>
      </c>
      <c r="H138" s="36" t="s">
        <v>1211</v>
      </c>
      <c r="I138" s="36" t="s">
        <v>24</v>
      </c>
      <c r="J138" s="36" t="s">
        <v>36</v>
      </c>
      <c r="K138" s="36" t="s">
        <v>1176</v>
      </c>
      <c r="L138" s="36" t="s">
        <v>483</v>
      </c>
      <c r="M138" s="36" t="s">
        <v>896</v>
      </c>
      <c r="N138" s="36" t="s">
        <v>1044</v>
      </c>
      <c r="O138" s="36" t="s">
        <v>898</v>
      </c>
      <c r="P138" s="36" t="s">
        <v>927</v>
      </c>
      <c r="Q138" s="36" t="s">
        <v>915</v>
      </c>
      <c r="R138" s="36" t="s">
        <v>1044</v>
      </c>
      <c r="S138" s="36" t="s">
        <v>88</v>
      </c>
    </row>
    <row r="139" spans="1:19" x14ac:dyDescent="0.3">
      <c r="A139" s="36" t="s">
        <v>469</v>
      </c>
      <c r="B139" s="36" t="s">
        <v>1069</v>
      </c>
      <c r="C139" s="36" t="s">
        <v>144</v>
      </c>
      <c r="D139" s="36" t="s">
        <v>62</v>
      </c>
      <c r="E139" s="36" t="s">
        <v>46</v>
      </c>
      <c r="F139" s="36" t="s">
        <v>134</v>
      </c>
      <c r="G139" s="36" t="s">
        <v>426</v>
      </c>
      <c r="H139" s="36" t="s">
        <v>1207</v>
      </c>
      <c r="I139" s="36" t="s">
        <v>24</v>
      </c>
      <c r="J139" s="36" t="s">
        <v>38</v>
      </c>
      <c r="K139" s="36" t="s">
        <v>952</v>
      </c>
      <c r="L139" s="36" t="s">
        <v>470</v>
      </c>
      <c r="M139" s="36" t="s">
        <v>896</v>
      </c>
      <c r="N139" s="36" t="s">
        <v>895</v>
      </c>
      <c r="O139" s="36" t="s">
        <v>890</v>
      </c>
      <c r="P139" s="36" t="s">
        <v>891</v>
      </c>
      <c r="Q139" s="36" t="s">
        <v>1059</v>
      </c>
      <c r="R139" s="36" t="s">
        <v>986</v>
      </c>
      <c r="S139" s="36" t="s">
        <v>86</v>
      </c>
    </row>
    <row r="140" spans="1:19" x14ac:dyDescent="0.3">
      <c r="A140" s="36" t="s">
        <v>484</v>
      </c>
      <c r="B140" s="36" t="s">
        <v>994</v>
      </c>
      <c r="C140" s="36" t="s">
        <v>1066</v>
      </c>
      <c r="D140" s="36" t="s">
        <v>191</v>
      </c>
      <c r="E140" s="36" t="s">
        <v>47</v>
      </c>
      <c r="F140" s="36" t="s">
        <v>194</v>
      </c>
      <c r="G140" s="36" t="s">
        <v>181</v>
      </c>
      <c r="H140" s="36" t="s">
        <v>1212</v>
      </c>
      <c r="I140" s="36" t="s">
        <v>24</v>
      </c>
      <c r="J140" s="36" t="s">
        <v>41</v>
      </c>
      <c r="K140" s="36" t="s">
        <v>959</v>
      </c>
      <c r="L140" s="36" t="s">
        <v>485</v>
      </c>
      <c r="M140" s="36" t="s">
        <v>896</v>
      </c>
      <c r="N140" s="36" t="s">
        <v>1001</v>
      </c>
      <c r="O140" s="36" t="s">
        <v>890</v>
      </c>
      <c r="P140" s="36" t="s">
        <v>916</v>
      </c>
      <c r="Q140" s="36" t="s">
        <v>1093</v>
      </c>
      <c r="R140" s="36" t="s">
        <v>917</v>
      </c>
      <c r="S140" s="36" t="s">
        <v>86</v>
      </c>
    </row>
    <row r="141" spans="1:19" x14ac:dyDescent="0.3">
      <c r="A141" s="36" t="s">
        <v>486</v>
      </c>
      <c r="B141" s="36" t="s">
        <v>1213</v>
      </c>
      <c r="C141" s="36" t="s">
        <v>144</v>
      </c>
      <c r="D141" s="36" t="s">
        <v>61</v>
      </c>
      <c r="E141" s="36" t="s">
        <v>47</v>
      </c>
      <c r="F141" s="36" t="s">
        <v>134</v>
      </c>
      <c r="G141" s="36" t="s">
        <v>487</v>
      </c>
      <c r="H141" s="36" t="s">
        <v>1214</v>
      </c>
      <c r="I141" s="36" t="s">
        <v>951</v>
      </c>
      <c r="J141" s="36" t="s">
        <v>39</v>
      </c>
      <c r="K141" s="36" t="s">
        <v>908</v>
      </c>
      <c r="L141" s="36" t="s">
        <v>488</v>
      </c>
      <c r="M141" s="36" t="s">
        <v>1124</v>
      </c>
      <c r="N141" s="36" t="s">
        <v>909</v>
      </c>
      <c r="O141" s="36" t="s">
        <v>916</v>
      </c>
      <c r="P141" s="36" t="s">
        <v>961</v>
      </c>
      <c r="Q141" s="36" t="s">
        <v>895</v>
      </c>
      <c r="R141" s="36" t="s">
        <v>947</v>
      </c>
      <c r="S141" s="36" t="s">
        <v>88</v>
      </c>
    </row>
    <row r="142" spans="1:19" x14ac:dyDescent="0.3">
      <c r="A142" s="36" t="s">
        <v>489</v>
      </c>
      <c r="B142" s="36" t="s">
        <v>962</v>
      </c>
      <c r="C142" s="36" t="s">
        <v>133</v>
      </c>
      <c r="D142" s="36" t="s">
        <v>155</v>
      </c>
      <c r="E142" s="36" t="s">
        <v>46</v>
      </c>
      <c r="F142" s="36" t="s">
        <v>159</v>
      </c>
      <c r="G142" s="36" t="s">
        <v>220</v>
      </c>
      <c r="H142" s="36" t="s">
        <v>1206</v>
      </c>
      <c r="I142" s="36" t="s">
        <v>28</v>
      </c>
      <c r="J142" s="36" t="s">
        <v>39</v>
      </c>
      <c r="K142" s="36" t="s">
        <v>936</v>
      </c>
      <c r="L142" s="36" t="s">
        <v>490</v>
      </c>
      <c r="M142" s="36" t="s">
        <v>946</v>
      </c>
      <c r="N142" s="36" t="s">
        <v>1045</v>
      </c>
      <c r="O142" s="36" t="s">
        <v>908</v>
      </c>
      <c r="P142" s="36" t="s">
        <v>927</v>
      </c>
      <c r="Q142" s="36" t="s">
        <v>1215</v>
      </c>
      <c r="R142" s="36" t="s">
        <v>968</v>
      </c>
      <c r="S142" s="36" t="s">
        <v>88</v>
      </c>
    </row>
    <row r="143" spans="1:19" x14ac:dyDescent="0.3">
      <c r="A143" s="36" t="s">
        <v>491</v>
      </c>
      <c r="B143" s="36" t="s">
        <v>980</v>
      </c>
      <c r="C143" s="36" t="s">
        <v>1137</v>
      </c>
      <c r="D143" s="36" t="s">
        <v>62</v>
      </c>
      <c r="E143" s="36" t="s">
        <v>46</v>
      </c>
      <c r="F143" s="36" t="s">
        <v>138</v>
      </c>
      <c r="G143" s="36" t="s">
        <v>439</v>
      </c>
      <c r="H143" s="36" t="s">
        <v>1216</v>
      </c>
      <c r="I143" s="36" t="s">
        <v>26</v>
      </c>
      <c r="J143" s="36" t="s">
        <v>40</v>
      </c>
      <c r="K143" s="36" t="s">
        <v>1176</v>
      </c>
      <c r="L143" s="36" t="s">
        <v>492</v>
      </c>
      <c r="M143" s="36" t="s">
        <v>896</v>
      </c>
      <c r="N143" s="36" t="s">
        <v>1001</v>
      </c>
      <c r="O143" s="36" t="s">
        <v>890</v>
      </c>
      <c r="P143" s="36" t="s">
        <v>916</v>
      </c>
      <c r="Q143" s="36" t="s">
        <v>908</v>
      </c>
      <c r="R143" s="36"/>
      <c r="S143" s="36" t="s">
        <v>86</v>
      </c>
    </row>
    <row r="144" spans="1:19" x14ac:dyDescent="0.3">
      <c r="A144" s="36" t="s">
        <v>493</v>
      </c>
      <c r="B144" s="36" t="s">
        <v>1074</v>
      </c>
      <c r="C144" s="36" t="s">
        <v>943</v>
      </c>
      <c r="D144" s="36" t="s">
        <v>66</v>
      </c>
      <c r="E144" s="36" t="s">
        <v>47</v>
      </c>
      <c r="F144" s="36" t="s">
        <v>138</v>
      </c>
      <c r="G144" s="36" t="s">
        <v>494</v>
      </c>
      <c r="H144" s="36" t="s">
        <v>1217</v>
      </c>
      <c r="I144" s="36" t="s">
        <v>27</v>
      </c>
      <c r="J144" s="36"/>
      <c r="K144" s="36" t="s">
        <v>1110</v>
      </c>
      <c r="L144" s="36" t="s">
        <v>495</v>
      </c>
      <c r="M144" s="36" t="s">
        <v>896</v>
      </c>
      <c r="N144" s="36" t="s">
        <v>986</v>
      </c>
      <c r="O144" s="36" t="s">
        <v>908</v>
      </c>
      <c r="P144" s="36" t="s">
        <v>927</v>
      </c>
      <c r="Q144" s="36" t="s">
        <v>908</v>
      </c>
      <c r="R144" s="36" t="s">
        <v>956</v>
      </c>
      <c r="S144" s="36" t="s">
        <v>86</v>
      </c>
    </row>
    <row r="145" spans="1:19" x14ac:dyDescent="0.3">
      <c r="A145" s="36" t="s">
        <v>496</v>
      </c>
      <c r="B145" s="36" t="s">
        <v>962</v>
      </c>
      <c r="C145" s="36" t="s">
        <v>144</v>
      </c>
      <c r="D145" s="36" t="s">
        <v>64</v>
      </c>
      <c r="E145" s="36" t="s">
        <v>46</v>
      </c>
      <c r="F145" s="36" t="s">
        <v>148</v>
      </c>
      <c r="G145" s="36" t="s">
        <v>142</v>
      </c>
      <c r="H145" s="36" t="s">
        <v>896</v>
      </c>
      <c r="I145" s="36" t="s">
        <v>31</v>
      </c>
      <c r="J145" s="36" t="s">
        <v>36</v>
      </c>
      <c r="K145" s="36" t="s">
        <v>928</v>
      </c>
      <c r="L145" s="36" t="s">
        <v>497</v>
      </c>
      <c r="M145" s="36" t="s">
        <v>906</v>
      </c>
      <c r="N145" s="36" t="s">
        <v>934</v>
      </c>
      <c r="O145" s="36" t="s">
        <v>908</v>
      </c>
      <c r="P145" s="36" t="s">
        <v>890</v>
      </c>
      <c r="Q145" s="36"/>
      <c r="R145" s="36" t="s">
        <v>1035</v>
      </c>
      <c r="S145" s="36"/>
    </row>
    <row r="146" spans="1:19" x14ac:dyDescent="0.3">
      <c r="A146" s="36" t="s">
        <v>498</v>
      </c>
      <c r="B146" s="36" t="s">
        <v>1054</v>
      </c>
      <c r="C146" s="36" t="s">
        <v>144</v>
      </c>
      <c r="D146" s="36" t="s">
        <v>67</v>
      </c>
      <c r="E146" s="36" t="s">
        <v>47</v>
      </c>
      <c r="F146" s="36" t="s">
        <v>194</v>
      </c>
      <c r="G146" s="36" t="s">
        <v>499</v>
      </c>
      <c r="H146" s="36" t="s">
        <v>1218</v>
      </c>
      <c r="I146" s="36" t="s">
        <v>24</v>
      </c>
      <c r="J146" s="36" t="s">
        <v>36</v>
      </c>
      <c r="K146" s="36" t="s">
        <v>1025</v>
      </c>
      <c r="L146" s="36" t="s">
        <v>500</v>
      </c>
      <c r="M146" s="36" t="s">
        <v>896</v>
      </c>
      <c r="N146" s="36" t="s">
        <v>1044</v>
      </c>
      <c r="O146" s="36" t="s">
        <v>890</v>
      </c>
      <c r="P146" s="36" t="s">
        <v>891</v>
      </c>
      <c r="Q146" s="36" t="s">
        <v>1093</v>
      </c>
      <c r="R146" s="36" t="s">
        <v>1045</v>
      </c>
      <c r="S146" s="36" t="s">
        <v>86</v>
      </c>
    </row>
    <row r="147" spans="1:19" x14ac:dyDescent="0.3">
      <c r="A147" s="36" t="s">
        <v>501</v>
      </c>
      <c r="B147" s="36" t="s">
        <v>902</v>
      </c>
      <c r="C147" s="36" t="s">
        <v>144</v>
      </c>
      <c r="D147" s="36" t="s">
        <v>69</v>
      </c>
      <c r="E147" s="36" t="s">
        <v>46</v>
      </c>
      <c r="F147" s="36" t="s">
        <v>159</v>
      </c>
      <c r="G147" s="36" t="s">
        <v>188</v>
      </c>
      <c r="H147" s="36" t="s">
        <v>896</v>
      </c>
      <c r="I147" s="36" t="s">
        <v>26</v>
      </c>
      <c r="J147" s="36" t="s">
        <v>37</v>
      </c>
      <c r="K147" s="36" t="s">
        <v>987</v>
      </c>
      <c r="L147" s="36" t="s">
        <v>502</v>
      </c>
      <c r="M147" s="36" t="s">
        <v>1124</v>
      </c>
      <c r="N147" s="36" t="s">
        <v>971</v>
      </c>
      <c r="O147" s="36" t="s">
        <v>898</v>
      </c>
      <c r="P147" s="36" t="s">
        <v>899</v>
      </c>
      <c r="Q147" s="36" t="s">
        <v>1219</v>
      </c>
      <c r="R147" s="36" t="s">
        <v>895</v>
      </c>
      <c r="S147" s="36" t="s">
        <v>86</v>
      </c>
    </row>
    <row r="148" spans="1:19" x14ac:dyDescent="0.3">
      <c r="A148" s="36" t="s">
        <v>503</v>
      </c>
      <c r="B148" s="36" t="s">
        <v>954</v>
      </c>
      <c r="C148" s="36" t="s">
        <v>133</v>
      </c>
      <c r="D148" s="36" t="s">
        <v>67</v>
      </c>
      <c r="E148" s="36" t="s">
        <v>46</v>
      </c>
      <c r="F148" s="36" t="s">
        <v>148</v>
      </c>
      <c r="G148" s="36" t="s">
        <v>235</v>
      </c>
      <c r="H148" s="36" t="s">
        <v>1220</v>
      </c>
      <c r="I148" s="36" t="s">
        <v>24</v>
      </c>
      <c r="J148" s="36" t="s">
        <v>41</v>
      </c>
      <c r="K148" s="36" t="s">
        <v>1093</v>
      </c>
      <c r="L148" s="36" t="s">
        <v>504</v>
      </c>
      <c r="M148" s="36" t="s">
        <v>906</v>
      </c>
      <c r="N148" s="36" t="s">
        <v>1035</v>
      </c>
      <c r="O148" s="36" t="s">
        <v>890</v>
      </c>
      <c r="P148" s="36" t="s">
        <v>927</v>
      </c>
      <c r="Q148" s="36" t="s">
        <v>1221</v>
      </c>
      <c r="R148" s="36" t="s">
        <v>1009</v>
      </c>
      <c r="S148" s="36" t="s">
        <v>87</v>
      </c>
    </row>
    <row r="149" spans="1:19" x14ac:dyDescent="0.3">
      <c r="A149" s="36" t="s">
        <v>505</v>
      </c>
      <c r="B149" s="36" t="s">
        <v>1177</v>
      </c>
      <c r="C149" s="36" t="s">
        <v>144</v>
      </c>
      <c r="D149" s="36" t="s">
        <v>64</v>
      </c>
      <c r="E149" s="36" t="s">
        <v>46</v>
      </c>
      <c r="F149" s="36" t="s">
        <v>148</v>
      </c>
      <c r="G149" s="36" t="s">
        <v>439</v>
      </c>
      <c r="H149" s="36" t="s">
        <v>1222</v>
      </c>
      <c r="I149" s="36" t="s">
        <v>24</v>
      </c>
      <c r="J149" s="36" t="s">
        <v>40</v>
      </c>
      <c r="K149" s="36" t="s">
        <v>1025</v>
      </c>
      <c r="L149" s="36" t="s">
        <v>506</v>
      </c>
      <c r="M149" s="36" t="s">
        <v>896</v>
      </c>
      <c r="N149" s="36"/>
      <c r="O149" s="36" t="s">
        <v>890</v>
      </c>
      <c r="P149" s="36" t="s">
        <v>891</v>
      </c>
      <c r="Q149" s="36" t="s">
        <v>1079</v>
      </c>
      <c r="R149" s="36" t="s">
        <v>929</v>
      </c>
      <c r="S149" s="36" t="s">
        <v>86</v>
      </c>
    </row>
    <row r="150" spans="1:19" x14ac:dyDescent="0.3">
      <c r="A150" s="36" t="s">
        <v>507</v>
      </c>
      <c r="B150" s="36" t="s">
        <v>942</v>
      </c>
      <c r="C150" s="36" t="s">
        <v>144</v>
      </c>
      <c r="D150" s="36" t="s">
        <v>70</v>
      </c>
      <c r="E150" s="36" t="s">
        <v>47</v>
      </c>
      <c r="F150" s="36" t="s">
        <v>159</v>
      </c>
      <c r="G150" s="36" t="s">
        <v>508</v>
      </c>
      <c r="H150" s="36" t="s">
        <v>1223</v>
      </c>
      <c r="I150" s="36" t="s">
        <v>24</v>
      </c>
      <c r="J150" s="36" t="s">
        <v>42</v>
      </c>
      <c r="K150" s="36" t="s">
        <v>926</v>
      </c>
      <c r="L150" s="36" t="s">
        <v>509</v>
      </c>
      <c r="M150" s="36" t="s">
        <v>896</v>
      </c>
      <c r="N150" s="36" t="s">
        <v>890</v>
      </c>
      <c r="O150" s="36" t="s">
        <v>908</v>
      </c>
      <c r="P150" s="36" t="s">
        <v>898</v>
      </c>
      <c r="Q150" s="36" t="s">
        <v>976</v>
      </c>
      <c r="R150" s="36" t="s">
        <v>1084</v>
      </c>
      <c r="S150" s="36" t="s">
        <v>88</v>
      </c>
    </row>
    <row r="151" spans="1:19" x14ac:dyDescent="0.3">
      <c r="A151" s="36" t="s">
        <v>510</v>
      </c>
      <c r="B151" s="36" t="s">
        <v>954</v>
      </c>
      <c r="C151" s="36" t="s">
        <v>1029</v>
      </c>
      <c r="D151" s="36" t="s">
        <v>70</v>
      </c>
      <c r="E151" s="36" t="s">
        <v>46</v>
      </c>
      <c r="F151" s="36" t="s">
        <v>138</v>
      </c>
      <c r="G151" s="36" t="s">
        <v>142</v>
      </c>
      <c r="H151" s="36" t="s">
        <v>1224</v>
      </c>
      <c r="I151" s="36" t="s">
        <v>24</v>
      </c>
      <c r="J151" s="36" t="s">
        <v>36</v>
      </c>
      <c r="K151" s="36" t="s">
        <v>995</v>
      </c>
      <c r="L151" s="36"/>
      <c r="M151" s="36" t="s">
        <v>896</v>
      </c>
      <c r="N151" s="36" t="s">
        <v>1119</v>
      </c>
      <c r="O151" s="36" t="s">
        <v>908</v>
      </c>
      <c r="P151" s="36" t="s">
        <v>916</v>
      </c>
      <c r="Q151" s="36" t="s">
        <v>896</v>
      </c>
      <c r="R151" s="36" t="s">
        <v>915</v>
      </c>
      <c r="S151" s="36" t="s">
        <v>86</v>
      </c>
    </row>
    <row r="152" spans="1:19" x14ac:dyDescent="0.3">
      <c r="A152" s="36" t="s">
        <v>511</v>
      </c>
      <c r="B152" s="36" t="s">
        <v>980</v>
      </c>
      <c r="C152" s="36" t="s">
        <v>133</v>
      </c>
      <c r="D152" s="36" t="s">
        <v>61</v>
      </c>
      <c r="E152" s="36" t="s">
        <v>46</v>
      </c>
      <c r="F152" s="36" t="s">
        <v>148</v>
      </c>
      <c r="G152" s="36" t="s">
        <v>426</v>
      </c>
      <c r="H152" s="36" t="s">
        <v>1225</v>
      </c>
      <c r="I152" s="36" t="s">
        <v>29</v>
      </c>
      <c r="J152" s="36" t="s">
        <v>39</v>
      </c>
      <c r="K152" s="36" t="s">
        <v>926</v>
      </c>
      <c r="L152" s="36" t="s">
        <v>512</v>
      </c>
      <c r="M152" s="36" t="s">
        <v>896</v>
      </c>
      <c r="N152" s="36" t="s">
        <v>979</v>
      </c>
      <c r="O152" s="36" t="s">
        <v>908</v>
      </c>
      <c r="P152" s="36" t="s">
        <v>890</v>
      </c>
      <c r="Q152" s="36" t="s">
        <v>1176</v>
      </c>
      <c r="R152" s="36" t="s">
        <v>961</v>
      </c>
      <c r="S152" s="36" t="s">
        <v>88</v>
      </c>
    </row>
    <row r="153" spans="1:19" x14ac:dyDescent="0.3">
      <c r="A153" s="36" t="s">
        <v>513</v>
      </c>
      <c r="B153" s="36"/>
      <c r="C153" s="36" t="s">
        <v>144</v>
      </c>
      <c r="D153" s="36" t="s">
        <v>63</v>
      </c>
      <c r="E153" s="36" t="s">
        <v>47</v>
      </c>
      <c r="F153" s="36" t="s">
        <v>138</v>
      </c>
      <c r="G153" s="36" t="s">
        <v>139</v>
      </c>
      <c r="H153" s="36" t="s">
        <v>1226</v>
      </c>
      <c r="I153" s="36" t="s">
        <v>31</v>
      </c>
      <c r="J153" s="36" t="s">
        <v>42</v>
      </c>
      <c r="K153" s="36" t="s">
        <v>1115</v>
      </c>
      <c r="L153" s="36" t="s">
        <v>514</v>
      </c>
      <c r="M153" s="36" t="s">
        <v>906</v>
      </c>
      <c r="N153" s="36" t="s">
        <v>1021</v>
      </c>
      <c r="O153" s="36" t="s">
        <v>916</v>
      </c>
      <c r="P153" s="36" t="s">
        <v>899</v>
      </c>
      <c r="Q153" s="36"/>
      <c r="R153" s="36" t="s">
        <v>977</v>
      </c>
      <c r="S153" s="36" t="s">
        <v>86</v>
      </c>
    </row>
    <row r="154" spans="1:19" x14ac:dyDescent="0.3">
      <c r="A154" s="36" t="s">
        <v>515</v>
      </c>
      <c r="B154" s="36" t="s">
        <v>949</v>
      </c>
      <c r="C154" s="36" t="s">
        <v>133</v>
      </c>
      <c r="D154" s="36" t="s">
        <v>61</v>
      </c>
      <c r="E154" s="36" t="s">
        <v>47</v>
      </c>
      <c r="F154" s="36" t="s">
        <v>138</v>
      </c>
      <c r="G154" s="36" t="s">
        <v>396</v>
      </c>
      <c r="H154" s="36" t="s">
        <v>1227</v>
      </c>
      <c r="I154" s="36" t="s">
        <v>24</v>
      </c>
      <c r="J154" s="36" t="s">
        <v>36</v>
      </c>
      <c r="K154" s="36" t="s">
        <v>926</v>
      </c>
      <c r="L154" s="36" t="s">
        <v>516</v>
      </c>
      <c r="M154" s="36" t="s">
        <v>896</v>
      </c>
      <c r="N154" s="36" t="s">
        <v>1086</v>
      </c>
      <c r="O154" s="36" t="s">
        <v>898</v>
      </c>
      <c r="P154" s="36" t="s">
        <v>927</v>
      </c>
      <c r="Q154" s="36" t="s">
        <v>1149</v>
      </c>
      <c r="R154" s="36" t="s">
        <v>1084</v>
      </c>
      <c r="S154" s="36" t="s">
        <v>87</v>
      </c>
    </row>
    <row r="155" spans="1:19" x14ac:dyDescent="0.3">
      <c r="A155" s="36" t="s">
        <v>517</v>
      </c>
      <c r="B155" s="36" t="s">
        <v>980</v>
      </c>
      <c r="C155" s="36" t="s">
        <v>133</v>
      </c>
      <c r="D155" s="36" t="s">
        <v>65</v>
      </c>
      <c r="E155" s="36" t="s">
        <v>46</v>
      </c>
      <c r="F155" s="36" t="s">
        <v>159</v>
      </c>
      <c r="G155" s="36" t="s">
        <v>220</v>
      </c>
      <c r="H155" s="36" t="s">
        <v>981</v>
      </c>
      <c r="I155" s="36" t="s">
        <v>24</v>
      </c>
      <c r="J155" s="36" t="s">
        <v>38</v>
      </c>
      <c r="K155" s="36" t="s">
        <v>1004</v>
      </c>
      <c r="L155" s="36" t="s">
        <v>518</v>
      </c>
      <c r="M155" s="36" t="s">
        <v>1124</v>
      </c>
      <c r="N155" s="36" t="s">
        <v>1110</v>
      </c>
      <c r="O155" s="36" t="s">
        <v>890</v>
      </c>
      <c r="P155" s="36" t="s">
        <v>927</v>
      </c>
      <c r="Q155" s="36" t="s">
        <v>1095</v>
      </c>
      <c r="R155" s="36" t="s">
        <v>959</v>
      </c>
      <c r="S155" s="36" t="s">
        <v>88</v>
      </c>
    </row>
    <row r="156" spans="1:19" x14ac:dyDescent="0.3">
      <c r="A156" s="36" t="s">
        <v>519</v>
      </c>
      <c r="B156" s="36" t="s">
        <v>1098</v>
      </c>
      <c r="C156" s="36" t="s">
        <v>144</v>
      </c>
      <c r="D156" s="36" t="s">
        <v>69</v>
      </c>
      <c r="E156" s="36" t="s">
        <v>47</v>
      </c>
      <c r="F156" s="36" t="s">
        <v>1040</v>
      </c>
      <c r="G156" s="36" t="s">
        <v>249</v>
      </c>
      <c r="H156" s="36" t="s">
        <v>1228</v>
      </c>
      <c r="I156" s="36" t="s">
        <v>24</v>
      </c>
      <c r="J156" s="36" t="s">
        <v>37</v>
      </c>
      <c r="K156" s="36" t="s">
        <v>1027</v>
      </c>
      <c r="L156" s="36" t="s">
        <v>520</v>
      </c>
      <c r="M156" s="36" t="s">
        <v>896</v>
      </c>
      <c r="N156" s="36" t="s">
        <v>1002</v>
      </c>
      <c r="O156" s="36" t="s">
        <v>890</v>
      </c>
      <c r="P156" s="36" t="s">
        <v>891</v>
      </c>
      <c r="Q156" s="36" t="s">
        <v>936</v>
      </c>
      <c r="R156" s="36" t="s">
        <v>1229</v>
      </c>
      <c r="S156" s="36" t="s">
        <v>86</v>
      </c>
    </row>
    <row r="157" spans="1:19" x14ac:dyDescent="0.3">
      <c r="A157" s="36" t="s">
        <v>521</v>
      </c>
      <c r="B157" s="36" t="s">
        <v>962</v>
      </c>
      <c r="C157" s="36" t="s">
        <v>133</v>
      </c>
      <c r="D157" s="36"/>
      <c r="E157" s="36" t="s">
        <v>46</v>
      </c>
      <c r="F157" s="36" t="s">
        <v>159</v>
      </c>
      <c r="G157" s="36" t="s">
        <v>188</v>
      </c>
      <c r="H157" s="36" t="s">
        <v>1230</v>
      </c>
      <c r="I157" s="36" t="s">
        <v>24</v>
      </c>
      <c r="J157" s="36" t="s">
        <v>37</v>
      </c>
      <c r="K157" s="36" t="s">
        <v>898</v>
      </c>
      <c r="L157" s="36" t="s">
        <v>522</v>
      </c>
      <c r="M157" s="36" t="s">
        <v>1124</v>
      </c>
      <c r="N157" s="36" t="s">
        <v>1001</v>
      </c>
      <c r="O157" s="36" t="s">
        <v>890</v>
      </c>
      <c r="P157" s="36" t="s">
        <v>891</v>
      </c>
      <c r="Q157" s="36" t="s">
        <v>1093</v>
      </c>
      <c r="R157" s="36" t="s">
        <v>1059</v>
      </c>
      <c r="S157" s="36" t="s">
        <v>86</v>
      </c>
    </row>
    <row r="158" spans="1:19" x14ac:dyDescent="0.3">
      <c r="A158" s="36" t="s">
        <v>523</v>
      </c>
      <c r="B158" s="36" t="s">
        <v>1231</v>
      </c>
      <c r="C158" s="36" t="s">
        <v>991</v>
      </c>
      <c r="D158" s="36" t="s">
        <v>66</v>
      </c>
      <c r="E158" s="36" t="s">
        <v>47</v>
      </c>
      <c r="F158" s="36" t="s">
        <v>134</v>
      </c>
      <c r="G158" s="36" t="s">
        <v>524</v>
      </c>
      <c r="H158" s="36" t="s">
        <v>1232</v>
      </c>
      <c r="I158" s="36" t="s">
        <v>25</v>
      </c>
      <c r="J158" s="36" t="s">
        <v>39</v>
      </c>
      <c r="K158" s="36" t="s">
        <v>1079</v>
      </c>
      <c r="L158" s="36" t="s">
        <v>525</v>
      </c>
      <c r="M158" s="36" t="s">
        <v>896</v>
      </c>
      <c r="N158" s="36" t="s">
        <v>892</v>
      </c>
      <c r="O158" s="36" t="s">
        <v>908</v>
      </c>
      <c r="P158" s="36" t="s">
        <v>890</v>
      </c>
      <c r="Q158" s="36" t="s">
        <v>1000</v>
      </c>
      <c r="R158" s="36" t="s">
        <v>1045</v>
      </c>
      <c r="S158" s="36" t="s">
        <v>86</v>
      </c>
    </row>
    <row r="159" spans="1:19" x14ac:dyDescent="0.3">
      <c r="A159" s="36" t="s">
        <v>526</v>
      </c>
      <c r="B159" s="36" t="s">
        <v>994</v>
      </c>
      <c r="C159" s="36" t="s">
        <v>1063</v>
      </c>
      <c r="D159" s="36" t="s">
        <v>1233</v>
      </c>
      <c r="E159" s="36" t="s">
        <v>47</v>
      </c>
      <c r="F159" s="36" t="s">
        <v>138</v>
      </c>
      <c r="G159" s="36" t="s">
        <v>301</v>
      </c>
      <c r="H159" s="36" t="s">
        <v>1234</v>
      </c>
      <c r="I159" s="36" t="s">
        <v>26</v>
      </c>
      <c r="J159" s="36" t="s">
        <v>41</v>
      </c>
      <c r="K159" s="36" t="s">
        <v>993</v>
      </c>
      <c r="L159" s="36" t="s">
        <v>527</v>
      </c>
      <c r="M159" s="36" t="s">
        <v>896</v>
      </c>
      <c r="N159" s="36" t="s">
        <v>934</v>
      </c>
      <c r="O159" s="36" t="s">
        <v>890</v>
      </c>
      <c r="P159" s="36" t="s">
        <v>899</v>
      </c>
      <c r="Q159" s="36" t="s">
        <v>948</v>
      </c>
      <c r="R159" s="36" t="s">
        <v>1158</v>
      </c>
      <c r="S159" s="36" t="s">
        <v>86</v>
      </c>
    </row>
    <row r="160" spans="1:19" x14ac:dyDescent="0.3">
      <c r="A160" s="36" t="s">
        <v>528</v>
      </c>
      <c r="B160" s="36" t="s">
        <v>1030</v>
      </c>
      <c r="C160" s="36" t="s">
        <v>133</v>
      </c>
      <c r="D160" s="36" t="s">
        <v>68</v>
      </c>
      <c r="E160" s="36" t="s">
        <v>47</v>
      </c>
      <c r="F160" s="36" t="s">
        <v>138</v>
      </c>
      <c r="G160" s="36" t="s">
        <v>529</v>
      </c>
      <c r="H160" s="36" t="s">
        <v>1235</v>
      </c>
      <c r="I160" s="36" t="s">
        <v>24</v>
      </c>
      <c r="J160" s="36" t="s">
        <v>37</v>
      </c>
      <c r="K160" s="36" t="s">
        <v>959</v>
      </c>
      <c r="L160" s="36" t="s">
        <v>530</v>
      </c>
      <c r="M160" s="36"/>
      <c r="N160" s="36" t="s">
        <v>968</v>
      </c>
      <c r="O160" s="36" t="s">
        <v>898</v>
      </c>
      <c r="P160" s="36" t="s">
        <v>916</v>
      </c>
      <c r="Q160" s="36" t="s">
        <v>908</v>
      </c>
      <c r="R160" s="36" t="s">
        <v>1111</v>
      </c>
      <c r="S160" s="36" t="s">
        <v>88</v>
      </c>
    </row>
    <row r="161" spans="1:19" x14ac:dyDescent="0.3">
      <c r="A161" s="36" t="s">
        <v>531</v>
      </c>
      <c r="B161" s="36" t="s">
        <v>1069</v>
      </c>
      <c r="C161" s="36" t="s">
        <v>133</v>
      </c>
      <c r="D161" s="36" t="s">
        <v>64</v>
      </c>
      <c r="E161" s="36" t="s">
        <v>46</v>
      </c>
      <c r="F161" s="36"/>
      <c r="G161" s="36" t="s">
        <v>171</v>
      </c>
      <c r="H161" s="36" t="s">
        <v>1151</v>
      </c>
      <c r="I161" s="36" t="s">
        <v>24</v>
      </c>
      <c r="J161" s="36" t="s">
        <v>39</v>
      </c>
      <c r="K161" s="36" t="s">
        <v>952</v>
      </c>
      <c r="L161" s="36" t="s">
        <v>532</v>
      </c>
      <c r="M161" s="36" t="s">
        <v>906</v>
      </c>
      <c r="N161" s="36"/>
      <c r="O161" s="36" t="s">
        <v>898</v>
      </c>
      <c r="P161" s="36" t="s">
        <v>916</v>
      </c>
      <c r="Q161" s="36" t="s">
        <v>1184</v>
      </c>
      <c r="R161" s="36" t="s">
        <v>966</v>
      </c>
      <c r="S161" s="36" t="s">
        <v>87</v>
      </c>
    </row>
    <row r="162" spans="1:19" x14ac:dyDescent="0.3">
      <c r="A162" s="36" t="s">
        <v>533</v>
      </c>
      <c r="B162" s="36" t="s">
        <v>962</v>
      </c>
      <c r="C162" s="36" t="s">
        <v>133</v>
      </c>
      <c r="D162" s="36" t="s">
        <v>62</v>
      </c>
      <c r="E162" s="36" t="s">
        <v>46</v>
      </c>
      <c r="F162" s="36" t="s">
        <v>148</v>
      </c>
      <c r="G162" s="36" t="s">
        <v>149</v>
      </c>
      <c r="H162" s="36" t="s">
        <v>1236</v>
      </c>
      <c r="I162" s="36" t="s">
        <v>1237</v>
      </c>
      <c r="J162" s="36"/>
      <c r="K162" s="36" t="s">
        <v>921</v>
      </c>
      <c r="L162" s="36" t="s">
        <v>534</v>
      </c>
      <c r="M162" s="36" t="s">
        <v>896</v>
      </c>
      <c r="N162" s="36" t="s">
        <v>924</v>
      </c>
      <c r="O162" s="36" t="s">
        <v>890</v>
      </c>
      <c r="P162" s="36" t="s">
        <v>891</v>
      </c>
      <c r="Q162" s="36" t="s">
        <v>1028</v>
      </c>
      <c r="R162" s="36" t="s">
        <v>1018</v>
      </c>
      <c r="S162" s="36" t="s">
        <v>86</v>
      </c>
    </row>
    <row r="163" spans="1:19" x14ac:dyDescent="0.3">
      <c r="A163" s="36" t="s">
        <v>535</v>
      </c>
      <c r="B163" s="36" t="s">
        <v>902</v>
      </c>
      <c r="C163" s="36" t="s">
        <v>144</v>
      </c>
      <c r="D163" s="36" t="s">
        <v>63</v>
      </c>
      <c r="E163" s="36" t="s">
        <v>46</v>
      </c>
      <c r="F163" s="36" t="s">
        <v>245</v>
      </c>
      <c r="G163" s="36" t="s">
        <v>536</v>
      </c>
      <c r="H163" s="36" t="s">
        <v>1238</v>
      </c>
      <c r="I163" s="36"/>
      <c r="J163" s="36" t="s">
        <v>38</v>
      </c>
      <c r="K163" s="36" t="s">
        <v>907</v>
      </c>
      <c r="L163" s="36" t="s">
        <v>537</v>
      </c>
      <c r="M163" s="36" t="s">
        <v>906</v>
      </c>
      <c r="N163" s="36" t="s">
        <v>909</v>
      </c>
      <c r="O163" s="36" t="s">
        <v>890</v>
      </c>
      <c r="P163" s="36" t="s">
        <v>961</v>
      </c>
      <c r="Q163" s="36" t="s">
        <v>968</v>
      </c>
      <c r="R163" s="36" t="s">
        <v>906</v>
      </c>
      <c r="S163" s="36" t="s">
        <v>86</v>
      </c>
    </row>
    <row r="164" spans="1:19" x14ac:dyDescent="0.3">
      <c r="A164" s="36" t="s">
        <v>538</v>
      </c>
      <c r="B164" s="36" t="s">
        <v>1239</v>
      </c>
      <c r="C164" s="36" t="s">
        <v>133</v>
      </c>
      <c r="D164" s="36" t="s">
        <v>69</v>
      </c>
      <c r="E164" s="36" t="s">
        <v>47</v>
      </c>
      <c r="F164" s="36" t="s">
        <v>159</v>
      </c>
      <c r="G164" s="36" t="s">
        <v>227</v>
      </c>
      <c r="H164" s="36" t="s">
        <v>1240</v>
      </c>
      <c r="I164" s="36" t="s">
        <v>31</v>
      </c>
      <c r="J164" s="36" t="s">
        <v>39</v>
      </c>
      <c r="K164" s="36" t="s">
        <v>933</v>
      </c>
      <c r="L164" s="36" t="s">
        <v>539</v>
      </c>
      <c r="M164" s="36" t="s">
        <v>906</v>
      </c>
      <c r="N164" s="36" t="s">
        <v>979</v>
      </c>
      <c r="O164" s="36" t="s">
        <v>898</v>
      </c>
      <c r="P164" s="36"/>
      <c r="Q164" s="36" t="s">
        <v>928</v>
      </c>
      <c r="R164" s="36" t="s">
        <v>1012</v>
      </c>
      <c r="S164" s="36" t="s">
        <v>87</v>
      </c>
    </row>
    <row r="165" spans="1:19" x14ac:dyDescent="0.3">
      <c r="A165" s="36" t="s">
        <v>540</v>
      </c>
      <c r="B165" s="36" t="s">
        <v>902</v>
      </c>
      <c r="C165" s="36" t="s">
        <v>133</v>
      </c>
      <c r="D165" s="36" t="s">
        <v>64</v>
      </c>
      <c r="E165" s="36" t="s">
        <v>46</v>
      </c>
      <c r="F165" s="36" t="s">
        <v>138</v>
      </c>
      <c r="G165" s="36" t="s">
        <v>230</v>
      </c>
      <c r="H165" s="36" t="s">
        <v>1241</v>
      </c>
      <c r="I165" s="36" t="s">
        <v>26</v>
      </c>
      <c r="J165" s="36" t="s">
        <v>38</v>
      </c>
      <c r="K165" s="36" t="s">
        <v>1111</v>
      </c>
      <c r="L165" s="36" t="s">
        <v>541</v>
      </c>
      <c r="M165" s="36" t="s">
        <v>896</v>
      </c>
      <c r="N165" s="36" t="s">
        <v>1082</v>
      </c>
      <c r="O165" s="36" t="s">
        <v>908</v>
      </c>
      <c r="P165" s="36" t="s">
        <v>916</v>
      </c>
      <c r="Q165" s="36" t="s">
        <v>1015</v>
      </c>
      <c r="R165" s="36"/>
      <c r="S165" s="36" t="s">
        <v>88</v>
      </c>
    </row>
    <row r="166" spans="1:19" x14ac:dyDescent="0.3">
      <c r="A166" s="36" t="s">
        <v>395</v>
      </c>
      <c r="B166" s="36" t="s">
        <v>911</v>
      </c>
      <c r="C166" s="36" t="s">
        <v>133</v>
      </c>
      <c r="D166" s="36" t="s">
        <v>68</v>
      </c>
      <c r="E166" s="36" t="s">
        <v>47</v>
      </c>
      <c r="F166" s="36" t="s">
        <v>138</v>
      </c>
      <c r="G166" s="36" t="s">
        <v>396</v>
      </c>
      <c r="H166" s="36" t="s">
        <v>1166</v>
      </c>
      <c r="I166" s="36" t="s">
        <v>24</v>
      </c>
      <c r="J166" s="36" t="s">
        <v>36</v>
      </c>
      <c r="K166" s="36" t="s">
        <v>1062</v>
      </c>
      <c r="L166" s="36" t="s">
        <v>397</v>
      </c>
      <c r="M166" s="36" t="s">
        <v>906</v>
      </c>
      <c r="N166" s="36" t="s">
        <v>1049</v>
      </c>
      <c r="O166" s="36" t="s">
        <v>898</v>
      </c>
      <c r="P166" s="36" t="s">
        <v>890</v>
      </c>
      <c r="Q166" s="36" t="s">
        <v>1028</v>
      </c>
      <c r="R166" s="36" t="s">
        <v>1009</v>
      </c>
      <c r="S166" s="36" t="s">
        <v>88</v>
      </c>
    </row>
    <row r="167" spans="1:19" x14ac:dyDescent="0.3">
      <c r="A167" s="36" t="s">
        <v>542</v>
      </c>
      <c r="B167" s="36" t="s">
        <v>1026</v>
      </c>
      <c r="C167" s="36" t="s">
        <v>144</v>
      </c>
      <c r="D167" s="36" t="s">
        <v>61</v>
      </c>
      <c r="E167" s="36" t="s">
        <v>46</v>
      </c>
      <c r="F167" s="36" t="s">
        <v>148</v>
      </c>
      <c r="G167" s="36" t="s">
        <v>235</v>
      </c>
      <c r="H167" s="36" t="s">
        <v>1242</v>
      </c>
      <c r="I167" s="36" t="s">
        <v>24</v>
      </c>
      <c r="J167" s="36"/>
      <c r="K167" s="36" t="s">
        <v>1243</v>
      </c>
      <c r="L167" s="36" t="s">
        <v>543</v>
      </c>
      <c r="M167" s="36" t="s">
        <v>906</v>
      </c>
      <c r="N167" s="36" t="s">
        <v>921</v>
      </c>
      <c r="O167" s="36"/>
      <c r="P167" s="36" t="s">
        <v>891</v>
      </c>
      <c r="Q167" s="36" t="s">
        <v>915</v>
      </c>
      <c r="R167" s="36" t="s">
        <v>1090</v>
      </c>
      <c r="S167" s="36" t="s">
        <v>86</v>
      </c>
    </row>
    <row r="168" spans="1:19" x14ac:dyDescent="0.3">
      <c r="A168" s="36" t="s">
        <v>544</v>
      </c>
      <c r="B168" s="36"/>
      <c r="C168" s="36" t="s">
        <v>144</v>
      </c>
      <c r="D168" s="36" t="s">
        <v>68</v>
      </c>
      <c r="E168" s="36" t="s">
        <v>46</v>
      </c>
      <c r="F168" s="36" t="s">
        <v>148</v>
      </c>
      <c r="G168" s="36" t="s">
        <v>545</v>
      </c>
      <c r="H168" s="36" t="s">
        <v>1244</v>
      </c>
      <c r="I168" s="36" t="s">
        <v>24</v>
      </c>
      <c r="J168" s="36" t="s">
        <v>38</v>
      </c>
      <c r="K168" s="36" t="s">
        <v>933</v>
      </c>
      <c r="L168" s="36" t="s">
        <v>546</v>
      </c>
      <c r="M168" s="36" t="s">
        <v>896</v>
      </c>
      <c r="N168" s="36" t="s">
        <v>996</v>
      </c>
      <c r="O168" s="36" t="s">
        <v>890</v>
      </c>
      <c r="P168" s="36" t="s">
        <v>891</v>
      </c>
      <c r="Q168" s="36" t="s">
        <v>889</v>
      </c>
      <c r="R168" s="36" t="s">
        <v>976</v>
      </c>
      <c r="S168" s="36" t="s">
        <v>86</v>
      </c>
    </row>
    <row r="169" spans="1:19" x14ac:dyDescent="0.3">
      <c r="A169" s="36" t="s">
        <v>547</v>
      </c>
      <c r="B169" s="36" t="s">
        <v>938</v>
      </c>
      <c r="C169" s="36" t="s">
        <v>133</v>
      </c>
      <c r="D169" s="36" t="s">
        <v>61</v>
      </c>
      <c r="E169" s="36" t="s">
        <v>46</v>
      </c>
      <c r="F169" s="36" t="s">
        <v>134</v>
      </c>
      <c r="G169" s="36" t="s">
        <v>548</v>
      </c>
      <c r="H169" s="36" t="s">
        <v>1245</v>
      </c>
      <c r="I169" s="36" t="s">
        <v>24</v>
      </c>
      <c r="J169" s="36" t="s">
        <v>38</v>
      </c>
      <c r="K169" s="36" t="s">
        <v>1006</v>
      </c>
      <c r="L169" s="36" t="s">
        <v>549</v>
      </c>
      <c r="M169" s="36" t="s">
        <v>896</v>
      </c>
      <c r="N169" s="36" t="s">
        <v>1028</v>
      </c>
      <c r="O169" s="36" t="s">
        <v>890</v>
      </c>
      <c r="P169" s="36" t="s">
        <v>891</v>
      </c>
      <c r="Q169" s="36" t="s">
        <v>896</v>
      </c>
      <c r="R169" s="36"/>
      <c r="S169" s="36" t="s">
        <v>86</v>
      </c>
    </row>
    <row r="170" spans="1:19" x14ac:dyDescent="0.3">
      <c r="A170" s="36" t="s">
        <v>550</v>
      </c>
      <c r="B170" s="36" t="s">
        <v>980</v>
      </c>
      <c r="C170" s="36" t="s">
        <v>133</v>
      </c>
      <c r="D170" s="36" t="s">
        <v>65</v>
      </c>
      <c r="E170" s="36" t="s">
        <v>46</v>
      </c>
      <c r="F170" s="36" t="s">
        <v>1246</v>
      </c>
      <c r="G170" s="36" t="s">
        <v>188</v>
      </c>
      <c r="H170" s="36" t="s">
        <v>1247</v>
      </c>
      <c r="I170" s="36" t="s">
        <v>24</v>
      </c>
      <c r="J170" s="36"/>
      <c r="K170" s="36" t="s">
        <v>1248</v>
      </c>
      <c r="L170" s="36" t="s">
        <v>551</v>
      </c>
      <c r="M170" s="36" t="s">
        <v>906</v>
      </c>
      <c r="N170" s="36" t="s">
        <v>1025</v>
      </c>
      <c r="O170" s="36" t="s">
        <v>898</v>
      </c>
      <c r="P170" s="36" t="s">
        <v>890</v>
      </c>
      <c r="Q170" s="36" t="s">
        <v>896</v>
      </c>
      <c r="R170" s="36" t="s">
        <v>1001</v>
      </c>
      <c r="S170" s="36" t="s">
        <v>86</v>
      </c>
    </row>
    <row r="171" spans="1:19" x14ac:dyDescent="0.3">
      <c r="A171" s="36" t="s">
        <v>552</v>
      </c>
      <c r="B171" s="36" t="s">
        <v>988</v>
      </c>
      <c r="C171" s="36" t="s">
        <v>144</v>
      </c>
      <c r="D171" s="36" t="s">
        <v>64</v>
      </c>
      <c r="E171" s="36" t="s">
        <v>46</v>
      </c>
      <c r="F171" s="36"/>
      <c r="G171" s="36" t="s">
        <v>188</v>
      </c>
      <c r="H171" s="36" t="s">
        <v>1249</v>
      </c>
      <c r="I171" s="36" t="s">
        <v>26</v>
      </c>
      <c r="J171" s="36" t="s">
        <v>37</v>
      </c>
      <c r="K171" s="36" t="s">
        <v>982</v>
      </c>
      <c r="L171" s="36" t="s">
        <v>553</v>
      </c>
      <c r="M171" s="36" t="s">
        <v>896</v>
      </c>
      <c r="N171" s="36" t="s">
        <v>1021</v>
      </c>
      <c r="O171" s="36" t="s">
        <v>890</v>
      </c>
      <c r="P171" s="36" t="s">
        <v>891</v>
      </c>
      <c r="Q171" s="36" t="s">
        <v>897</v>
      </c>
      <c r="R171" s="36" t="s">
        <v>899</v>
      </c>
      <c r="S171" s="36" t="s">
        <v>87</v>
      </c>
    </row>
    <row r="172" spans="1:19" x14ac:dyDescent="0.3">
      <c r="A172" s="36" t="s">
        <v>183</v>
      </c>
      <c r="B172" s="36" t="s">
        <v>974</v>
      </c>
      <c r="C172" s="36" t="s">
        <v>144</v>
      </c>
      <c r="D172" s="36" t="s">
        <v>63</v>
      </c>
      <c r="E172" s="36" t="s">
        <v>46</v>
      </c>
      <c r="F172" s="36" t="s">
        <v>134</v>
      </c>
      <c r="G172" s="36"/>
      <c r="H172" s="36" t="s">
        <v>975</v>
      </c>
      <c r="I172" s="36" t="s">
        <v>26</v>
      </c>
      <c r="J172" s="36" t="s">
        <v>36</v>
      </c>
      <c r="K172" s="36" t="s">
        <v>976</v>
      </c>
      <c r="L172" s="36"/>
      <c r="M172" s="36" t="s">
        <v>906</v>
      </c>
      <c r="N172" s="36"/>
      <c r="O172" s="36" t="s">
        <v>908</v>
      </c>
      <c r="P172" s="36" t="s">
        <v>916</v>
      </c>
      <c r="Q172" s="36" t="s">
        <v>977</v>
      </c>
      <c r="R172" s="36" t="s">
        <v>898</v>
      </c>
      <c r="S172" s="36" t="s">
        <v>88</v>
      </c>
    </row>
    <row r="173" spans="1:19" x14ac:dyDescent="0.3">
      <c r="A173" s="36" t="s">
        <v>554</v>
      </c>
      <c r="B173" s="36" t="s">
        <v>906</v>
      </c>
      <c r="C173" s="36" t="s">
        <v>133</v>
      </c>
      <c r="D173" s="36" t="s">
        <v>66</v>
      </c>
      <c r="E173" s="36" t="s">
        <v>46</v>
      </c>
      <c r="F173" s="36" t="s">
        <v>245</v>
      </c>
      <c r="G173" s="36" t="s">
        <v>555</v>
      </c>
      <c r="H173" s="36" t="s">
        <v>1250</v>
      </c>
      <c r="I173" s="36" t="s">
        <v>1251</v>
      </c>
      <c r="J173" s="36" t="s">
        <v>40</v>
      </c>
      <c r="K173" s="36" t="s">
        <v>995</v>
      </c>
      <c r="L173" s="36"/>
      <c r="M173" s="36" t="s">
        <v>896</v>
      </c>
      <c r="N173" s="36"/>
      <c r="O173" s="36"/>
      <c r="P173" s="36" t="s">
        <v>927</v>
      </c>
      <c r="Q173" s="36" t="s">
        <v>952</v>
      </c>
      <c r="R173" s="36" t="s">
        <v>924</v>
      </c>
      <c r="S173" s="36" t="s">
        <v>87</v>
      </c>
    </row>
    <row r="174" spans="1:19" x14ac:dyDescent="0.3">
      <c r="A174" s="36" t="s">
        <v>556</v>
      </c>
      <c r="B174" s="36" t="s">
        <v>980</v>
      </c>
      <c r="C174" s="36" t="s">
        <v>144</v>
      </c>
      <c r="D174" s="36" t="s">
        <v>64</v>
      </c>
      <c r="E174" s="36" t="s">
        <v>46</v>
      </c>
      <c r="F174" s="36" t="s">
        <v>159</v>
      </c>
      <c r="G174" s="36" t="s">
        <v>149</v>
      </c>
      <c r="H174" s="36" t="s">
        <v>896</v>
      </c>
      <c r="I174" s="36" t="s">
        <v>25</v>
      </c>
      <c r="J174" s="36" t="s">
        <v>38</v>
      </c>
      <c r="K174" s="36" t="s">
        <v>958</v>
      </c>
      <c r="L174" s="36" t="s">
        <v>557</v>
      </c>
      <c r="M174" s="36" t="s">
        <v>906</v>
      </c>
      <c r="N174" s="36" t="s">
        <v>1028</v>
      </c>
      <c r="O174" s="36" t="s">
        <v>890</v>
      </c>
      <c r="P174" s="36" t="s">
        <v>916</v>
      </c>
      <c r="Q174" s="36" t="s">
        <v>928</v>
      </c>
      <c r="R174" s="36" t="s">
        <v>971</v>
      </c>
      <c r="S174" s="36" t="s">
        <v>86</v>
      </c>
    </row>
    <row r="175" spans="1:19" x14ac:dyDescent="0.3">
      <c r="A175" s="36" t="s">
        <v>558</v>
      </c>
      <c r="B175" s="36" t="s">
        <v>954</v>
      </c>
      <c r="C175" s="36" t="s">
        <v>144</v>
      </c>
      <c r="D175" s="36"/>
      <c r="E175" s="36" t="s">
        <v>46</v>
      </c>
      <c r="F175" s="36" t="s">
        <v>138</v>
      </c>
      <c r="G175" s="36" t="s">
        <v>559</v>
      </c>
      <c r="H175" s="36" t="s">
        <v>896</v>
      </c>
      <c r="I175" s="36" t="s">
        <v>24</v>
      </c>
      <c r="J175" s="36" t="s">
        <v>37</v>
      </c>
      <c r="K175" s="36" t="s">
        <v>1020</v>
      </c>
      <c r="L175" s="36" t="s">
        <v>560</v>
      </c>
      <c r="M175" s="36" t="s">
        <v>946</v>
      </c>
      <c r="N175" s="36" t="s">
        <v>909</v>
      </c>
      <c r="O175" s="36" t="s">
        <v>908</v>
      </c>
      <c r="P175" s="36" t="s">
        <v>916</v>
      </c>
      <c r="Q175" s="36" t="s">
        <v>1008</v>
      </c>
      <c r="R175" s="36" t="s">
        <v>1002</v>
      </c>
      <c r="S175" s="36" t="s">
        <v>88</v>
      </c>
    </row>
    <row r="176" spans="1:19" x14ac:dyDescent="0.3">
      <c r="A176" s="36" t="s">
        <v>561</v>
      </c>
      <c r="B176" s="36" t="s">
        <v>980</v>
      </c>
      <c r="C176" s="36" t="s">
        <v>144</v>
      </c>
      <c r="D176" s="36" t="s">
        <v>61</v>
      </c>
      <c r="E176" s="36" t="s">
        <v>46</v>
      </c>
      <c r="F176" s="36" t="s">
        <v>148</v>
      </c>
      <c r="G176" s="36" t="s">
        <v>439</v>
      </c>
      <c r="H176" s="36" t="s">
        <v>1067</v>
      </c>
      <c r="I176" s="36" t="s">
        <v>28</v>
      </c>
      <c r="J176" s="36" t="s">
        <v>40</v>
      </c>
      <c r="K176" s="36"/>
      <c r="L176" s="36" t="s">
        <v>562</v>
      </c>
      <c r="M176" s="36" t="s">
        <v>1124</v>
      </c>
      <c r="N176" s="36" t="s">
        <v>922</v>
      </c>
      <c r="O176" s="36" t="s">
        <v>898</v>
      </c>
      <c r="P176" s="36" t="s">
        <v>916</v>
      </c>
      <c r="Q176" s="36" t="s">
        <v>1110</v>
      </c>
      <c r="R176" s="36" t="s">
        <v>927</v>
      </c>
      <c r="S176" s="36" t="s">
        <v>86</v>
      </c>
    </row>
    <row r="177" spans="1:19" x14ac:dyDescent="0.3">
      <c r="A177" s="36" t="s">
        <v>563</v>
      </c>
      <c r="B177" s="36" t="s">
        <v>984</v>
      </c>
      <c r="C177" s="36" t="s">
        <v>144</v>
      </c>
      <c r="D177" s="36" t="s">
        <v>66</v>
      </c>
      <c r="E177" s="36" t="s">
        <v>47</v>
      </c>
      <c r="F177" s="36" t="s">
        <v>134</v>
      </c>
      <c r="G177" s="36" t="s">
        <v>564</v>
      </c>
      <c r="H177" s="36" t="s">
        <v>1252</v>
      </c>
      <c r="I177" s="36" t="s">
        <v>25</v>
      </c>
      <c r="J177" s="36" t="s">
        <v>41</v>
      </c>
      <c r="K177" s="36" t="s">
        <v>926</v>
      </c>
      <c r="L177" s="36" t="s">
        <v>565</v>
      </c>
      <c r="M177" s="36" t="s">
        <v>946</v>
      </c>
      <c r="N177" s="36" t="s">
        <v>1093</v>
      </c>
      <c r="O177" s="36"/>
      <c r="P177" s="36" t="s">
        <v>890</v>
      </c>
      <c r="Q177" s="36"/>
      <c r="R177" s="36" t="s">
        <v>1021</v>
      </c>
      <c r="S177" s="36" t="s">
        <v>86</v>
      </c>
    </row>
    <row r="178" spans="1:19" x14ac:dyDescent="0.3">
      <c r="A178" s="36" t="s">
        <v>566</v>
      </c>
      <c r="B178" s="36" t="s">
        <v>902</v>
      </c>
      <c r="C178" s="36" t="s">
        <v>133</v>
      </c>
      <c r="D178" s="36"/>
      <c r="E178" s="36" t="s">
        <v>46</v>
      </c>
      <c r="F178" s="36" t="s">
        <v>1253</v>
      </c>
      <c r="G178" s="36" t="s">
        <v>567</v>
      </c>
      <c r="H178" s="36" t="s">
        <v>964</v>
      </c>
      <c r="I178" s="36" t="s">
        <v>26</v>
      </c>
      <c r="J178" s="36" t="s">
        <v>40</v>
      </c>
      <c r="K178" s="36" t="s">
        <v>926</v>
      </c>
      <c r="L178" s="36" t="s">
        <v>568</v>
      </c>
      <c r="M178" s="36" t="s">
        <v>946</v>
      </c>
      <c r="N178" s="36" t="s">
        <v>924</v>
      </c>
      <c r="O178" s="36" t="s">
        <v>898</v>
      </c>
      <c r="P178" s="36" t="s">
        <v>927</v>
      </c>
      <c r="Q178" s="36" t="s">
        <v>947</v>
      </c>
      <c r="R178" s="36"/>
      <c r="S178" s="36" t="s">
        <v>88</v>
      </c>
    </row>
    <row r="179" spans="1:19" x14ac:dyDescent="0.3">
      <c r="A179" s="36" t="s">
        <v>569</v>
      </c>
      <c r="B179" s="36" t="s">
        <v>1124</v>
      </c>
      <c r="C179" s="36" t="s">
        <v>133</v>
      </c>
      <c r="D179" s="36"/>
      <c r="E179" s="36" t="s">
        <v>47</v>
      </c>
      <c r="F179" s="36" t="s">
        <v>245</v>
      </c>
      <c r="G179" s="36" t="s">
        <v>570</v>
      </c>
      <c r="H179" s="36" t="s">
        <v>1254</v>
      </c>
      <c r="I179" s="36" t="s">
        <v>24</v>
      </c>
      <c r="J179" s="36" t="s">
        <v>40</v>
      </c>
      <c r="K179" s="36" t="s">
        <v>1008</v>
      </c>
      <c r="L179" s="36" t="s">
        <v>571</v>
      </c>
      <c r="M179" s="36" t="s">
        <v>1007</v>
      </c>
      <c r="N179" s="36" t="s">
        <v>1002</v>
      </c>
      <c r="O179" s="36" t="s">
        <v>890</v>
      </c>
      <c r="P179" s="36" t="s">
        <v>899</v>
      </c>
      <c r="Q179" s="36" t="s">
        <v>976</v>
      </c>
      <c r="R179" s="36" t="s">
        <v>965</v>
      </c>
      <c r="S179" s="36" t="s">
        <v>86</v>
      </c>
    </row>
    <row r="180" spans="1:19" x14ac:dyDescent="0.3">
      <c r="A180" s="36" t="s">
        <v>572</v>
      </c>
      <c r="B180" s="36" t="s">
        <v>1213</v>
      </c>
      <c r="C180" s="36" t="s">
        <v>144</v>
      </c>
      <c r="D180" s="36" t="s">
        <v>67</v>
      </c>
      <c r="E180" s="36" t="s">
        <v>47</v>
      </c>
      <c r="F180" s="36" t="s">
        <v>245</v>
      </c>
      <c r="G180" s="36" t="s">
        <v>487</v>
      </c>
      <c r="H180" s="36" t="s">
        <v>1255</v>
      </c>
      <c r="I180" s="36" t="s">
        <v>24</v>
      </c>
      <c r="J180" s="36" t="s">
        <v>41</v>
      </c>
      <c r="K180" s="36" t="s">
        <v>965</v>
      </c>
      <c r="L180" s="36" t="s">
        <v>573</v>
      </c>
      <c r="M180" s="36" t="s">
        <v>906</v>
      </c>
      <c r="N180" s="36" t="s">
        <v>1009</v>
      </c>
      <c r="O180" s="36" t="s">
        <v>908</v>
      </c>
      <c r="P180" s="36" t="s">
        <v>927</v>
      </c>
      <c r="Q180" s="36" t="s">
        <v>1256</v>
      </c>
      <c r="R180" s="36" t="s">
        <v>1050</v>
      </c>
      <c r="S180" s="36" t="s">
        <v>87</v>
      </c>
    </row>
    <row r="181" spans="1:19" x14ac:dyDescent="0.3">
      <c r="A181" s="36" t="s">
        <v>342</v>
      </c>
      <c r="B181" s="36" t="s">
        <v>1127</v>
      </c>
      <c r="C181" s="36" t="s">
        <v>144</v>
      </c>
      <c r="D181" s="36" t="s">
        <v>65</v>
      </c>
      <c r="E181" s="36" t="s">
        <v>47</v>
      </c>
      <c r="F181" s="36" t="s">
        <v>138</v>
      </c>
      <c r="G181" s="36" t="s">
        <v>343</v>
      </c>
      <c r="H181" s="36" t="s">
        <v>1128</v>
      </c>
      <c r="I181" s="36" t="s">
        <v>28</v>
      </c>
      <c r="J181" s="36" t="s">
        <v>42</v>
      </c>
      <c r="K181" s="36" t="s">
        <v>1025</v>
      </c>
      <c r="L181" s="36" t="s">
        <v>344</v>
      </c>
      <c r="M181" s="36" t="s">
        <v>896</v>
      </c>
      <c r="N181" s="36" t="s">
        <v>979</v>
      </c>
      <c r="O181" s="36"/>
      <c r="P181" s="36" t="s">
        <v>891</v>
      </c>
      <c r="Q181" s="36" t="s">
        <v>1129</v>
      </c>
      <c r="R181" s="36" t="s">
        <v>971</v>
      </c>
      <c r="S181" s="36" t="s">
        <v>86</v>
      </c>
    </row>
    <row r="182" spans="1:19" x14ac:dyDescent="0.3">
      <c r="A182" s="36" t="s">
        <v>574</v>
      </c>
      <c r="B182" s="36" t="s">
        <v>1177</v>
      </c>
      <c r="C182" s="36" t="s">
        <v>144</v>
      </c>
      <c r="D182" s="36" t="s">
        <v>70</v>
      </c>
      <c r="E182" s="36" t="s">
        <v>47</v>
      </c>
      <c r="F182" s="36" t="s">
        <v>138</v>
      </c>
      <c r="G182" s="36" t="s">
        <v>575</v>
      </c>
      <c r="H182" s="36" t="s">
        <v>1257</v>
      </c>
      <c r="I182" s="36" t="s">
        <v>24</v>
      </c>
      <c r="J182" s="36" t="s">
        <v>36</v>
      </c>
      <c r="K182" s="36" t="s">
        <v>890</v>
      </c>
      <c r="L182" s="36" t="s">
        <v>576</v>
      </c>
      <c r="M182" s="36" t="s">
        <v>1007</v>
      </c>
      <c r="N182" s="36" t="s">
        <v>916</v>
      </c>
      <c r="O182" s="36" t="s">
        <v>890</v>
      </c>
      <c r="P182" s="36" t="s">
        <v>927</v>
      </c>
      <c r="Q182" s="36" t="s">
        <v>895</v>
      </c>
      <c r="R182" s="36" t="s">
        <v>971</v>
      </c>
      <c r="S182" s="36" t="s">
        <v>86</v>
      </c>
    </row>
    <row r="183" spans="1:19" x14ac:dyDescent="0.3">
      <c r="A183" s="36" t="s">
        <v>577</v>
      </c>
      <c r="B183" s="36" t="s">
        <v>1069</v>
      </c>
      <c r="C183" s="36" t="s">
        <v>144</v>
      </c>
      <c r="D183" s="36" t="s">
        <v>68</v>
      </c>
      <c r="E183" s="36" t="s">
        <v>46</v>
      </c>
      <c r="F183" s="36" t="s">
        <v>134</v>
      </c>
      <c r="G183" s="36" t="s">
        <v>463</v>
      </c>
      <c r="H183" s="36" t="s">
        <v>1258</v>
      </c>
      <c r="I183" s="36" t="s">
        <v>24</v>
      </c>
      <c r="J183" s="36" t="s">
        <v>37</v>
      </c>
      <c r="K183" s="36" t="s">
        <v>1031</v>
      </c>
      <c r="L183" s="36" t="s">
        <v>578</v>
      </c>
      <c r="M183" s="36" t="s">
        <v>896</v>
      </c>
      <c r="N183" s="36" t="s">
        <v>1093</v>
      </c>
      <c r="O183" s="36" t="s">
        <v>898</v>
      </c>
      <c r="P183" s="36" t="s">
        <v>890</v>
      </c>
      <c r="Q183" s="36" t="s">
        <v>891</v>
      </c>
      <c r="R183" s="36" t="s">
        <v>927</v>
      </c>
      <c r="S183" s="36" t="s">
        <v>86</v>
      </c>
    </row>
    <row r="184" spans="1:19" x14ac:dyDescent="0.3">
      <c r="A184" s="36" t="s">
        <v>579</v>
      </c>
      <c r="B184" s="36" t="s">
        <v>1117</v>
      </c>
      <c r="C184" s="36" t="s">
        <v>912</v>
      </c>
      <c r="D184" s="36" t="s">
        <v>67</v>
      </c>
      <c r="E184" s="36" t="s">
        <v>47</v>
      </c>
      <c r="F184" s="36"/>
      <c r="G184" s="36" t="s">
        <v>580</v>
      </c>
      <c r="H184" s="36" t="s">
        <v>1259</v>
      </c>
      <c r="I184" s="36" t="s">
        <v>24</v>
      </c>
      <c r="J184" s="36" t="s">
        <v>40</v>
      </c>
      <c r="K184" s="36" t="s">
        <v>1079</v>
      </c>
      <c r="L184" s="36"/>
      <c r="M184" s="36" t="s">
        <v>886</v>
      </c>
      <c r="N184" s="36" t="s">
        <v>1031</v>
      </c>
      <c r="O184" s="36" t="s">
        <v>890</v>
      </c>
      <c r="P184" s="36" t="s">
        <v>927</v>
      </c>
      <c r="Q184" s="36" t="s">
        <v>941</v>
      </c>
      <c r="R184" s="36" t="s">
        <v>910</v>
      </c>
      <c r="S184" s="36" t="s">
        <v>86</v>
      </c>
    </row>
    <row r="185" spans="1:19" x14ac:dyDescent="0.3">
      <c r="A185" s="36" t="s">
        <v>581</v>
      </c>
      <c r="B185" s="36" t="s">
        <v>954</v>
      </c>
      <c r="C185" s="36" t="s">
        <v>133</v>
      </c>
      <c r="D185" s="36" t="s">
        <v>62</v>
      </c>
      <c r="E185" s="36" t="s">
        <v>46</v>
      </c>
      <c r="F185" s="36" t="s">
        <v>159</v>
      </c>
      <c r="G185" s="36" t="s">
        <v>142</v>
      </c>
      <c r="H185" s="36" t="s">
        <v>896</v>
      </c>
      <c r="I185" s="36" t="s">
        <v>26</v>
      </c>
      <c r="J185" s="36"/>
      <c r="K185" s="36" t="s">
        <v>1035</v>
      </c>
      <c r="L185" s="36" t="s">
        <v>582</v>
      </c>
      <c r="M185" s="36" t="s">
        <v>896</v>
      </c>
      <c r="N185" s="36" t="s">
        <v>1045</v>
      </c>
      <c r="O185" s="36" t="s">
        <v>898</v>
      </c>
      <c r="P185" s="36" t="s">
        <v>961</v>
      </c>
      <c r="Q185" s="36" t="s">
        <v>1260</v>
      </c>
      <c r="R185" s="36" t="s">
        <v>929</v>
      </c>
      <c r="S185" s="36" t="s">
        <v>86</v>
      </c>
    </row>
    <row r="186" spans="1:19" x14ac:dyDescent="0.3">
      <c r="A186" s="36" t="s">
        <v>583</v>
      </c>
      <c r="B186" s="36" t="s">
        <v>954</v>
      </c>
      <c r="C186" s="36" t="s">
        <v>133</v>
      </c>
      <c r="D186" s="36" t="s">
        <v>68</v>
      </c>
      <c r="E186" s="36" t="s">
        <v>46</v>
      </c>
      <c r="F186" s="36" t="s">
        <v>1253</v>
      </c>
      <c r="G186" s="36" t="s">
        <v>171</v>
      </c>
      <c r="H186" s="36" t="s">
        <v>1261</v>
      </c>
      <c r="I186" s="36" t="s">
        <v>25</v>
      </c>
      <c r="J186" s="36" t="s">
        <v>38</v>
      </c>
      <c r="K186" s="36" t="s">
        <v>1025</v>
      </c>
      <c r="L186" s="36" t="s">
        <v>584</v>
      </c>
      <c r="M186" s="36" t="s">
        <v>906</v>
      </c>
      <c r="N186" s="36" t="s">
        <v>915</v>
      </c>
      <c r="O186" s="36" t="s">
        <v>908</v>
      </c>
      <c r="P186" s="36" t="s">
        <v>890</v>
      </c>
      <c r="Q186" s="36" t="s">
        <v>961</v>
      </c>
      <c r="R186" s="36" t="s">
        <v>929</v>
      </c>
      <c r="S186" s="36" t="s">
        <v>88</v>
      </c>
    </row>
    <row r="187" spans="1:19" x14ac:dyDescent="0.3">
      <c r="A187" s="36" t="s">
        <v>585</v>
      </c>
      <c r="B187" s="36" t="s">
        <v>1262</v>
      </c>
      <c r="C187" s="36" t="s">
        <v>144</v>
      </c>
      <c r="D187" s="36" t="s">
        <v>65</v>
      </c>
      <c r="E187" s="36" t="s">
        <v>47</v>
      </c>
      <c r="F187" s="36" t="s">
        <v>138</v>
      </c>
      <c r="G187" s="36" t="s">
        <v>343</v>
      </c>
      <c r="H187" s="36" t="s">
        <v>1263</v>
      </c>
      <c r="I187" s="36" t="s">
        <v>24</v>
      </c>
      <c r="J187" s="36" t="s">
        <v>42</v>
      </c>
      <c r="K187" s="36" t="s">
        <v>990</v>
      </c>
      <c r="L187" s="36" t="s">
        <v>586</v>
      </c>
      <c r="M187" s="36" t="s">
        <v>1124</v>
      </c>
      <c r="N187" s="36" t="s">
        <v>921</v>
      </c>
      <c r="O187" s="36" t="s">
        <v>916</v>
      </c>
      <c r="P187" s="36" t="s">
        <v>927</v>
      </c>
      <c r="Q187" s="36" t="s">
        <v>892</v>
      </c>
      <c r="R187" s="36" t="s">
        <v>1111</v>
      </c>
      <c r="S187" s="36" t="s">
        <v>88</v>
      </c>
    </row>
    <row r="188" spans="1:19" x14ac:dyDescent="0.3">
      <c r="A188" s="36" t="s">
        <v>587</v>
      </c>
      <c r="B188" s="36" t="s">
        <v>906</v>
      </c>
      <c r="C188" s="36" t="s">
        <v>133</v>
      </c>
      <c r="D188" s="36" t="s">
        <v>63</v>
      </c>
      <c r="E188" s="36" t="s">
        <v>46</v>
      </c>
      <c r="F188" s="36" t="s">
        <v>159</v>
      </c>
      <c r="G188" s="36" t="s">
        <v>149</v>
      </c>
      <c r="H188" s="36" t="s">
        <v>1264</v>
      </c>
      <c r="I188" s="36" t="s">
        <v>24</v>
      </c>
      <c r="J188" s="36" t="s">
        <v>38</v>
      </c>
      <c r="K188" s="36" t="s">
        <v>982</v>
      </c>
      <c r="L188" s="36" t="s">
        <v>588</v>
      </c>
      <c r="M188" s="36" t="s">
        <v>886</v>
      </c>
      <c r="N188" s="36" t="s">
        <v>1050</v>
      </c>
      <c r="O188" s="36"/>
      <c r="P188" s="36" t="s">
        <v>899</v>
      </c>
      <c r="Q188" s="36" t="s">
        <v>947</v>
      </c>
      <c r="R188" s="36" t="s">
        <v>948</v>
      </c>
      <c r="S188" s="36" t="s">
        <v>86</v>
      </c>
    </row>
    <row r="189" spans="1:19" x14ac:dyDescent="0.3">
      <c r="A189" s="36" t="s">
        <v>589</v>
      </c>
      <c r="B189" s="36" t="s">
        <v>1117</v>
      </c>
      <c r="C189" s="36" t="s">
        <v>144</v>
      </c>
      <c r="D189" s="36" t="s">
        <v>61</v>
      </c>
      <c r="E189" s="36" t="s">
        <v>47</v>
      </c>
      <c r="F189" s="36" t="s">
        <v>134</v>
      </c>
      <c r="G189" s="36" t="s">
        <v>396</v>
      </c>
      <c r="H189" s="36" t="s">
        <v>1265</v>
      </c>
      <c r="I189" s="36" t="s">
        <v>26</v>
      </c>
      <c r="J189" s="36" t="s">
        <v>36</v>
      </c>
      <c r="K189" s="36" t="s">
        <v>1008</v>
      </c>
      <c r="L189" s="36" t="s">
        <v>590</v>
      </c>
      <c r="M189" s="36" t="s">
        <v>896</v>
      </c>
      <c r="N189" s="36" t="s">
        <v>1082</v>
      </c>
      <c r="O189" s="36" t="s">
        <v>890</v>
      </c>
      <c r="P189" s="36" t="s">
        <v>961</v>
      </c>
      <c r="Q189" s="36" t="s">
        <v>1021</v>
      </c>
      <c r="R189" s="36" t="s">
        <v>917</v>
      </c>
      <c r="S189" s="36" t="s">
        <v>86</v>
      </c>
    </row>
    <row r="190" spans="1:19" x14ac:dyDescent="0.3">
      <c r="A190" s="36" t="s">
        <v>591</v>
      </c>
      <c r="B190" s="36" t="s">
        <v>980</v>
      </c>
      <c r="C190" s="36" t="s">
        <v>144</v>
      </c>
      <c r="D190" s="36" t="s">
        <v>61</v>
      </c>
      <c r="E190" s="36" t="s">
        <v>46</v>
      </c>
      <c r="F190" s="36"/>
      <c r="G190" s="36" t="s">
        <v>142</v>
      </c>
      <c r="H190" s="36" t="s">
        <v>1068</v>
      </c>
      <c r="I190" s="36" t="s">
        <v>29</v>
      </c>
      <c r="J190" s="36" t="s">
        <v>36</v>
      </c>
      <c r="K190" s="36" t="s">
        <v>956</v>
      </c>
      <c r="L190" s="36" t="s">
        <v>582</v>
      </c>
      <c r="M190" s="36" t="s">
        <v>1007</v>
      </c>
      <c r="N190" s="36" t="s">
        <v>1052</v>
      </c>
      <c r="O190" s="36" t="s">
        <v>890</v>
      </c>
      <c r="P190" s="36" t="s">
        <v>899</v>
      </c>
      <c r="Q190" s="36" t="s">
        <v>1266</v>
      </c>
      <c r="R190" s="36" t="s">
        <v>909</v>
      </c>
      <c r="S190" s="36" t="s">
        <v>86</v>
      </c>
    </row>
    <row r="191" spans="1:19" x14ac:dyDescent="0.3">
      <c r="A191" s="36" t="s">
        <v>592</v>
      </c>
      <c r="B191" s="36" t="s">
        <v>1030</v>
      </c>
      <c r="C191" s="36" t="s">
        <v>144</v>
      </c>
      <c r="D191" s="36" t="s">
        <v>61</v>
      </c>
      <c r="E191" s="36" t="s">
        <v>47</v>
      </c>
      <c r="F191" s="36" t="s">
        <v>159</v>
      </c>
      <c r="G191" s="36"/>
      <c r="H191" s="36" t="s">
        <v>1267</v>
      </c>
      <c r="I191" s="36" t="s">
        <v>27</v>
      </c>
      <c r="J191" s="36" t="s">
        <v>43</v>
      </c>
      <c r="K191" s="36" t="s">
        <v>914</v>
      </c>
      <c r="L191" s="36" t="s">
        <v>593</v>
      </c>
      <c r="M191" s="36"/>
      <c r="N191" s="36" t="s">
        <v>909</v>
      </c>
      <c r="O191" s="36" t="s">
        <v>898</v>
      </c>
      <c r="P191" s="36" t="s">
        <v>927</v>
      </c>
      <c r="Q191" s="36" t="s">
        <v>1268</v>
      </c>
      <c r="R191" s="36" t="s">
        <v>948</v>
      </c>
      <c r="S191" s="36" t="s">
        <v>86</v>
      </c>
    </row>
    <row r="192" spans="1:19" x14ac:dyDescent="0.3">
      <c r="A192" s="36" t="s">
        <v>594</v>
      </c>
      <c r="B192" s="36" t="s">
        <v>954</v>
      </c>
      <c r="C192" s="36" t="s">
        <v>144</v>
      </c>
      <c r="D192" s="36" t="s">
        <v>64</v>
      </c>
      <c r="E192" s="36" t="s">
        <v>46</v>
      </c>
      <c r="F192" s="36" t="s">
        <v>148</v>
      </c>
      <c r="G192" s="36" t="s">
        <v>188</v>
      </c>
      <c r="H192" s="36" t="s">
        <v>896</v>
      </c>
      <c r="I192" s="36" t="s">
        <v>24</v>
      </c>
      <c r="J192" s="36" t="s">
        <v>37</v>
      </c>
      <c r="K192" s="36" t="s">
        <v>892</v>
      </c>
      <c r="L192" s="36" t="s">
        <v>595</v>
      </c>
      <c r="M192" s="36" t="s">
        <v>896</v>
      </c>
      <c r="N192" s="36" t="s">
        <v>966</v>
      </c>
      <c r="O192" s="36" t="s">
        <v>890</v>
      </c>
      <c r="P192" s="36" t="s">
        <v>899</v>
      </c>
      <c r="Q192" s="36" t="s">
        <v>910</v>
      </c>
      <c r="R192" s="36" t="s">
        <v>893</v>
      </c>
      <c r="S192" s="36" t="s">
        <v>86</v>
      </c>
    </row>
    <row r="193" spans="1:19" x14ac:dyDescent="0.3">
      <c r="A193" s="36" t="s">
        <v>596</v>
      </c>
      <c r="B193" s="36" t="s">
        <v>906</v>
      </c>
      <c r="C193" s="36" t="s">
        <v>144</v>
      </c>
      <c r="D193" s="36" t="s">
        <v>69</v>
      </c>
      <c r="E193" s="36" t="s">
        <v>46</v>
      </c>
      <c r="F193" s="36" t="s">
        <v>134</v>
      </c>
      <c r="G193" s="36" t="s">
        <v>597</v>
      </c>
      <c r="H193" s="36" t="s">
        <v>1269</v>
      </c>
      <c r="I193" s="36" t="s">
        <v>27</v>
      </c>
      <c r="J193" s="36" t="s">
        <v>39</v>
      </c>
      <c r="K193" s="36" t="s">
        <v>1000</v>
      </c>
      <c r="L193" s="36" t="s">
        <v>598</v>
      </c>
      <c r="M193" s="36" t="s">
        <v>886</v>
      </c>
      <c r="N193" s="36" t="s">
        <v>1001</v>
      </c>
      <c r="O193" s="36" t="s">
        <v>890</v>
      </c>
      <c r="P193" s="36" t="s">
        <v>927</v>
      </c>
      <c r="Q193" s="36" t="s">
        <v>1031</v>
      </c>
      <c r="R193" s="36"/>
      <c r="S193" s="36" t="s">
        <v>87</v>
      </c>
    </row>
    <row r="194" spans="1:19" x14ac:dyDescent="0.3">
      <c r="A194" s="36" t="s">
        <v>599</v>
      </c>
      <c r="B194" s="36" t="s">
        <v>1189</v>
      </c>
      <c r="C194" s="36" t="s">
        <v>144</v>
      </c>
      <c r="D194" s="36" t="s">
        <v>63</v>
      </c>
      <c r="E194" s="36" t="s">
        <v>47</v>
      </c>
      <c r="F194" s="36" t="s">
        <v>194</v>
      </c>
      <c r="G194" s="36" t="s">
        <v>195</v>
      </c>
      <c r="H194" s="36" t="s">
        <v>1270</v>
      </c>
      <c r="I194" s="36" t="s">
        <v>30</v>
      </c>
      <c r="J194" s="36" t="s">
        <v>39</v>
      </c>
      <c r="K194" s="36" t="s">
        <v>952</v>
      </c>
      <c r="L194" s="36" t="s">
        <v>600</v>
      </c>
      <c r="M194" s="36" t="s">
        <v>946</v>
      </c>
      <c r="N194" s="36" t="s">
        <v>968</v>
      </c>
      <c r="O194" s="36" t="s">
        <v>890</v>
      </c>
      <c r="P194" s="36" t="s">
        <v>891</v>
      </c>
      <c r="Q194" s="36" t="s">
        <v>1271</v>
      </c>
      <c r="R194" s="36" t="s">
        <v>971</v>
      </c>
      <c r="S194" s="36" t="s">
        <v>86</v>
      </c>
    </row>
    <row r="195" spans="1:19" x14ac:dyDescent="0.3">
      <c r="A195" s="36" t="s">
        <v>601</v>
      </c>
      <c r="B195" s="36" t="s">
        <v>902</v>
      </c>
      <c r="C195" s="36" t="s">
        <v>1272</v>
      </c>
      <c r="D195" s="36"/>
      <c r="E195" s="36" t="s">
        <v>46</v>
      </c>
      <c r="F195" s="36" t="s">
        <v>148</v>
      </c>
      <c r="G195" s="36" t="s">
        <v>335</v>
      </c>
      <c r="H195" s="36"/>
      <c r="I195" s="36" t="s">
        <v>24</v>
      </c>
      <c r="J195" s="36" t="s">
        <v>39</v>
      </c>
      <c r="K195" s="36" t="s">
        <v>1082</v>
      </c>
      <c r="L195" s="36" t="s">
        <v>602</v>
      </c>
      <c r="M195" s="36" t="s">
        <v>886</v>
      </c>
      <c r="N195" s="36" t="s">
        <v>891</v>
      </c>
      <c r="O195" s="36" t="s">
        <v>890</v>
      </c>
      <c r="P195" s="36" t="s">
        <v>961</v>
      </c>
      <c r="Q195" s="36" t="s">
        <v>1229</v>
      </c>
      <c r="R195" s="36" t="s">
        <v>1002</v>
      </c>
      <c r="S195" s="36" t="s">
        <v>86</v>
      </c>
    </row>
    <row r="196" spans="1:19" x14ac:dyDescent="0.3">
      <c r="A196" s="36" t="s">
        <v>603</v>
      </c>
      <c r="B196" s="36"/>
      <c r="C196" s="36" t="s">
        <v>144</v>
      </c>
      <c r="D196" s="36" t="s">
        <v>63</v>
      </c>
      <c r="E196" s="36" t="s">
        <v>46</v>
      </c>
      <c r="F196" s="36" t="s">
        <v>148</v>
      </c>
      <c r="G196" s="36" t="s">
        <v>604</v>
      </c>
      <c r="H196" s="36" t="s">
        <v>1273</v>
      </c>
      <c r="I196" s="36" t="s">
        <v>25</v>
      </c>
      <c r="J196" s="36" t="s">
        <v>39</v>
      </c>
      <c r="K196" s="36" t="s">
        <v>1274</v>
      </c>
      <c r="L196" s="36" t="s">
        <v>605</v>
      </c>
      <c r="M196" s="36" t="s">
        <v>896</v>
      </c>
      <c r="N196" s="36" t="s">
        <v>1008</v>
      </c>
      <c r="O196" s="36" t="s">
        <v>898</v>
      </c>
      <c r="P196" s="36" t="s">
        <v>916</v>
      </c>
      <c r="Q196" s="36" t="s">
        <v>1095</v>
      </c>
      <c r="R196" s="36" t="s">
        <v>1275</v>
      </c>
      <c r="S196" s="36" t="s">
        <v>86</v>
      </c>
    </row>
    <row r="197" spans="1:19" x14ac:dyDescent="0.3">
      <c r="A197" s="36" t="s">
        <v>606</v>
      </c>
      <c r="B197" s="36" t="s">
        <v>906</v>
      </c>
      <c r="C197" s="36" t="s">
        <v>133</v>
      </c>
      <c r="D197" s="36" t="s">
        <v>63</v>
      </c>
      <c r="E197" s="36" t="s">
        <v>46</v>
      </c>
      <c r="F197" s="36" t="s">
        <v>148</v>
      </c>
      <c r="G197" s="36"/>
      <c r="H197" s="36" t="s">
        <v>1276</v>
      </c>
      <c r="I197" s="36" t="s">
        <v>26</v>
      </c>
      <c r="J197" s="36" t="s">
        <v>39</v>
      </c>
      <c r="K197" s="36" t="s">
        <v>898</v>
      </c>
      <c r="L197" s="36" t="s">
        <v>607</v>
      </c>
      <c r="M197" s="36" t="s">
        <v>896</v>
      </c>
      <c r="N197" s="36" t="s">
        <v>1008</v>
      </c>
      <c r="O197" s="36" t="s">
        <v>898</v>
      </c>
      <c r="P197" s="36" t="s">
        <v>916</v>
      </c>
      <c r="Q197" s="36" t="s">
        <v>1049</v>
      </c>
      <c r="R197" s="36" t="s">
        <v>1035</v>
      </c>
      <c r="S197" s="36" t="s">
        <v>86</v>
      </c>
    </row>
    <row r="198" spans="1:19" x14ac:dyDescent="0.3">
      <c r="A198" s="36" t="s">
        <v>608</v>
      </c>
      <c r="B198" s="36" t="s">
        <v>954</v>
      </c>
      <c r="C198" s="36" t="s">
        <v>133</v>
      </c>
      <c r="D198" s="36" t="s">
        <v>68</v>
      </c>
      <c r="E198" s="36" t="s">
        <v>46</v>
      </c>
      <c r="F198" s="36" t="s">
        <v>134</v>
      </c>
      <c r="G198" s="36" t="s">
        <v>426</v>
      </c>
      <c r="H198" s="36" t="s">
        <v>896</v>
      </c>
      <c r="I198" s="36" t="s">
        <v>26</v>
      </c>
      <c r="J198" s="36" t="s">
        <v>38</v>
      </c>
      <c r="K198" s="36" t="s">
        <v>1111</v>
      </c>
      <c r="L198" s="36" t="s">
        <v>609</v>
      </c>
      <c r="M198" s="36" t="s">
        <v>896</v>
      </c>
      <c r="N198" s="36" t="s">
        <v>1009</v>
      </c>
      <c r="O198" s="36" t="s">
        <v>898</v>
      </c>
      <c r="P198" s="36" t="s">
        <v>891</v>
      </c>
      <c r="Q198" s="36" t="s">
        <v>899</v>
      </c>
      <c r="R198" s="36" t="s">
        <v>893</v>
      </c>
      <c r="S198" s="36" t="s">
        <v>86</v>
      </c>
    </row>
    <row r="199" spans="1:19" x14ac:dyDescent="0.3">
      <c r="A199" s="36" t="s">
        <v>610</v>
      </c>
      <c r="B199" s="36" t="s">
        <v>930</v>
      </c>
      <c r="C199" s="36" t="s">
        <v>133</v>
      </c>
      <c r="D199" s="36" t="s">
        <v>70</v>
      </c>
      <c r="E199" s="36" t="s">
        <v>47</v>
      </c>
      <c r="F199" s="36" t="s">
        <v>159</v>
      </c>
      <c r="G199" s="36" t="s">
        <v>611</v>
      </c>
      <c r="H199" s="36" t="s">
        <v>1277</v>
      </c>
      <c r="I199" s="36" t="s">
        <v>27</v>
      </c>
      <c r="J199" s="36" t="s">
        <v>41</v>
      </c>
      <c r="K199" s="36" t="s">
        <v>1180</v>
      </c>
      <c r="L199" s="36" t="s">
        <v>612</v>
      </c>
      <c r="M199" s="36" t="s">
        <v>906</v>
      </c>
      <c r="N199" s="36" t="s">
        <v>952</v>
      </c>
      <c r="O199" s="36" t="s">
        <v>890</v>
      </c>
      <c r="P199" s="36" t="s">
        <v>890</v>
      </c>
      <c r="Q199" s="36" t="s">
        <v>960</v>
      </c>
      <c r="R199" s="36" t="s">
        <v>924</v>
      </c>
      <c r="S199" s="36" t="s">
        <v>86</v>
      </c>
    </row>
    <row r="200" spans="1:19" x14ac:dyDescent="0.3">
      <c r="A200" s="36" t="s">
        <v>613</v>
      </c>
      <c r="B200" s="36" t="s">
        <v>886</v>
      </c>
      <c r="C200" s="36" t="s">
        <v>133</v>
      </c>
      <c r="D200" s="36" t="s">
        <v>65</v>
      </c>
      <c r="E200" s="36" t="s">
        <v>47</v>
      </c>
      <c r="F200" s="36" t="s">
        <v>138</v>
      </c>
      <c r="G200" s="36" t="s">
        <v>174</v>
      </c>
      <c r="H200" s="36" t="s">
        <v>1278</v>
      </c>
      <c r="I200" s="36" t="s">
        <v>25</v>
      </c>
      <c r="J200" s="36" t="s">
        <v>36</v>
      </c>
      <c r="K200" s="36" t="s">
        <v>1025</v>
      </c>
      <c r="L200" s="36" t="s">
        <v>614</v>
      </c>
      <c r="M200" s="36" t="s">
        <v>896</v>
      </c>
      <c r="N200" s="36" t="s">
        <v>1093</v>
      </c>
      <c r="O200" s="36" t="s">
        <v>916</v>
      </c>
      <c r="P200" s="36" t="s">
        <v>961</v>
      </c>
      <c r="Q200" s="36" t="s">
        <v>1110</v>
      </c>
      <c r="R200" s="36" t="s">
        <v>910</v>
      </c>
      <c r="S200" s="36" t="s">
        <v>86</v>
      </c>
    </row>
    <row r="201" spans="1:19" x14ac:dyDescent="0.3">
      <c r="A201" s="36" t="s">
        <v>615</v>
      </c>
      <c r="B201" s="36" t="s">
        <v>1279</v>
      </c>
      <c r="C201" s="36" t="s">
        <v>912</v>
      </c>
      <c r="D201" s="36" t="s">
        <v>68</v>
      </c>
      <c r="E201" s="36" t="s">
        <v>46</v>
      </c>
      <c r="F201" s="36" t="s">
        <v>134</v>
      </c>
      <c r="G201" s="36" t="s">
        <v>426</v>
      </c>
      <c r="H201" s="36" t="s">
        <v>1280</v>
      </c>
      <c r="I201" s="36" t="s">
        <v>24</v>
      </c>
      <c r="J201" s="36" t="s">
        <v>41</v>
      </c>
      <c r="K201" s="36" t="s">
        <v>960</v>
      </c>
      <c r="L201" s="36" t="s">
        <v>616</v>
      </c>
      <c r="M201" s="36" t="s">
        <v>946</v>
      </c>
      <c r="N201" s="36" t="s">
        <v>1028</v>
      </c>
      <c r="O201" s="36" t="s">
        <v>890</v>
      </c>
      <c r="P201" s="36" t="s">
        <v>927</v>
      </c>
      <c r="Q201" s="36" t="s">
        <v>960</v>
      </c>
      <c r="R201" s="36" t="s">
        <v>947</v>
      </c>
      <c r="S201" s="36" t="s">
        <v>88</v>
      </c>
    </row>
    <row r="202" spans="1:19" x14ac:dyDescent="0.3">
      <c r="A202" s="36" t="s">
        <v>617</v>
      </c>
      <c r="B202" s="36" t="s">
        <v>1124</v>
      </c>
      <c r="C202" s="36" t="s">
        <v>144</v>
      </c>
      <c r="D202" s="36" t="s">
        <v>61</v>
      </c>
      <c r="E202" s="36" t="s">
        <v>46</v>
      </c>
      <c r="F202" s="36" t="s">
        <v>245</v>
      </c>
      <c r="G202" s="36" t="s">
        <v>618</v>
      </c>
      <c r="H202" s="36" t="s">
        <v>1281</v>
      </c>
      <c r="I202" s="36" t="s">
        <v>29</v>
      </c>
      <c r="J202" s="36" t="s">
        <v>38</v>
      </c>
      <c r="K202" s="36" t="s">
        <v>979</v>
      </c>
      <c r="L202" s="36" t="s">
        <v>619</v>
      </c>
      <c r="M202" s="36" t="s">
        <v>1068</v>
      </c>
      <c r="N202" s="36" t="s">
        <v>1093</v>
      </c>
      <c r="O202" s="36" t="s">
        <v>890</v>
      </c>
      <c r="P202" s="36" t="s">
        <v>961</v>
      </c>
      <c r="Q202" s="36" t="s">
        <v>1282</v>
      </c>
      <c r="R202" s="36" t="s">
        <v>961</v>
      </c>
      <c r="S202" s="36" t="s">
        <v>86</v>
      </c>
    </row>
    <row r="203" spans="1:19" x14ac:dyDescent="0.3">
      <c r="A203" s="36" t="s">
        <v>620</v>
      </c>
      <c r="B203" s="36" t="s">
        <v>980</v>
      </c>
      <c r="C203" s="36" t="s">
        <v>144</v>
      </c>
      <c r="D203" s="36" t="s">
        <v>61</v>
      </c>
      <c r="E203" s="36" t="s">
        <v>46</v>
      </c>
      <c r="F203" s="36" t="s">
        <v>148</v>
      </c>
      <c r="G203" s="36" t="s">
        <v>597</v>
      </c>
      <c r="H203" s="36" t="s">
        <v>1283</v>
      </c>
      <c r="I203" s="36" t="s">
        <v>29</v>
      </c>
      <c r="J203" s="36" t="s">
        <v>38</v>
      </c>
      <c r="K203" s="36" t="s">
        <v>1079</v>
      </c>
      <c r="L203" s="36" t="s">
        <v>621</v>
      </c>
      <c r="M203" s="36" t="s">
        <v>896</v>
      </c>
      <c r="N203" s="36" t="s">
        <v>968</v>
      </c>
      <c r="O203" s="36" t="s">
        <v>890</v>
      </c>
      <c r="P203" s="36" t="s">
        <v>927</v>
      </c>
      <c r="Q203" s="36" t="s">
        <v>1119</v>
      </c>
      <c r="R203" s="36" t="s">
        <v>1082</v>
      </c>
      <c r="S203" s="36" t="s">
        <v>86</v>
      </c>
    </row>
    <row r="204" spans="1:19" x14ac:dyDescent="0.3">
      <c r="A204" s="36" t="s">
        <v>622</v>
      </c>
      <c r="B204" s="36" t="s">
        <v>1174</v>
      </c>
      <c r="C204" s="36" t="s">
        <v>144</v>
      </c>
      <c r="D204" s="36" t="s">
        <v>66</v>
      </c>
      <c r="E204" s="36" t="s">
        <v>46</v>
      </c>
      <c r="F204" s="36" t="s">
        <v>134</v>
      </c>
      <c r="G204" s="36" t="s">
        <v>177</v>
      </c>
      <c r="H204" s="36" t="s">
        <v>1284</v>
      </c>
      <c r="I204" s="36" t="s">
        <v>25</v>
      </c>
      <c r="J204" s="36" t="s">
        <v>36</v>
      </c>
      <c r="K204" s="36" t="s">
        <v>1285</v>
      </c>
      <c r="L204" s="36" t="s">
        <v>623</v>
      </c>
      <c r="M204" s="36" t="s">
        <v>896</v>
      </c>
      <c r="N204" s="36" t="s">
        <v>1110</v>
      </c>
      <c r="O204" s="36" t="s">
        <v>890</v>
      </c>
      <c r="P204" s="36" t="s">
        <v>927</v>
      </c>
      <c r="Q204" s="36" t="s">
        <v>933</v>
      </c>
      <c r="R204" s="36" t="s">
        <v>1045</v>
      </c>
      <c r="S204" s="36" t="s">
        <v>86</v>
      </c>
    </row>
    <row r="205" spans="1:19" x14ac:dyDescent="0.3">
      <c r="A205" s="36" t="s">
        <v>624</v>
      </c>
      <c r="B205" s="36" t="s">
        <v>1262</v>
      </c>
      <c r="C205" s="36" t="s">
        <v>1066</v>
      </c>
      <c r="D205" s="36" t="s">
        <v>68</v>
      </c>
      <c r="E205" s="36" t="s">
        <v>47</v>
      </c>
      <c r="F205" s="36" t="s">
        <v>134</v>
      </c>
      <c r="G205" s="36" t="s">
        <v>168</v>
      </c>
      <c r="H205" s="36" t="s">
        <v>1286</v>
      </c>
      <c r="I205" s="36" t="s">
        <v>24</v>
      </c>
      <c r="J205" s="36" t="s">
        <v>39</v>
      </c>
      <c r="K205" s="36" t="s">
        <v>1000</v>
      </c>
      <c r="L205" s="36" t="s">
        <v>625</v>
      </c>
      <c r="M205" s="36" t="s">
        <v>906</v>
      </c>
      <c r="N205" s="36" t="s">
        <v>909</v>
      </c>
      <c r="O205" s="36" t="s">
        <v>898</v>
      </c>
      <c r="P205" s="36" t="s">
        <v>891</v>
      </c>
      <c r="Q205" s="36" t="s">
        <v>936</v>
      </c>
      <c r="R205" s="36" t="s">
        <v>1115</v>
      </c>
      <c r="S205" s="36" t="s">
        <v>86</v>
      </c>
    </row>
    <row r="206" spans="1:19" x14ac:dyDescent="0.3">
      <c r="A206" s="36" t="s">
        <v>626</v>
      </c>
      <c r="B206" s="36" t="s">
        <v>1287</v>
      </c>
      <c r="C206" s="36" t="s">
        <v>133</v>
      </c>
      <c r="D206" s="36" t="s">
        <v>155</v>
      </c>
      <c r="E206" s="36" t="s">
        <v>47</v>
      </c>
      <c r="F206" s="36" t="s">
        <v>1288</v>
      </c>
      <c r="G206" s="36" t="s">
        <v>627</v>
      </c>
      <c r="H206" s="36" t="s">
        <v>1289</v>
      </c>
      <c r="I206" s="36" t="s">
        <v>28</v>
      </c>
      <c r="J206" s="36" t="s">
        <v>36</v>
      </c>
      <c r="K206" s="36" t="s">
        <v>1079</v>
      </c>
      <c r="L206" s="36" t="s">
        <v>628</v>
      </c>
      <c r="M206" s="36" t="s">
        <v>896</v>
      </c>
      <c r="N206" s="36" t="s">
        <v>1025</v>
      </c>
      <c r="O206" s="36" t="s">
        <v>898</v>
      </c>
      <c r="P206" s="36" t="s">
        <v>898</v>
      </c>
      <c r="Q206" s="36" t="s">
        <v>1020</v>
      </c>
      <c r="R206" s="36" t="s">
        <v>987</v>
      </c>
      <c r="S206" s="36" t="s">
        <v>88</v>
      </c>
    </row>
    <row r="207" spans="1:19" x14ac:dyDescent="0.3">
      <c r="A207" s="36" t="s">
        <v>629</v>
      </c>
      <c r="B207" s="36" t="s">
        <v>1231</v>
      </c>
      <c r="C207" s="36" t="s">
        <v>943</v>
      </c>
      <c r="D207" s="36" t="s">
        <v>62</v>
      </c>
      <c r="E207" s="36" t="s">
        <v>47</v>
      </c>
      <c r="F207" s="36" t="s">
        <v>138</v>
      </c>
      <c r="G207" s="36" t="s">
        <v>135</v>
      </c>
      <c r="H207" s="36" t="s">
        <v>1290</v>
      </c>
      <c r="I207" s="36" t="s">
        <v>27</v>
      </c>
      <c r="J207" s="36" t="s">
        <v>43</v>
      </c>
      <c r="K207" s="36" t="s">
        <v>952</v>
      </c>
      <c r="L207" s="36" t="s">
        <v>630</v>
      </c>
      <c r="M207" s="36" t="s">
        <v>906</v>
      </c>
      <c r="N207" s="36" t="s">
        <v>1012</v>
      </c>
      <c r="O207" s="36" t="s">
        <v>890</v>
      </c>
      <c r="P207" s="36" t="s">
        <v>891</v>
      </c>
      <c r="Q207" s="36"/>
      <c r="R207" s="36" t="s">
        <v>1013</v>
      </c>
      <c r="S207" s="36" t="s">
        <v>86</v>
      </c>
    </row>
    <row r="208" spans="1:19" x14ac:dyDescent="0.3">
      <c r="A208" s="36" t="s">
        <v>631</v>
      </c>
      <c r="B208" s="36" t="s">
        <v>902</v>
      </c>
      <c r="C208" s="36" t="s">
        <v>133</v>
      </c>
      <c r="D208" s="36" t="s">
        <v>61</v>
      </c>
      <c r="E208" s="36" t="s">
        <v>46</v>
      </c>
      <c r="F208" s="36" t="s">
        <v>148</v>
      </c>
      <c r="G208" s="36" t="s">
        <v>632</v>
      </c>
      <c r="H208" s="36" t="s">
        <v>1291</v>
      </c>
      <c r="I208" s="36" t="s">
        <v>951</v>
      </c>
      <c r="J208" s="36" t="s">
        <v>39</v>
      </c>
      <c r="K208" s="36" t="s">
        <v>914</v>
      </c>
      <c r="L208" s="36" t="s">
        <v>634</v>
      </c>
      <c r="M208" s="36" t="s">
        <v>896</v>
      </c>
      <c r="N208" s="36" t="s">
        <v>965</v>
      </c>
      <c r="O208" s="36" t="s">
        <v>890</v>
      </c>
      <c r="P208" s="36" t="s">
        <v>891</v>
      </c>
      <c r="Q208" s="36" t="s">
        <v>916</v>
      </c>
      <c r="R208" s="36" t="s">
        <v>891</v>
      </c>
      <c r="S208" s="36" t="s">
        <v>86</v>
      </c>
    </row>
    <row r="209" spans="1:19" x14ac:dyDescent="0.3">
      <c r="A209" s="36" t="s">
        <v>635</v>
      </c>
      <c r="B209" s="36"/>
      <c r="C209" s="36" t="s">
        <v>144</v>
      </c>
      <c r="D209" s="36" t="s">
        <v>62</v>
      </c>
      <c r="E209" s="36" t="s">
        <v>47</v>
      </c>
      <c r="F209" s="36" t="s">
        <v>138</v>
      </c>
      <c r="G209" s="36"/>
      <c r="H209" s="36"/>
      <c r="I209" s="36"/>
      <c r="J209" s="36" t="s">
        <v>37</v>
      </c>
      <c r="K209" s="36" t="s">
        <v>1049</v>
      </c>
      <c r="L209" s="36" t="s">
        <v>636</v>
      </c>
      <c r="M209" s="36" t="s">
        <v>886</v>
      </c>
      <c r="N209" s="36" t="s">
        <v>915</v>
      </c>
      <c r="O209" s="36" t="s">
        <v>898</v>
      </c>
      <c r="P209" s="36" t="s">
        <v>891</v>
      </c>
      <c r="Q209" s="36" t="s">
        <v>909</v>
      </c>
      <c r="R209" s="36" t="s">
        <v>1059</v>
      </c>
      <c r="S209" s="36" t="s">
        <v>86</v>
      </c>
    </row>
    <row r="210" spans="1:19" x14ac:dyDescent="0.3">
      <c r="A210" s="36" t="s">
        <v>637</v>
      </c>
      <c r="B210" s="36" t="s">
        <v>930</v>
      </c>
      <c r="C210" s="36" t="s">
        <v>144</v>
      </c>
      <c r="D210" s="36" t="s">
        <v>63</v>
      </c>
      <c r="E210" s="36" t="s">
        <v>46</v>
      </c>
      <c r="F210" s="36" t="s">
        <v>148</v>
      </c>
      <c r="G210" s="36" t="s">
        <v>188</v>
      </c>
      <c r="H210" s="36" t="s">
        <v>1292</v>
      </c>
      <c r="I210" s="36" t="s">
        <v>28</v>
      </c>
      <c r="J210" s="36" t="s">
        <v>37</v>
      </c>
      <c r="K210" s="36" t="s">
        <v>926</v>
      </c>
      <c r="L210" s="36" t="s">
        <v>638</v>
      </c>
      <c r="M210" s="36" t="s">
        <v>1124</v>
      </c>
      <c r="N210" s="36" t="s">
        <v>1119</v>
      </c>
      <c r="O210" s="36" t="s">
        <v>890</v>
      </c>
      <c r="P210" s="36" t="s">
        <v>927</v>
      </c>
      <c r="Q210" s="36" t="s">
        <v>1035</v>
      </c>
      <c r="R210" s="36" t="s">
        <v>1111</v>
      </c>
      <c r="S210" s="36" t="s">
        <v>87</v>
      </c>
    </row>
    <row r="211" spans="1:19" x14ac:dyDescent="0.3">
      <c r="A211" s="36" t="s">
        <v>639</v>
      </c>
      <c r="B211" s="36" t="s">
        <v>980</v>
      </c>
      <c r="C211" s="36" t="s">
        <v>133</v>
      </c>
      <c r="D211" s="36" t="s">
        <v>155</v>
      </c>
      <c r="E211" s="36" t="s">
        <v>47</v>
      </c>
      <c r="F211" s="36" t="s">
        <v>138</v>
      </c>
      <c r="G211" s="36" t="s">
        <v>640</v>
      </c>
      <c r="H211" s="36" t="s">
        <v>1293</v>
      </c>
      <c r="I211" s="36" t="s">
        <v>26</v>
      </c>
      <c r="J211" s="36" t="s">
        <v>36</v>
      </c>
      <c r="K211" s="36" t="s">
        <v>1035</v>
      </c>
      <c r="L211" s="36" t="s">
        <v>641</v>
      </c>
      <c r="M211" s="36" t="s">
        <v>906</v>
      </c>
      <c r="N211" s="36" t="s">
        <v>1084</v>
      </c>
      <c r="O211" s="36" t="s">
        <v>898</v>
      </c>
      <c r="P211" s="36" t="s">
        <v>891</v>
      </c>
      <c r="Q211" s="36" t="s">
        <v>1104</v>
      </c>
      <c r="R211" s="36" t="s">
        <v>1082</v>
      </c>
      <c r="S211" s="36" t="s">
        <v>86</v>
      </c>
    </row>
    <row r="212" spans="1:19" x14ac:dyDescent="0.3">
      <c r="A212" s="36" t="s">
        <v>642</v>
      </c>
      <c r="B212" s="36" t="s">
        <v>1168</v>
      </c>
      <c r="C212" s="36" t="s">
        <v>144</v>
      </c>
      <c r="D212" s="36" t="s">
        <v>65</v>
      </c>
      <c r="E212" s="36" t="s">
        <v>47</v>
      </c>
      <c r="F212" s="36" t="s">
        <v>245</v>
      </c>
      <c r="G212" s="36" t="s">
        <v>643</v>
      </c>
      <c r="H212" s="36" t="s">
        <v>1294</v>
      </c>
      <c r="I212" s="36" t="s">
        <v>27</v>
      </c>
      <c r="J212" s="36" t="s">
        <v>36</v>
      </c>
      <c r="K212" s="36" t="s">
        <v>960</v>
      </c>
      <c r="L212" s="36" t="s">
        <v>644</v>
      </c>
      <c r="M212" s="36"/>
      <c r="N212" s="36" t="s">
        <v>908</v>
      </c>
      <c r="O212" s="36" t="s">
        <v>908</v>
      </c>
      <c r="P212" s="36" t="s">
        <v>898</v>
      </c>
      <c r="Q212" s="36" t="s">
        <v>952</v>
      </c>
      <c r="R212" s="36" t="s">
        <v>1295</v>
      </c>
      <c r="S212" s="36" t="s">
        <v>88</v>
      </c>
    </row>
    <row r="213" spans="1:19" x14ac:dyDescent="0.3">
      <c r="A213" s="36" t="s">
        <v>645</v>
      </c>
      <c r="B213" s="36" t="s">
        <v>962</v>
      </c>
      <c r="C213" s="36" t="s">
        <v>133</v>
      </c>
      <c r="D213" s="36" t="s">
        <v>63</v>
      </c>
      <c r="E213" s="36" t="s">
        <v>46</v>
      </c>
      <c r="F213" s="36" t="s">
        <v>159</v>
      </c>
      <c r="G213" s="36" t="s">
        <v>188</v>
      </c>
      <c r="H213" s="36" t="s">
        <v>896</v>
      </c>
      <c r="I213" s="36" t="s">
        <v>27</v>
      </c>
      <c r="J213" s="36" t="s">
        <v>37</v>
      </c>
      <c r="K213" s="36" t="s">
        <v>928</v>
      </c>
      <c r="L213" s="36" t="s">
        <v>646</v>
      </c>
      <c r="M213" s="36" t="s">
        <v>946</v>
      </c>
      <c r="N213" s="36" t="s">
        <v>895</v>
      </c>
      <c r="O213" s="36" t="s">
        <v>908</v>
      </c>
      <c r="P213" s="36" t="s">
        <v>890</v>
      </c>
      <c r="Q213" s="36" t="s">
        <v>934</v>
      </c>
      <c r="R213" s="36" t="s">
        <v>917</v>
      </c>
      <c r="S213" s="36" t="s">
        <v>88</v>
      </c>
    </row>
    <row r="214" spans="1:19" x14ac:dyDescent="0.3">
      <c r="A214" s="36" t="s">
        <v>647</v>
      </c>
      <c r="B214" s="36" t="s">
        <v>969</v>
      </c>
      <c r="C214" s="36" t="s">
        <v>1066</v>
      </c>
      <c r="D214" s="36"/>
      <c r="E214" s="36" t="s">
        <v>47</v>
      </c>
      <c r="F214" s="36" t="s">
        <v>245</v>
      </c>
      <c r="G214" s="36" t="s">
        <v>648</v>
      </c>
      <c r="H214" s="36" t="s">
        <v>1296</v>
      </c>
      <c r="I214" s="36" t="s">
        <v>28</v>
      </c>
      <c r="J214" s="36" t="s">
        <v>43</v>
      </c>
      <c r="K214" s="36" t="s">
        <v>995</v>
      </c>
      <c r="L214" s="36" t="s">
        <v>649</v>
      </c>
      <c r="M214" s="36" t="s">
        <v>906</v>
      </c>
      <c r="N214" s="36" t="s">
        <v>996</v>
      </c>
      <c r="O214" s="36" t="s">
        <v>890</v>
      </c>
      <c r="P214" s="36" t="s">
        <v>890</v>
      </c>
      <c r="Q214" s="36"/>
      <c r="R214" s="36" t="s">
        <v>1045</v>
      </c>
      <c r="S214" s="36" t="s">
        <v>88</v>
      </c>
    </row>
    <row r="215" spans="1:19" x14ac:dyDescent="0.3">
      <c r="A215" s="36" t="s">
        <v>650</v>
      </c>
      <c r="B215" s="36"/>
      <c r="C215" s="36" t="s">
        <v>133</v>
      </c>
      <c r="D215" s="36" t="s">
        <v>62</v>
      </c>
      <c r="E215" s="36" t="s">
        <v>47</v>
      </c>
      <c r="F215" s="36" t="s">
        <v>134</v>
      </c>
      <c r="G215" s="36" t="s">
        <v>651</v>
      </c>
      <c r="H215" s="36" t="s">
        <v>1297</v>
      </c>
      <c r="I215" s="36" t="s">
        <v>25</v>
      </c>
      <c r="J215" s="36" t="s">
        <v>37</v>
      </c>
      <c r="K215" s="36" t="s">
        <v>1110</v>
      </c>
      <c r="L215" s="36" t="s">
        <v>652</v>
      </c>
      <c r="M215" s="36" t="s">
        <v>906</v>
      </c>
      <c r="N215" s="36" t="s">
        <v>1086</v>
      </c>
      <c r="O215" s="36" t="s">
        <v>898</v>
      </c>
      <c r="P215" s="36" t="s">
        <v>916</v>
      </c>
      <c r="Q215" s="36" t="s">
        <v>986</v>
      </c>
      <c r="R215" s="36" t="s">
        <v>1135</v>
      </c>
      <c r="S215" s="36" t="s">
        <v>87</v>
      </c>
    </row>
    <row r="216" spans="1:19" x14ac:dyDescent="0.3">
      <c r="A216" s="36" t="s">
        <v>653</v>
      </c>
      <c r="B216" s="36" t="s">
        <v>1189</v>
      </c>
      <c r="C216" s="36" t="s">
        <v>133</v>
      </c>
      <c r="D216" s="36" t="s">
        <v>61</v>
      </c>
      <c r="E216" s="36" t="s">
        <v>47</v>
      </c>
      <c r="F216" s="36" t="s">
        <v>194</v>
      </c>
      <c r="G216" s="36" t="s">
        <v>654</v>
      </c>
      <c r="H216" s="36" t="s">
        <v>1298</v>
      </c>
      <c r="I216" s="36" t="s">
        <v>29</v>
      </c>
      <c r="J216" s="36" t="s">
        <v>36</v>
      </c>
      <c r="K216" s="36" t="s">
        <v>1004</v>
      </c>
      <c r="L216" s="36" t="s">
        <v>655</v>
      </c>
      <c r="M216" s="36" t="s">
        <v>896</v>
      </c>
      <c r="N216" s="36" t="s">
        <v>1027</v>
      </c>
      <c r="O216" s="36" t="s">
        <v>898</v>
      </c>
      <c r="P216" s="36" t="s">
        <v>890</v>
      </c>
      <c r="Q216" s="36" t="s">
        <v>898</v>
      </c>
      <c r="R216" s="36" t="s">
        <v>987</v>
      </c>
      <c r="S216" s="36" t="s">
        <v>88</v>
      </c>
    </row>
    <row r="217" spans="1:19" x14ac:dyDescent="0.3">
      <c r="A217" s="36" t="s">
        <v>656</v>
      </c>
      <c r="B217" s="36" t="s">
        <v>1299</v>
      </c>
      <c r="C217" s="36" t="s">
        <v>144</v>
      </c>
      <c r="D217" s="36" t="s">
        <v>61</v>
      </c>
      <c r="E217" s="36" t="s">
        <v>47</v>
      </c>
      <c r="F217" s="36" t="s">
        <v>134</v>
      </c>
      <c r="G217" s="36" t="s">
        <v>267</v>
      </c>
      <c r="H217" s="36" t="s">
        <v>1300</v>
      </c>
      <c r="I217" s="36" t="s">
        <v>30</v>
      </c>
      <c r="J217" s="36" t="s">
        <v>40</v>
      </c>
      <c r="K217" s="36" t="s">
        <v>889</v>
      </c>
      <c r="L217" s="36" t="s">
        <v>657</v>
      </c>
      <c r="M217" s="36" t="s">
        <v>1301</v>
      </c>
      <c r="N217" s="36" t="s">
        <v>1002</v>
      </c>
      <c r="O217" s="36" t="s">
        <v>898</v>
      </c>
      <c r="P217" s="36" t="s">
        <v>927</v>
      </c>
      <c r="Q217" s="36" t="s">
        <v>1013</v>
      </c>
      <c r="R217" s="36" t="s">
        <v>987</v>
      </c>
      <c r="S217" s="36" t="s">
        <v>87</v>
      </c>
    </row>
    <row r="218" spans="1:19" x14ac:dyDescent="0.3">
      <c r="A218" s="36" t="s">
        <v>658</v>
      </c>
      <c r="B218" s="36" t="s">
        <v>1145</v>
      </c>
      <c r="C218" s="36" t="s">
        <v>144</v>
      </c>
      <c r="D218" s="36" t="s">
        <v>62</v>
      </c>
      <c r="E218" s="36" t="s">
        <v>46</v>
      </c>
      <c r="F218" s="36" t="s">
        <v>148</v>
      </c>
      <c r="G218" s="36" t="s">
        <v>149</v>
      </c>
      <c r="H218" s="36" t="s">
        <v>1302</v>
      </c>
      <c r="I218" s="36" t="s">
        <v>26</v>
      </c>
      <c r="J218" s="36" t="s">
        <v>38</v>
      </c>
      <c r="K218" s="36" t="s">
        <v>958</v>
      </c>
      <c r="L218" s="36" t="s">
        <v>659</v>
      </c>
      <c r="M218" s="36" t="s">
        <v>896</v>
      </c>
      <c r="N218" s="36" t="s">
        <v>1020</v>
      </c>
      <c r="O218" s="36" t="s">
        <v>898</v>
      </c>
      <c r="P218" s="36" t="s">
        <v>916</v>
      </c>
      <c r="Q218" s="36" t="s">
        <v>1062</v>
      </c>
      <c r="R218" s="36" t="s">
        <v>1012</v>
      </c>
      <c r="S218" s="36" t="s">
        <v>88</v>
      </c>
    </row>
    <row r="219" spans="1:19" x14ac:dyDescent="0.3">
      <c r="A219" s="36" t="s">
        <v>660</v>
      </c>
      <c r="B219" s="36" t="s">
        <v>1030</v>
      </c>
      <c r="C219" s="36" t="s">
        <v>133</v>
      </c>
      <c r="D219" s="36" t="s">
        <v>66</v>
      </c>
      <c r="E219" s="36" t="s">
        <v>47</v>
      </c>
      <c r="F219" s="36" t="s">
        <v>194</v>
      </c>
      <c r="G219" s="36" t="s">
        <v>661</v>
      </c>
      <c r="H219" s="36" t="s">
        <v>1303</v>
      </c>
      <c r="I219" s="36" t="s">
        <v>24</v>
      </c>
      <c r="J219" s="36" t="s">
        <v>36</v>
      </c>
      <c r="K219" s="36" t="s">
        <v>979</v>
      </c>
      <c r="L219" s="36" t="s">
        <v>662</v>
      </c>
      <c r="M219" s="36"/>
      <c r="N219" s="36" t="s">
        <v>1012</v>
      </c>
      <c r="O219" s="36" t="s">
        <v>916</v>
      </c>
      <c r="P219" s="36" t="s">
        <v>946</v>
      </c>
      <c r="Q219" s="36" t="s">
        <v>929</v>
      </c>
      <c r="R219" s="36" t="s">
        <v>947</v>
      </c>
      <c r="S219" s="36" t="s">
        <v>87</v>
      </c>
    </row>
    <row r="220" spans="1:19" x14ac:dyDescent="0.3">
      <c r="A220" s="36" t="s">
        <v>663</v>
      </c>
      <c r="B220" s="36"/>
      <c r="C220" s="36" t="s">
        <v>943</v>
      </c>
      <c r="D220" s="36" t="s">
        <v>69</v>
      </c>
      <c r="E220" s="36" t="s">
        <v>46</v>
      </c>
      <c r="F220" s="36" t="s">
        <v>148</v>
      </c>
      <c r="G220" s="36" t="s">
        <v>188</v>
      </c>
      <c r="H220" s="36" t="s">
        <v>1304</v>
      </c>
      <c r="I220" s="36" t="s">
        <v>27</v>
      </c>
      <c r="J220" s="36" t="s">
        <v>37</v>
      </c>
      <c r="K220" s="36" t="s">
        <v>914</v>
      </c>
      <c r="L220" s="36" t="s">
        <v>664</v>
      </c>
      <c r="M220" s="36" t="s">
        <v>906</v>
      </c>
      <c r="N220" s="36" t="s">
        <v>1031</v>
      </c>
      <c r="O220" s="36" t="s">
        <v>898</v>
      </c>
      <c r="P220" s="36" t="s">
        <v>927</v>
      </c>
      <c r="Q220" s="36" t="s">
        <v>928</v>
      </c>
      <c r="R220" s="36" t="s">
        <v>1021</v>
      </c>
      <c r="S220" s="36" t="s">
        <v>86</v>
      </c>
    </row>
    <row r="221" spans="1:19" x14ac:dyDescent="0.3">
      <c r="A221" s="36" t="s">
        <v>665</v>
      </c>
      <c r="B221" s="36" t="s">
        <v>906</v>
      </c>
      <c r="C221" s="36" t="s">
        <v>133</v>
      </c>
      <c r="D221" s="36" t="s">
        <v>61</v>
      </c>
      <c r="E221" s="36" t="s">
        <v>46</v>
      </c>
      <c r="F221" s="36" t="s">
        <v>138</v>
      </c>
      <c r="G221" s="36" t="s">
        <v>426</v>
      </c>
      <c r="H221" s="36" t="s">
        <v>1305</v>
      </c>
      <c r="I221" s="36" t="s">
        <v>24</v>
      </c>
      <c r="J221" s="36" t="s">
        <v>38</v>
      </c>
      <c r="K221" s="36" t="s">
        <v>1012</v>
      </c>
      <c r="L221" s="36" t="s">
        <v>666</v>
      </c>
      <c r="M221" s="36" t="s">
        <v>896</v>
      </c>
      <c r="N221" s="36" t="s">
        <v>966</v>
      </c>
      <c r="O221" s="36" t="s">
        <v>908</v>
      </c>
      <c r="P221" s="36" t="s">
        <v>927</v>
      </c>
      <c r="Q221" s="36" t="s">
        <v>1306</v>
      </c>
      <c r="R221" s="36" t="s">
        <v>917</v>
      </c>
      <c r="S221" s="36" t="s">
        <v>88</v>
      </c>
    </row>
    <row r="222" spans="1:19" x14ac:dyDescent="0.3">
      <c r="A222" s="36" t="s">
        <v>667</v>
      </c>
      <c r="B222" s="36"/>
      <c r="C222" s="36" t="s">
        <v>133</v>
      </c>
      <c r="D222" s="36" t="s">
        <v>66</v>
      </c>
      <c r="E222" s="36" t="s">
        <v>46</v>
      </c>
      <c r="F222" s="36" t="s">
        <v>138</v>
      </c>
      <c r="G222" s="36" t="s">
        <v>163</v>
      </c>
      <c r="H222" s="36" t="s">
        <v>1302</v>
      </c>
      <c r="I222" s="36" t="s">
        <v>27</v>
      </c>
      <c r="J222" s="36" t="s">
        <v>40</v>
      </c>
      <c r="K222" s="36" t="s">
        <v>993</v>
      </c>
      <c r="L222" s="36" t="s">
        <v>668</v>
      </c>
      <c r="M222" s="36" t="s">
        <v>1067</v>
      </c>
      <c r="N222" s="36" t="s">
        <v>986</v>
      </c>
      <c r="O222" s="36" t="s">
        <v>898</v>
      </c>
      <c r="P222" s="36" t="s">
        <v>927</v>
      </c>
      <c r="Q222" s="36" t="s">
        <v>1012</v>
      </c>
      <c r="R222" s="36" t="s">
        <v>1123</v>
      </c>
      <c r="S222" s="36" t="s">
        <v>86</v>
      </c>
    </row>
    <row r="223" spans="1:19" x14ac:dyDescent="0.3">
      <c r="A223" s="36" t="s">
        <v>669</v>
      </c>
      <c r="B223" s="36" t="s">
        <v>954</v>
      </c>
      <c r="C223" s="36" t="s">
        <v>1029</v>
      </c>
      <c r="D223" s="36" t="s">
        <v>62</v>
      </c>
      <c r="E223" s="36" t="s">
        <v>46</v>
      </c>
      <c r="F223" s="36" t="s">
        <v>148</v>
      </c>
      <c r="G223" s="36" t="s">
        <v>292</v>
      </c>
      <c r="H223" s="36" t="s">
        <v>896</v>
      </c>
      <c r="I223" s="36" t="s">
        <v>24</v>
      </c>
      <c r="J223" s="36" t="s">
        <v>40</v>
      </c>
      <c r="K223" s="36" t="s">
        <v>1111</v>
      </c>
      <c r="L223" s="36" t="s">
        <v>670</v>
      </c>
      <c r="M223" s="36" t="s">
        <v>1307</v>
      </c>
      <c r="N223" s="36" t="s">
        <v>1035</v>
      </c>
      <c r="O223" s="36" t="s">
        <v>898</v>
      </c>
      <c r="P223" s="36" t="s">
        <v>916</v>
      </c>
      <c r="Q223" s="36" t="s">
        <v>1089</v>
      </c>
      <c r="R223" s="36" t="s">
        <v>895</v>
      </c>
      <c r="S223" s="36" t="s">
        <v>88</v>
      </c>
    </row>
    <row r="224" spans="1:19" x14ac:dyDescent="0.3">
      <c r="A224" s="36" t="s">
        <v>671</v>
      </c>
      <c r="B224" s="36"/>
      <c r="C224" s="36" t="s">
        <v>144</v>
      </c>
      <c r="D224" s="36" t="s">
        <v>1308</v>
      </c>
      <c r="E224" s="36" t="s">
        <v>47</v>
      </c>
      <c r="F224" s="36" t="s">
        <v>134</v>
      </c>
      <c r="G224" s="36" t="s">
        <v>672</v>
      </c>
      <c r="H224" s="36" t="s">
        <v>1309</v>
      </c>
      <c r="I224" s="36" t="s">
        <v>25</v>
      </c>
      <c r="J224" s="36" t="s">
        <v>41</v>
      </c>
      <c r="K224" s="36" t="s">
        <v>1001</v>
      </c>
      <c r="L224" s="36" t="s">
        <v>673</v>
      </c>
      <c r="M224" s="36" t="s">
        <v>896</v>
      </c>
      <c r="N224" s="36" t="s">
        <v>915</v>
      </c>
      <c r="O224" s="36" t="s">
        <v>890</v>
      </c>
      <c r="P224" s="36" t="s">
        <v>916</v>
      </c>
      <c r="Q224" s="36" t="s">
        <v>1035</v>
      </c>
      <c r="R224" s="36" t="s">
        <v>910</v>
      </c>
      <c r="S224" s="36" t="s">
        <v>87</v>
      </c>
    </row>
    <row r="225" spans="1:19" x14ac:dyDescent="0.3">
      <c r="A225" s="36" t="s">
        <v>674</v>
      </c>
      <c r="B225" s="36" t="s">
        <v>1016</v>
      </c>
      <c r="C225" s="36" t="s">
        <v>144</v>
      </c>
      <c r="D225" s="36" t="s">
        <v>66</v>
      </c>
      <c r="E225" s="36" t="s">
        <v>47</v>
      </c>
      <c r="F225" s="36" t="s">
        <v>194</v>
      </c>
      <c r="G225" s="36" t="s">
        <v>675</v>
      </c>
      <c r="H225" s="36" t="s">
        <v>1310</v>
      </c>
      <c r="I225" s="36" t="s">
        <v>25</v>
      </c>
      <c r="J225" s="36" t="s">
        <v>43</v>
      </c>
      <c r="K225" s="36" t="s">
        <v>1086</v>
      </c>
      <c r="L225" s="36" t="s">
        <v>676</v>
      </c>
      <c r="M225" s="36" t="s">
        <v>896</v>
      </c>
      <c r="N225" s="36" t="s">
        <v>1111</v>
      </c>
      <c r="O225" s="36" t="s">
        <v>898</v>
      </c>
      <c r="P225" s="36" t="s">
        <v>927</v>
      </c>
      <c r="Q225" s="36" t="s">
        <v>915</v>
      </c>
      <c r="R225" s="36" t="s">
        <v>946</v>
      </c>
      <c r="S225" s="36" t="s">
        <v>86</v>
      </c>
    </row>
    <row r="226" spans="1:19" x14ac:dyDescent="0.3">
      <c r="A226" s="36" t="s">
        <v>677</v>
      </c>
      <c r="B226" s="36" t="s">
        <v>1074</v>
      </c>
      <c r="C226" s="36" t="s">
        <v>144</v>
      </c>
      <c r="D226" s="36" t="s">
        <v>64</v>
      </c>
      <c r="E226" s="36" t="s">
        <v>47</v>
      </c>
      <c r="F226" s="36" t="s">
        <v>138</v>
      </c>
      <c r="G226" s="36" t="s">
        <v>249</v>
      </c>
      <c r="H226" s="36" t="s">
        <v>1311</v>
      </c>
      <c r="I226" s="36" t="s">
        <v>24</v>
      </c>
      <c r="J226" s="36" t="s">
        <v>37</v>
      </c>
      <c r="K226" s="36" t="s">
        <v>1093</v>
      </c>
      <c r="L226" s="36" t="s">
        <v>678</v>
      </c>
      <c r="M226" s="36" t="s">
        <v>896</v>
      </c>
      <c r="N226" s="36" t="s">
        <v>986</v>
      </c>
      <c r="O226" s="36" t="s">
        <v>898</v>
      </c>
      <c r="P226" s="36" t="s">
        <v>891</v>
      </c>
      <c r="Q226" s="36" t="s">
        <v>936</v>
      </c>
      <c r="R226" s="36" t="s">
        <v>1104</v>
      </c>
      <c r="S226" s="36" t="s">
        <v>86</v>
      </c>
    </row>
    <row r="227" spans="1:19" x14ac:dyDescent="0.3">
      <c r="A227" s="36" t="s">
        <v>679</v>
      </c>
      <c r="B227" s="36" t="s">
        <v>1074</v>
      </c>
      <c r="C227" s="36" t="s">
        <v>133</v>
      </c>
      <c r="D227" s="36" t="s">
        <v>70</v>
      </c>
      <c r="E227" s="36" t="s">
        <v>47</v>
      </c>
      <c r="F227" s="36" t="s">
        <v>1288</v>
      </c>
      <c r="G227" s="36" t="s">
        <v>451</v>
      </c>
      <c r="H227" s="36"/>
      <c r="I227" s="36" t="s">
        <v>26</v>
      </c>
      <c r="J227" s="36" t="s">
        <v>40</v>
      </c>
      <c r="K227" s="36" t="s">
        <v>979</v>
      </c>
      <c r="L227" s="36" t="s">
        <v>680</v>
      </c>
      <c r="M227" s="36" t="s">
        <v>896</v>
      </c>
      <c r="N227" s="36" t="s">
        <v>968</v>
      </c>
      <c r="O227" s="36" t="s">
        <v>908</v>
      </c>
      <c r="P227" s="36" t="s">
        <v>916</v>
      </c>
      <c r="Q227" s="36" t="s">
        <v>927</v>
      </c>
      <c r="R227" s="36" t="s">
        <v>947</v>
      </c>
      <c r="S227" s="36" t="s">
        <v>88</v>
      </c>
    </row>
    <row r="228" spans="1:19" x14ac:dyDescent="0.3">
      <c r="A228" s="36" t="s">
        <v>681</v>
      </c>
      <c r="B228" s="36" t="s">
        <v>1117</v>
      </c>
      <c r="C228" s="36" t="s">
        <v>144</v>
      </c>
      <c r="D228" s="36" t="s">
        <v>63</v>
      </c>
      <c r="E228" s="36" t="s">
        <v>47</v>
      </c>
      <c r="F228" s="36" t="s">
        <v>194</v>
      </c>
      <c r="G228" s="36" t="s">
        <v>174</v>
      </c>
      <c r="H228" s="36" t="s">
        <v>1312</v>
      </c>
      <c r="I228" s="36" t="s">
        <v>26</v>
      </c>
      <c r="J228" s="36" t="s">
        <v>36</v>
      </c>
      <c r="K228" s="36" t="s">
        <v>1008</v>
      </c>
      <c r="L228" s="36" t="s">
        <v>682</v>
      </c>
      <c r="M228" s="36" t="s">
        <v>896</v>
      </c>
      <c r="N228" s="36" t="s">
        <v>893</v>
      </c>
      <c r="O228" s="36" t="s">
        <v>890</v>
      </c>
      <c r="P228" s="36" t="s">
        <v>891</v>
      </c>
      <c r="Q228" s="36" t="s">
        <v>895</v>
      </c>
      <c r="R228" s="36" t="s">
        <v>1059</v>
      </c>
      <c r="S228" s="36" t="s">
        <v>86</v>
      </c>
    </row>
    <row r="229" spans="1:19" x14ac:dyDescent="0.3">
      <c r="A229" s="36" t="s">
        <v>683</v>
      </c>
      <c r="B229" s="36" t="s">
        <v>1262</v>
      </c>
      <c r="C229" s="36" t="s">
        <v>1137</v>
      </c>
      <c r="D229" s="36" t="s">
        <v>64</v>
      </c>
      <c r="E229" s="36" t="s">
        <v>47</v>
      </c>
      <c r="F229" s="36" t="s">
        <v>138</v>
      </c>
      <c r="G229" s="36" t="s">
        <v>684</v>
      </c>
      <c r="H229" s="36" t="s">
        <v>1313</v>
      </c>
      <c r="I229" s="36" t="s">
        <v>24</v>
      </c>
      <c r="J229" s="36" t="s">
        <v>40</v>
      </c>
      <c r="K229" s="36" t="s">
        <v>1149</v>
      </c>
      <c r="L229" s="36" t="s">
        <v>685</v>
      </c>
      <c r="M229" s="36" t="s">
        <v>946</v>
      </c>
      <c r="N229" s="36" t="s">
        <v>1119</v>
      </c>
      <c r="O229" s="36" t="s">
        <v>898</v>
      </c>
      <c r="P229" s="36" t="s">
        <v>890</v>
      </c>
      <c r="Q229" s="36" t="s">
        <v>1044</v>
      </c>
      <c r="R229" s="36" t="s">
        <v>987</v>
      </c>
      <c r="S229" s="36" t="s">
        <v>88</v>
      </c>
    </row>
    <row r="230" spans="1:19" x14ac:dyDescent="0.3">
      <c r="A230" s="36" t="s">
        <v>686</v>
      </c>
      <c r="B230" s="36" t="s">
        <v>919</v>
      </c>
      <c r="C230" s="36" t="s">
        <v>991</v>
      </c>
      <c r="D230" s="36" t="s">
        <v>64</v>
      </c>
      <c r="E230" s="36" t="s">
        <v>46</v>
      </c>
      <c r="F230" s="36" t="s">
        <v>148</v>
      </c>
      <c r="G230" s="36" t="s">
        <v>188</v>
      </c>
      <c r="H230" s="36" t="s">
        <v>1201</v>
      </c>
      <c r="I230" s="36" t="s">
        <v>24</v>
      </c>
      <c r="J230" s="36" t="s">
        <v>37</v>
      </c>
      <c r="K230" s="36" t="s">
        <v>1090</v>
      </c>
      <c r="L230" s="36" t="s">
        <v>687</v>
      </c>
      <c r="M230" s="36" t="s">
        <v>896</v>
      </c>
      <c r="N230" s="36" t="s">
        <v>1070</v>
      </c>
      <c r="O230" s="36" t="s">
        <v>898</v>
      </c>
      <c r="P230" s="36" t="s">
        <v>961</v>
      </c>
      <c r="Q230" s="36" t="s">
        <v>946</v>
      </c>
      <c r="R230" s="36" t="s">
        <v>893</v>
      </c>
      <c r="S230" s="36" t="s">
        <v>86</v>
      </c>
    </row>
    <row r="231" spans="1:19" x14ac:dyDescent="0.3">
      <c r="A231" s="36" t="s">
        <v>688</v>
      </c>
      <c r="B231" s="36" t="s">
        <v>962</v>
      </c>
      <c r="C231" s="36" t="s">
        <v>144</v>
      </c>
      <c r="D231" s="36" t="s">
        <v>67</v>
      </c>
      <c r="E231" s="36" t="s">
        <v>46</v>
      </c>
      <c r="F231" s="36" t="s">
        <v>138</v>
      </c>
      <c r="G231" s="36" t="s">
        <v>689</v>
      </c>
      <c r="H231" s="36" t="s">
        <v>1314</v>
      </c>
      <c r="I231" s="36" t="s">
        <v>24</v>
      </c>
      <c r="J231" s="36" t="s">
        <v>39</v>
      </c>
      <c r="K231" s="36" t="s">
        <v>1000</v>
      </c>
      <c r="L231" s="36" t="s">
        <v>690</v>
      </c>
      <c r="M231" s="36" t="s">
        <v>946</v>
      </c>
      <c r="N231" s="36" t="s">
        <v>979</v>
      </c>
      <c r="O231" s="36" t="s">
        <v>898</v>
      </c>
      <c r="P231" s="36" t="s">
        <v>916</v>
      </c>
      <c r="Q231" s="36" t="s">
        <v>1111</v>
      </c>
      <c r="R231" s="36" t="s">
        <v>936</v>
      </c>
      <c r="S231" s="36" t="s">
        <v>88</v>
      </c>
    </row>
    <row r="232" spans="1:19" x14ac:dyDescent="0.3">
      <c r="A232" s="36" t="s">
        <v>691</v>
      </c>
      <c r="B232" s="36" t="s">
        <v>1177</v>
      </c>
      <c r="C232" s="36" t="s">
        <v>144</v>
      </c>
      <c r="D232" s="36" t="s">
        <v>62</v>
      </c>
      <c r="E232" s="36" t="s">
        <v>46</v>
      </c>
      <c r="F232" s="36" t="s">
        <v>134</v>
      </c>
      <c r="G232" s="36" t="s">
        <v>448</v>
      </c>
      <c r="H232" s="36" t="s">
        <v>1315</v>
      </c>
      <c r="I232" s="36" t="s">
        <v>28</v>
      </c>
      <c r="J232" s="36" t="s">
        <v>36</v>
      </c>
      <c r="K232" s="36" t="s">
        <v>926</v>
      </c>
      <c r="L232" s="36" t="s">
        <v>692</v>
      </c>
      <c r="M232" s="36" t="s">
        <v>906</v>
      </c>
      <c r="N232" s="36" t="s">
        <v>890</v>
      </c>
      <c r="O232" s="36" t="s">
        <v>898</v>
      </c>
      <c r="P232" s="36" t="s">
        <v>927</v>
      </c>
      <c r="Q232" s="36" t="s">
        <v>1086</v>
      </c>
      <c r="R232" s="36" t="s">
        <v>1093</v>
      </c>
      <c r="S232" s="36" t="s">
        <v>88</v>
      </c>
    </row>
    <row r="233" spans="1:19" x14ac:dyDescent="0.3">
      <c r="A233" s="36" t="s">
        <v>693</v>
      </c>
      <c r="B233" s="36" t="s">
        <v>954</v>
      </c>
      <c r="C233" s="36" t="s">
        <v>144</v>
      </c>
      <c r="D233" s="36" t="s">
        <v>61</v>
      </c>
      <c r="E233" s="36" t="s">
        <v>46</v>
      </c>
      <c r="F233" s="36" t="s">
        <v>148</v>
      </c>
      <c r="G233" s="36" t="s">
        <v>439</v>
      </c>
      <c r="H233" s="36" t="s">
        <v>896</v>
      </c>
      <c r="I233" s="36" t="s">
        <v>26</v>
      </c>
      <c r="J233" s="36" t="s">
        <v>40</v>
      </c>
      <c r="K233" s="36" t="s">
        <v>1006</v>
      </c>
      <c r="L233" s="36" t="s">
        <v>695</v>
      </c>
      <c r="M233" s="36" t="s">
        <v>886</v>
      </c>
      <c r="N233" s="36" t="s">
        <v>979</v>
      </c>
      <c r="O233" s="36" t="s">
        <v>890</v>
      </c>
      <c r="P233" s="36" t="s">
        <v>927</v>
      </c>
      <c r="Q233" s="36" t="s">
        <v>1111</v>
      </c>
      <c r="R233" s="36" t="s">
        <v>1316</v>
      </c>
      <c r="S233" s="36" t="s">
        <v>88</v>
      </c>
    </row>
    <row r="234" spans="1:19" x14ac:dyDescent="0.3">
      <c r="A234" s="36" t="s">
        <v>696</v>
      </c>
      <c r="B234" s="36"/>
      <c r="C234" s="36" t="s">
        <v>133</v>
      </c>
      <c r="D234" s="36" t="s">
        <v>65</v>
      </c>
      <c r="E234" s="36" t="s">
        <v>47</v>
      </c>
      <c r="F234" s="36" t="s">
        <v>194</v>
      </c>
      <c r="G234" s="36" t="s">
        <v>249</v>
      </c>
      <c r="H234" s="36" t="s">
        <v>1317</v>
      </c>
      <c r="I234" s="36" t="s">
        <v>28</v>
      </c>
      <c r="J234" s="36" t="s">
        <v>37</v>
      </c>
      <c r="K234" s="36" t="s">
        <v>1008</v>
      </c>
      <c r="L234" s="36" t="s">
        <v>697</v>
      </c>
      <c r="M234" s="36" t="s">
        <v>906</v>
      </c>
      <c r="N234" s="36" t="s">
        <v>965</v>
      </c>
      <c r="O234" s="36" t="s">
        <v>916</v>
      </c>
      <c r="P234" s="36" t="s">
        <v>899</v>
      </c>
      <c r="Q234" s="36" t="s">
        <v>1158</v>
      </c>
      <c r="R234" s="36" t="s">
        <v>1002</v>
      </c>
      <c r="S234" s="36" t="s">
        <v>86</v>
      </c>
    </row>
    <row r="235" spans="1:19" x14ac:dyDescent="0.3">
      <c r="A235" s="36" t="s">
        <v>698</v>
      </c>
      <c r="B235" s="36"/>
      <c r="C235" s="36" t="s">
        <v>133</v>
      </c>
      <c r="D235" s="36" t="s">
        <v>63</v>
      </c>
      <c r="E235" s="36" t="s">
        <v>47</v>
      </c>
      <c r="F235" s="36" t="s">
        <v>1318</v>
      </c>
      <c r="G235" s="36" t="s">
        <v>499</v>
      </c>
      <c r="H235" s="36" t="s">
        <v>1319</v>
      </c>
      <c r="I235" s="36" t="s">
        <v>24</v>
      </c>
      <c r="J235" s="36" t="s">
        <v>36</v>
      </c>
      <c r="K235" s="36" t="s">
        <v>895</v>
      </c>
      <c r="L235" s="36" t="s">
        <v>699</v>
      </c>
      <c r="M235" s="36" t="s">
        <v>896</v>
      </c>
      <c r="N235" s="36" t="s">
        <v>910</v>
      </c>
      <c r="O235" s="36" t="s">
        <v>908</v>
      </c>
      <c r="P235" s="36" t="s">
        <v>916</v>
      </c>
      <c r="Q235" s="36" t="s">
        <v>1320</v>
      </c>
      <c r="R235" s="36" t="s">
        <v>934</v>
      </c>
      <c r="S235" s="36" t="s">
        <v>87</v>
      </c>
    </row>
    <row r="236" spans="1:19" x14ac:dyDescent="0.3">
      <c r="A236" s="36" t="s">
        <v>700</v>
      </c>
      <c r="B236" s="36" t="s">
        <v>1189</v>
      </c>
      <c r="C236" s="36" t="s">
        <v>133</v>
      </c>
      <c r="D236" s="36" t="s">
        <v>64</v>
      </c>
      <c r="E236" s="36" t="s">
        <v>47</v>
      </c>
      <c r="F236" s="36" t="s">
        <v>159</v>
      </c>
      <c r="G236" s="36" t="s">
        <v>701</v>
      </c>
      <c r="H236" s="36" t="s">
        <v>1321</v>
      </c>
      <c r="I236" s="36" t="s">
        <v>27</v>
      </c>
      <c r="J236" s="36" t="s">
        <v>40</v>
      </c>
      <c r="K236" s="36" t="s">
        <v>1009</v>
      </c>
      <c r="L236" s="36" t="s">
        <v>702</v>
      </c>
      <c r="M236" s="36" t="s">
        <v>896</v>
      </c>
      <c r="N236" s="36" t="s">
        <v>915</v>
      </c>
      <c r="O236" s="36" t="s">
        <v>916</v>
      </c>
      <c r="P236" s="36" t="s">
        <v>961</v>
      </c>
      <c r="Q236" s="36" t="s">
        <v>1322</v>
      </c>
      <c r="R236" s="36" t="s">
        <v>929</v>
      </c>
      <c r="S236" s="36" t="s">
        <v>86</v>
      </c>
    </row>
    <row r="237" spans="1:19" x14ac:dyDescent="0.3">
      <c r="A237" s="36" t="s">
        <v>357</v>
      </c>
      <c r="B237" s="36" t="s">
        <v>886</v>
      </c>
      <c r="C237" s="36" t="s">
        <v>133</v>
      </c>
      <c r="D237" s="36" t="s">
        <v>67</v>
      </c>
      <c r="E237" s="36" t="s">
        <v>47</v>
      </c>
      <c r="F237" s="36" t="s">
        <v>1141</v>
      </c>
      <c r="G237" s="36" t="s">
        <v>239</v>
      </c>
      <c r="H237" s="36" t="s">
        <v>1142</v>
      </c>
      <c r="I237" s="36" t="s">
        <v>26</v>
      </c>
      <c r="J237" s="36" t="s">
        <v>36</v>
      </c>
      <c r="K237" s="36" t="s">
        <v>941</v>
      </c>
      <c r="L237" s="36" t="s">
        <v>358</v>
      </c>
      <c r="M237" s="36" t="s">
        <v>896</v>
      </c>
      <c r="N237" s="36" t="s">
        <v>1082</v>
      </c>
      <c r="O237" s="36" t="s">
        <v>890</v>
      </c>
      <c r="P237" s="36" t="s">
        <v>927</v>
      </c>
      <c r="Q237" s="36" t="s">
        <v>1143</v>
      </c>
      <c r="R237" s="36" t="s">
        <v>929</v>
      </c>
      <c r="S237" s="36" t="s">
        <v>87</v>
      </c>
    </row>
    <row r="238" spans="1:19" x14ac:dyDescent="0.3">
      <c r="A238" s="36" t="s">
        <v>703</v>
      </c>
      <c r="B238" s="36"/>
      <c r="C238" s="36" t="s">
        <v>133</v>
      </c>
      <c r="D238" s="36" t="s">
        <v>61</v>
      </c>
      <c r="E238" s="36" t="s">
        <v>46</v>
      </c>
      <c r="F238" s="36" t="s">
        <v>159</v>
      </c>
      <c r="G238" s="36" t="s">
        <v>704</v>
      </c>
      <c r="H238" s="36" t="s">
        <v>1007</v>
      </c>
      <c r="I238" s="36" t="s">
        <v>25</v>
      </c>
      <c r="J238" s="36" t="s">
        <v>41</v>
      </c>
      <c r="K238" s="36" t="s">
        <v>908</v>
      </c>
      <c r="L238" s="36" t="s">
        <v>705</v>
      </c>
      <c r="M238" s="36" t="s">
        <v>896</v>
      </c>
      <c r="N238" s="36" t="s">
        <v>1119</v>
      </c>
      <c r="O238" s="36" t="s">
        <v>916</v>
      </c>
      <c r="P238" s="36" t="s">
        <v>916</v>
      </c>
      <c r="Q238" s="36" t="s">
        <v>1119</v>
      </c>
      <c r="R238" s="36" t="s">
        <v>1008</v>
      </c>
      <c r="S238" s="36" t="s">
        <v>87</v>
      </c>
    </row>
    <row r="239" spans="1:19" x14ac:dyDescent="0.3">
      <c r="A239" s="36" t="s">
        <v>706</v>
      </c>
      <c r="B239" s="36" t="s">
        <v>919</v>
      </c>
      <c r="C239" s="36" t="s">
        <v>133</v>
      </c>
      <c r="D239" s="36" t="s">
        <v>62</v>
      </c>
      <c r="E239" s="36" t="s">
        <v>46</v>
      </c>
      <c r="F239" s="36" t="s">
        <v>138</v>
      </c>
      <c r="G239" s="36" t="s">
        <v>220</v>
      </c>
      <c r="H239" s="36" t="s">
        <v>1269</v>
      </c>
      <c r="I239" s="36" t="s">
        <v>27</v>
      </c>
      <c r="J239" s="36" t="s">
        <v>38</v>
      </c>
      <c r="K239" s="36" t="s">
        <v>1323</v>
      </c>
      <c r="L239" s="36"/>
      <c r="M239" s="36" t="s">
        <v>896</v>
      </c>
      <c r="N239" s="36" t="s">
        <v>909</v>
      </c>
      <c r="O239" s="36" t="s">
        <v>890</v>
      </c>
      <c r="P239" s="36" t="s">
        <v>891</v>
      </c>
      <c r="Q239" s="36" t="s">
        <v>956</v>
      </c>
      <c r="R239" s="36" t="s">
        <v>1044</v>
      </c>
      <c r="S239" s="36" t="s">
        <v>86</v>
      </c>
    </row>
    <row r="240" spans="1:19" x14ac:dyDescent="0.3">
      <c r="A240" s="36" t="s">
        <v>589</v>
      </c>
      <c r="B240" s="36" t="s">
        <v>1117</v>
      </c>
      <c r="C240" s="36" t="s">
        <v>144</v>
      </c>
      <c r="D240" s="36" t="s">
        <v>61</v>
      </c>
      <c r="E240" s="36" t="s">
        <v>47</v>
      </c>
      <c r="F240" s="36" t="s">
        <v>134</v>
      </c>
      <c r="G240" s="36" t="s">
        <v>396</v>
      </c>
      <c r="H240" s="36" t="s">
        <v>1265</v>
      </c>
      <c r="I240" s="36" t="s">
        <v>26</v>
      </c>
      <c r="J240" s="36" t="s">
        <v>36</v>
      </c>
      <c r="K240" s="36" t="s">
        <v>1008</v>
      </c>
      <c r="L240" s="36" t="s">
        <v>590</v>
      </c>
      <c r="M240" s="36" t="s">
        <v>896</v>
      </c>
      <c r="N240" s="36" t="s">
        <v>1082</v>
      </c>
      <c r="O240" s="36" t="s">
        <v>890</v>
      </c>
      <c r="P240" s="36" t="s">
        <v>961</v>
      </c>
      <c r="Q240" s="36" t="s">
        <v>1021</v>
      </c>
      <c r="R240" s="36" t="s">
        <v>917</v>
      </c>
      <c r="S240" s="36" t="s">
        <v>86</v>
      </c>
    </row>
    <row r="241" spans="1:19" x14ac:dyDescent="0.3">
      <c r="A241" s="36" t="s">
        <v>707</v>
      </c>
      <c r="B241" s="36"/>
      <c r="C241" s="36" t="s">
        <v>943</v>
      </c>
      <c r="D241" s="36" t="s">
        <v>65</v>
      </c>
      <c r="E241" s="36" t="s">
        <v>46</v>
      </c>
      <c r="F241" s="36" t="s">
        <v>138</v>
      </c>
      <c r="G241" s="36" t="s">
        <v>171</v>
      </c>
      <c r="H241" s="36" t="s">
        <v>1019</v>
      </c>
      <c r="I241" s="36" t="s">
        <v>24</v>
      </c>
      <c r="J241" s="36" t="s">
        <v>38</v>
      </c>
      <c r="K241" s="36" t="s">
        <v>921</v>
      </c>
      <c r="L241" s="36" t="s">
        <v>708</v>
      </c>
      <c r="M241" s="36" t="s">
        <v>906</v>
      </c>
      <c r="N241" s="36" t="s">
        <v>909</v>
      </c>
      <c r="O241" s="36" t="s">
        <v>898</v>
      </c>
      <c r="P241" s="36" t="s">
        <v>891</v>
      </c>
      <c r="Q241" s="36" t="s">
        <v>1059</v>
      </c>
      <c r="R241" s="36" t="s">
        <v>1111</v>
      </c>
      <c r="S241" s="36" t="s">
        <v>86</v>
      </c>
    </row>
    <row r="242" spans="1:19" x14ac:dyDescent="0.3">
      <c r="A242" s="36" t="s">
        <v>709</v>
      </c>
      <c r="B242" s="36" t="s">
        <v>954</v>
      </c>
      <c r="C242" s="36" t="s">
        <v>133</v>
      </c>
      <c r="D242" s="36"/>
      <c r="E242" s="36" t="s">
        <v>46</v>
      </c>
      <c r="F242" s="36" t="s">
        <v>159</v>
      </c>
      <c r="G242" s="36" t="s">
        <v>142</v>
      </c>
      <c r="H242" s="36" t="s">
        <v>1324</v>
      </c>
      <c r="I242" s="36" t="s">
        <v>24</v>
      </c>
      <c r="J242" s="36" t="s">
        <v>36</v>
      </c>
      <c r="K242" s="36" t="s">
        <v>1000</v>
      </c>
      <c r="L242" s="36" t="s">
        <v>710</v>
      </c>
      <c r="M242" s="36" t="s">
        <v>946</v>
      </c>
      <c r="N242" s="36" t="s">
        <v>1049</v>
      </c>
      <c r="O242" s="36" t="s">
        <v>890</v>
      </c>
      <c r="P242" s="36" t="s">
        <v>927</v>
      </c>
      <c r="Q242" s="36" t="s">
        <v>1111</v>
      </c>
      <c r="R242" s="36" t="s">
        <v>1059</v>
      </c>
      <c r="S242" s="36" t="s">
        <v>86</v>
      </c>
    </row>
    <row r="243" spans="1:19" x14ac:dyDescent="0.3">
      <c r="A243" s="36" t="s">
        <v>711</v>
      </c>
      <c r="B243" s="36" t="s">
        <v>1177</v>
      </c>
      <c r="C243" s="36" t="s">
        <v>144</v>
      </c>
      <c r="D243" s="36" t="s">
        <v>63</v>
      </c>
      <c r="E243" s="36" t="s">
        <v>46</v>
      </c>
      <c r="F243" s="36" t="s">
        <v>148</v>
      </c>
      <c r="G243" s="36" t="s">
        <v>177</v>
      </c>
      <c r="H243" s="36" t="s">
        <v>896</v>
      </c>
      <c r="I243" s="36" t="s">
        <v>26</v>
      </c>
      <c r="J243" s="36" t="s">
        <v>36</v>
      </c>
      <c r="K243" s="36" t="s">
        <v>1181</v>
      </c>
      <c r="L243" s="36" t="s">
        <v>712</v>
      </c>
      <c r="M243" s="36" t="s">
        <v>906</v>
      </c>
      <c r="N243" s="36" t="s">
        <v>965</v>
      </c>
      <c r="O243" s="36" t="s">
        <v>890</v>
      </c>
      <c r="P243" s="36" t="s">
        <v>891</v>
      </c>
      <c r="Q243" s="36" t="s">
        <v>899</v>
      </c>
      <c r="R243" s="36" t="s">
        <v>927</v>
      </c>
      <c r="S243" s="36" t="s">
        <v>86</v>
      </c>
    </row>
    <row r="244" spans="1:19" x14ac:dyDescent="0.3">
      <c r="A244" s="36" t="s">
        <v>713</v>
      </c>
      <c r="B244" s="36" t="s">
        <v>1026</v>
      </c>
      <c r="C244" s="36" t="s">
        <v>133</v>
      </c>
      <c r="D244" s="36" t="s">
        <v>63</v>
      </c>
      <c r="E244" s="36" t="s">
        <v>46</v>
      </c>
      <c r="F244" s="36"/>
      <c r="G244" s="36" t="s">
        <v>220</v>
      </c>
      <c r="H244" s="36" t="s">
        <v>1183</v>
      </c>
      <c r="I244" s="36" t="s">
        <v>25</v>
      </c>
      <c r="J244" s="36" t="s">
        <v>38</v>
      </c>
      <c r="K244" s="36" t="s">
        <v>914</v>
      </c>
      <c r="L244" s="36" t="s">
        <v>714</v>
      </c>
      <c r="M244" s="36" t="s">
        <v>886</v>
      </c>
      <c r="N244" s="36" t="s">
        <v>1093</v>
      </c>
      <c r="O244" s="36" t="s">
        <v>898</v>
      </c>
      <c r="P244" s="36" t="s">
        <v>916</v>
      </c>
      <c r="Q244" s="36" t="s">
        <v>1025</v>
      </c>
      <c r="R244" s="36" t="s">
        <v>1028</v>
      </c>
      <c r="S244" s="36" t="s">
        <v>86</v>
      </c>
    </row>
    <row r="245" spans="1:19" x14ac:dyDescent="0.3">
      <c r="A245" s="36" t="s">
        <v>715</v>
      </c>
      <c r="B245" s="36" t="s">
        <v>938</v>
      </c>
      <c r="C245" s="36" t="s">
        <v>144</v>
      </c>
      <c r="D245" s="36" t="s">
        <v>62</v>
      </c>
      <c r="E245" s="36" t="s">
        <v>46</v>
      </c>
      <c r="F245" s="36" t="s">
        <v>159</v>
      </c>
      <c r="G245" s="36" t="s">
        <v>335</v>
      </c>
      <c r="H245" s="36" t="s">
        <v>1088</v>
      </c>
      <c r="I245" s="36" t="s">
        <v>30</v>
      </c>
      <c r="J245" s="36" t="s">
        <v>39</v>
      </c>
      <c r="K245" s="36" t="s">
        <v>1006</v>
      </c>
      <c r="L245" s="36" t="s">
        <v>716</v>
      </c>
      <c r="M245" s="36" t="s">
        <v>896</v>
      </c>
      <c r="N245" s="36" t="s">
        <v>1001</v>
      </c>
      <c r="O245" s="36" t="s">
        <v>890</v>
      </c>
      <c r="P245" s="36" t="s">
        <v>891</v>
      </c>
      <c r="Q245" s="36" t="s">
        <v>995</v>
      </c>
      <c r="R245" s="36" t="s">
        <v>1111</v>
      </c>
      <c r="S245" s="36" t="s">
        <v>86</v>
      </c>
    </row>
    <row r="246" spans="1:19" x14ac:dyDescent="0.3">
      <c r="A246" s="36" t="s">
        <v>717</v>
      </c>
      <c r="B246" s="36" t="s">
        <v>1026</v>
      </c>
      <c r="C246" s="36" t="s">
        <v>144</v>
      </c>
      <c r="D246" s="36" t="s">
        <v>64</v>
      </c>
      <c r="E246" s="36" t="s">
        <v>46</v>
      </c>
      <c r="F246" s="36" t="s">
        <v>148</v>
      </c>
      <c r="G246" s="36" t="s">
        <v>597</v>
      </c>
      <c r="H246" s="36" t="s">
        <v>1325</v>
      </c>
      <c r="I246" s="36" t="s">
        <v>29</v>
      </c>
      <c r="J246" s="36" t="s">
        <v>39</v>
      </c>
      <c r="K246" s="36" t="s">
        <v>921</v>
      </c>
      <c r="L246" s="36" t="s">
        <v>718</v>
      </c>
      <c r="M246" s="36" t="s">
        <v>906</v>
      </c>
      <c r="N246" s="36" t="s">
        <v>891</v>
      </c>
      <c r="O246" s="36" t="s">
        <v>916</v>
      </c>
      <c r="P246" s="36" t="s">
        <v>961</v>
      </c>
      <c r="Q246" s="36" t="s">
        <v>1135</v>
      </c>
      <c r="R246" s="36" t="s">
        <v>965</v>
      </c>
      <c r="S246" s="36" t="s">
        <v>86</v>
      </c>
    </row>
    <row r="247" spans="1:19" x14ac:dyDescent="0.3">
      <c r="A247" s="36" t="s">
        <v>719</v>
      </c>
      <c r="B247" s="36" t="s">
        <v>1189</v>
      </c>
      <c r="C247" s="36" t="s">
        <v>1137</v>
      </c>
      <c r="D247" s="36" t="s">
        <v>61</v>
      </c>
      <c r="E247" s="36" t="s">
        <v>47</v>
      </c>
      <c r="F247" s="36" t="s">
        <v>194</v>
      </c>
      <c r="G247" s="36"/>
      <c r="H247" s="36" t="s">
        <v>1326</v>
      </c>
      <c r="I247" s="36" t="s">
        <v>29</v>
      </c>
      <c r="J247" s="36" t="s">
        <v>42</v>
      </c>
      <c r="K247" s="36" t="s">
        <v>1006</v>
      </c>
      <c r="L247" s="36" t="s">
        <v>720</v>
      </c>
      <c r="M247" s="36" t="s">
        <v>896</v>
      </c>
      <c r="N247" s="36" t="s">
        <v>959</v>
      </c>
      <c r="O247" s="36" t="s">
        <v>890</v>
      </c>
      <c r="P247" s="36" t="s">
        <v>916</v>
      </c>
      <c r="Q247" s="36" t="s">
        <v>898</v>
      </c>
      <c r="R247" s="36" t="s">
        <v>966</v>
      </c>
      <c r="S247" s="36" t="s">
        <v>86</v>
      </c>
    </row>
    <row r="248" spans="1:19" x14ac:dyDescent="0.3">
      <c r="A248" s="36" t="s">
        <v>721</v>
      </c>
      <c r="B248" s="36" t="s">
        <v>1124</v>
      </c>
      <c r="C248" s="36" t="s">
        <v>144</v>
      </c>
      <c r="D248" s="36" t="s">
        <v>64</v>
      </c>
      <c r="E248" s="36" t="s">
        <v>47</v>
      </c>
      <c r="F248" s="36" t="s">
        <v>138</v>
      </c>
      <c r="G248" s="36" t="s">
        <v>249</v>
      </c>
      <c r="H248" s="36" t="s">
        <v>1327</v>
      </c>
      <c r="I248" s="36" t="s">
        <v>29</v>
      </c>
      <c r="J248" s="36" t="s">
        <v>37</v>
      </c>
      <c r="K248" s="36" t="s">
        <v>1149</v>
      </c>
      <c r="L248" s="36" t="s">
        <v>722</v>
      </c>
      <c r="M248" s="36"/>
      <c r="N248" s="36" t="s">
        <v>1044</v>
      </c>
      <c r="O248" s="36" t="s">
        <v>890</v>
      </c>
      <c r="P248" s="36" t="s">
        <v>927</v>
      </c>
      <c r="Q248" s="36" t="s">
        <v>952</v>
      </c>
      <c r="R248" s="36" t="s">
        <v>1328</v>
      </c>
      <c r="S248" s="36" t="s">
        <v>87</v>
      </c>
    </row>
    <row r="249" spans="1:19" x14ac:dyDescent="0.3">
      <c r="A249" s="36" t="s">
        <v>723</v>
      </c>
      <c r="B249" s="36" t="s">
        <v>954</v>
      </c>
      <c r="C249" s="36" t="s">
        <v>991</v>
      </c>
      <c r="D249" s="36" t="s">
        <v>63</v>
      </c>
      <c r="E249" s="36" t="s">
        <v>46</v>
      </c>
      <c r="F249" s="36" t="s">
        <v>159</v>
      </c>
      <c r="G249" s="36" t="s">
        <v>220</v>
      </c>
      <c r="H249" s="36" t="s">
        <v>896</v>
      </c>
      <c r="I249" s="36" t="s">
        <v>25</v>
      </c>
      <c r="J249" s="36" t="s">
        <v>38</v>
      </c>
      <c r="K249" s="36" t="s">
        <v>908</v>
      </c>
      <c r="L249" s="36" t="s">
        <v>724</v>
      </c>
      <c r="M249" s="36" t="s">
        <v>896</v>
      </c>
      <c r="N249" s="36" t="s">
        <v>1093</v>
      </c>
      <c r="O249" s="36"/>
      <c r="P249" s="36" t="s">
        <v>927</v>
      </c>
      <c r="Q249" s="36" t="s">
        <v>1028</v>
      </c>
      <c r="R249" s="36" t="s">
        <v>1045</v>
      </c>
      <c r="S249" s="36" t="s">
        <v>88</v>
      </c>
    </row>
    <row r="250" spans="1:19" x14ac:dyDescent="0.3">
      <c r="A250" s="36" t="s">
        <v>725</v>
      </c>
      <c r="B250" s="36" t="s">
        <v>954</v>
      </c>
      <c r="C250" s="36" t="s">
        <v>144</v>
      </c>
      <c r="D250" s="36" t="s">
        <v>61</v>
      </c>
      <c r="E250" s="36" t="s">
        <v>46</v>
      </c>
      <c r="F250" s="36" t="s">
        <v>134</v>
      </c>
      <c r="G250" s="36" t="s">
        <v>188</v>
      </c>
      <c r="H250" s="36" t="s">
        <v>1329</v>
      </c>
      <c r="I250" s="36" t="s">
        <v>24</v>
      </c>
      <c r="J250" s="36" t="s">
        <v>37</v>
      </c>
      <c r="K250" s="36" t="s">
        <v>971</v>
      </c>
      <c r="L250" s="36" t="s">
        <v>726</v>
      </c>
      <c r="M250" s="36" t="s">
        <v>896</v>
      </c>
      <c r="N250" s="36" t="s">
        <v>1084</v>
      </c>
      <c r="O250" s="36"/>
      <c r="P250" s="36" t="s">
        <v>927</v>
      </c>
      <c r="Q250" s="36" t="s">
        <v>1330</v>
      </c>
      <c r="R250" s="36" t="s">
        <v>1035</v>
      </c>
      <c r="S250" s="36" t="s">
        <v>88</v>
      </c>
    </row>
    <row r="251" spans="1:19" x14ac:dyDescent="0.3">
      <c r="A251" s="36" t="s">
        <v>727</v>
      </c>
      <c r="B251" s="36" t="s">
        <v>1069</v>
      </c>
      <c r="C251" s="36" t="s">
        <v>133</v>
      </c>
      <c r="D251" s="36" t="s">
        <v>66</v>
      </c>
      <c r="E251" s="36" t="s">
        <v>46</v>
      </c>
      <c r="F251" s="36" t="s">
        <v>148</v>
      </c>
      <c r="G251" s="36" t="s">
        <v>728</v>
      </c>
      <c r="H251" s="36" t="s">
        <v>1331</v>
      </c>
      <c r="I251" s="36" t="s">
        <v>24</v>
      </c>
      <c r="J251" s="36" t="s">
        <v>37</v>
      </c>
      <c r="K251" s="36"/>
      <c r="L251" s="36" t="s">
        <v>729</v>
      </c>
      <c r="M251" s="36" t="s">
        <v>896</v>
      </c>
      <c r="N251" s="36" t="s">
        <v>979</v>
      </c>
      <c r="O251" s="36" t="s">
        <v>908</v>
      </c>
      <c r="P251" s="36" t="s">
        <v>890</v>
      </c>
      <c r="Q251" s="36" t="s">
        <v>926</v>
      </c>
      <c r="R251" s="36" t="s">
        <v>1332</v>
      </c>
      <c r="S251" s="36" t="s">
        <v>86</v>
      </c>
    </row>
    <row r="252" spans="1:19" x14ac:dyDescent="0.3">
      <c r="A252" s="36" t="s">
        <v>730</v>
      </c>
      <c r="B252" s="36" t="s">
        <v>980</v>
      </c>
      <c r="C252" s="36" t="s">
        <v>133</v>
      </c>
      <c r="D252" s="36" t="s">
        <v>61</v>
      </c>
      <c r="E252" s="36" t="s">
        <v>46</v>
      </c>
      <c r="F252" s="36" t="s">
        <v>148</v>
      </c>
      <c r="G252" s="36" t="s">
        <v>188</v>
      </c>
      <c r="H252" s="36"/>
      <c r="I252" s="36" t="s">
        <v>24</v>
      </c>
      <c r="J252" s="36" t="s">
        <v>37</v>
      </c>
      <c r="K252" s="36" t="s">
        <v>1115</v>
      </c>
      <c r="L252" s="36" t="s">
        <v>731</v>
      </c>
      <c r="M252" s="36" t="s">
        <v>896</v>
      </c>
      <c r="N252" s="36" t="s">
        <v>947</v>
      </c>
      <c r="O252" s="36" t="s">
        <v>890</v>
      </c>
      <c r="P252" s="36"/>
      <c r="Q252" s="36" t="s">
        <v>1333</v>
      </c>
      <c r="R252" s="36" t="s">
        <v>921</v>
      </c>
      <c r="S252" s="36" t="s">
        <v>86</v>
      </c>
    </row>
    <row r="253" spans="1:19" x14ac:dyDescent="0.3">
      <c r="A253" s="36" t="s">
        <v>535</v>
      </c>
      <c r="B253" s="36" t="s">
        <v>902</v>
      </c>
      <c r="C253" s="36" t="s">
        <v>144</v>
      </c>
      <c r="D253" s="36" t="s">
        <v>63</v>
      </c>
      <c r="E253" s="36" t="s">
        <v>46</v>
      </c>
      <c r="F253" s="36" t="s">
        <v>245</v>
      </c>
      <c r="G253" s="36" t="s">
        <v>536</v>
      </c>
      <c r="H253" s="36" t="s">
        <v>1238</v>
      </c>
      <c r="I253" s="36"/>
      <c r="J253" s="36" t="s">
        <v>38</v>
      </c>
      <c r="K253" s="36" t="s">
        <v>907</v>
      </c>
      <c r="L253" s="36" t="s">
        <v>537</v>
      </c>
      <c r="M253" s="36" t="s">
        <v>906</v>
      </c>
      <c r="N253" s="36" t="s">
        <v>909</v>
      </c>
      <c r="O253" s="36" t="s">
        <v>890</v>
      </c>
      <c r="P253" s="36" t="s">
        <v>961</v>
      </c>
      <c r="Q253" s="36" t="s">
        <v>968</v>
      </c>
      <c r="R253" s="36" t="s">
        <v>906</v>
      </c>
      <c r="S253" s="36" t="s">
        <v>86</v>
      </c>
    </row>
    <row r="254" spans="1:19" x14ac:dyDescent="0.3">
      <c r="A254" s="36" t="s">
        <v>732</v>
      </c>
      <c r="B254" s="36" t="s">
        <v>1334</v>
      </c>
      <c r="C254" s="36" t="s">
        <v>133</v>
      </c>
      <c r="D254" s="36" t="s">
        <v>61</v>
      </c>
      <c r="E254" s="36" t="s">
        <v>47</v>
      </c>
      <c r="F254" s="36" t="s">
        <v>134</v>
      </c>
      <c r="G254" s="36" t="s">
        <v>363</v>
      </c>
      <c r="H254" s="36" t="s">
        <v>1335</v>
      </c>
      <c r="I254" s="36" t="s">
        <v>26</v>
      </c>
      <c r="J254" s="36" t="s">
        <v>37</v>
      </c>
      <c r="K254" s="36"/>
      <c r="L254" s="36" t="s">
        <v>733</v>
      </c>
      <c r="M254" s="36" t="s">
        <v>886</v>
      </c>
      <c r="N254" s="36" t="s">
        <v>941</v>
      </c>
      <c r="O254" s="36" t="s">
        <v>890</v>
      </c>
      <c r="P254" s="36" t="s">
        <v>891</v>
      </c>
      <c r="Q254" s="36" t="s">
        <v>926</v>
      </c>
      <c r="R254" s="36" t="s">
        <v>1336</v>
      </c>
      <c r="S254" s="36" t="s">
        <v>86</v>
      </c>
    </row>
    <row r="255" spans="1:19" x14ac:dyDescent="0.3">
      <c r="A255" s="36" t="s">
        <v>734</v>
      </c>
      <c r="B255" s="36" t="s">
        <v>969</v>
      </c>
      <c r="C255" s="36" t="s">
        <v>133</v>
      </c>
      <c r="D255" s="36" t="s">
        <v>65</v>
      </c>
      <c r="E255" s="36" t="s">
        <v>46</v>
      </c>
      <c r="F255" s="36" t="s">
        <v>148</v>
      </c>
      <c r="G255" s="36" t="s">
        <v>426</v>
      </c>
      <c r="H255" s="36" t="s">
        <v>1337</v>
      </c>
      <c r="I255" s="36" t="s">
        <v>28</v>
      </c>
      <c r="J255" s="36" t="s">
        <v>38</v>
      </c>
      <c r="K255" s="36" t="s">
        <v>926</v>
      </c>
      <c r="L255" s="36" t="s">
        <v>735</v>
      </c>
      <c r="M255" s="36" t="s">
        <v>946</v>
      </c>
      <c r="N255" s="36"/>
      <c r="O255" s="36" t="s">
        <v>898</v>
      </c>
      <c r="P255" s="36" t="s">
        <v>916</v>
      </c>
      <c r="Q255" s="36" t="s">
        <v>1035</v>
      </c>
      <c r="R255" s="36" t="s">
        <v>895</v>
      </c>
      <c r="S255" s="36" t="s">
        <v>86</v>
      </c>
    </row>
    <row r="256" spans="1:19" x14ac:dyDescent="0.3">
      <c r="A256" s="36" t="s">
        <v>736</v>
      </c>
      <c r="B256" s="36" t="s">
        <v>930</v>
      </c>
      <c r="C256" s="36" t="s">
        <v>144</v>
      </c>
      <c r="D256" s="36" t="s">
        <v>68</v>
      </c>
      <c r="E256" s="36" t="s">
        <v>46</v>
      </c>
      <c r="F256" s="36" t="s">
        <v>1141</v>
      </c>
      <c r="G256" s="36" t="s">
        <v>463</v>
      </c>
      <c r="H256" s="36" t="s">
        <v>1338</v>
      </c>
      <c r="I256" s="36" t="s">
        <v>24</v>
      </c>
      <c r="J256" s="36" t="s">
        <v>37</v>
      </c>
      <c r="K256" s="36" t="s">
        <v>998</v>
      </c>
      <c r="L256" s="36" t="s">
        <v>737</v>
      </c>
      <c r="M256" s="36" t="s">
        <v>1067</v>
      </c>
      <c r="N256" s="36" t="s">
        <v>948</v>
      </c>
      <c r="O256" s="36" t="s">
        <v>898</v>
      </c>
      <c r="P256" s="36" t="s">
        <v>961</v>
      </c>
      <c r="Q256" s="36" t="s">
        <v>1339</v>
      </c>
      <c r="R256" s="36" t="s">
        <v>1340</v>
      </c>
      <c r="S256" s="36" t="s">
        <v>86</v>
      </c>
    </row>
    <row r="257" spans="1:19" x14ac:dyDescent="0.3">
      <c r="A257" s="36" t="s">
        <v>738</v>
      </c>
      <c r="B257" s="36" t="s">
        <v>1026</v>
      </c>
      <c r="C257" s="36" t="s">
        <v>133</v>
      </c>
      <c r="D257" s="36" t="s">
        <v>67</v>
      </c>
      <c r="E257" s="36" t="s">
        <v>46</v>
      </c>
      <c r="F257" s="36" t="s">
        <v>148</v>
      </c>
      <c r="G257" s="36" t="s">
        <v>235</v>
      </c>
      <c r="H257" s="36" t="s">
        <v>896</v>
      </c>
      <c r="I257" s="36" t="s">
        <v>29</v>
      </c>
      <c r="J257" s="36" t="s">
        <v>38</v>
      </c>
      <c r="K257" s="36" t="s">
        <v>1274</v>
      </c>
      <c r="L257" s="36" t="s">
        <v>739</v>
      </c>
      <c r="M257" s="36"/>
      <c r="N257" s="36" t="s">
        <v>1093</v>
      </c>
      <c r="O257" s="36" t="s">
        <v>890</v>
      </c>
      <c r="P257" s="36" t="s">
        <v>927</v>
      </c>
      <c r="Q257" s="36" t="s">
        <v>1020</v>
      </c>
      <c r="R257" s="36" t="s">
        <v>1082</v>
      </c>
      <c r="S257" s="36" t="s">
        <v>88</v>
      </c>
    </row>
    <row r="258" spans="1:19" x14ac:dyDescent="0.3">
      <c r="A258" s="36" t="s">
        <v>740</v>
      </c>
      <c r="B258" s="36" t="s">
        <v>1117</v>
      </c>
      <c r="C258" s="36" t="s">
        <v>1125</v>
      </c>
      <c r="D258" s="36" t="s">
        <v>64</v>
      </c>
      <c r="E258" s="36" t="s">
        <v>47</v>
      </c>
      <c r="F258" s="36" t="s">
        <v>138</v>
      </c>
      <c r="G258" s="36" t="s">
        <v>741</v>
      </c>
      <c r="H258" s="36" t="s">
        <v>1341</v>
      </c>
      <c r="I258" s="36" t="s">
        <v>24</v>
      </c>
      <c r="J258" s="36" t="s">
        <v>42</v>
      </c>
      <c r="K258" s="36" t="s">
        <v>927</v>
      </c>
      <c r="L258" s="36" t="s">
        <v>742</v>
      </c>
      <c r="M258" s="36" t="s">
        <v>896</v>
      </c>
      <c r="N258" s="36" t="s">
        <v>946</v>
      </c>
      <c r="O258" s="36" t="s">
        <v>908</v>
      </c>
      <c r="P258" s="36" t="s">
        <v>961</v>
      </c>
      <c r="Q258" s="36"/>
      <c r="R258" s="36" t="s">
        <v>934</v>
      </c>
      <c r="S258" s="36" t="s">
        <v>86</v>
      </c>
    </row>
    <row r="259" spans="1:19" x14ac:dyDescent="0.3">
      <c r="A259" s="36" t="s">
        <v>743</v>
      </c>
      <c r="B259" s="36" t="s">
        <v>1117</v>
      </c>
      <c r="C259" s="36" t="s">
        <v>133</v>
      </c>
      <c r="D259" s="36" t="s">
        <v>61</v>
      </c>
      <c r="E259" s="36" t="s">
        <v>47</v>
      </c>
      <c r="F259" s="36" t="s">
        <v>194</v>
      </c>
      <c r="G259" s="36" t="s">
        <v>744</v>
      </c>
      <c r="H259" s="36" t="s">
        <v>1342</v>
      </c>
      <c r="I259" s="36" t="s">
        <v>31</v>
      </c>
      <c r="J259" s="36" t="s">
        <v>42</v>
      </c>
      <c r="K259" s="36" t="s">
        <v>1004</v>
      </c>
      <c r="L259" s="36" t="s">
        <v>745</v>
      </c>
      <c r="M259" s="36" t="s">
        <v>1160</v>
      </c>
      <c r="N259" s="36" t="s">
        <v>1093</v>
      </c>
      <c r="O259" s="36" t="s">
        <v>890</v>
      </c>
      <c r="P259" s="36" t="s">
        <v>927</v>
      </c>
      <c r="Q259" s="36" t="s">
        <v>890</v>
      </c>
      <c r="R259" s="36" t="s">
        <v>976</v>
      </c>
      <c r="S259" s="36" t="s">
        <v>86</v>
      </c>
    </row>
    <row r="260" spans="1:19" x14ac:dyDescent="0.3">
      <c r="A260" s="36" t="s">
        <v>746</v>
      </c>
      <c r="B260" s="36" t="s">
        <v>1189</v>
      </c>
      <c r="C260" s="36" t="s">
        <v>133</v>
      </c>
      <c r="D260" s="36" t="s">
        <v>70</v>
      </c>
      <c r="E260" s="36" t="s">
        <v>47</v>
      </c>
      <c r="F260" s="36" t="s">
        <v>194</v>
      </c>
      <c r="G260" s="36" t="s">
        <v>747</v>
      </c>
      <c r="H260" s="36" t="s">
        <v>1343</v>
      </c>
      <c r="I260" s="36" t="s">
        <v>1237</v>
      </c>
      <c r="J260" s="36" t="s">
        <v>36</v>
      </c>
      <c r="K260" s="36" t="s">
        <v>928</v>
      </c>
      <c r="L260" s="36" t="s">
        <v>748</v>
      </c>
      <c r="M260" s="36" t="s">
        <v>906</v>
      </c>
      <c r="N260" s="36" t="s">
        <v>1002</v>
      </c>
      <c r="O260" s="36" t="s">
        <v>890</v>
      </c>
      <c r="P260" s="36" t="s">
        <v>927</v>
      </c>
      <c r="Q260" s="36" t="s">
        <v>1059</v>
      </c>
      <c r="R260" s="36" t="s">
        <v>1012</v>
      </c>
      <c r="S260" s="36" t="s">
        <v>86</v>
      </c>
    </row>
    <row r="261" spans="1:19" x14ac:dyDescent="0.3">
      <c r="A261" s="36" t="s">
        <v>749</v>
      </c>
      <c r="B261" s="36" t="s">
        <v>980</v>
      </c>
      <c r="C261" s="36" t="s">
        <v>144</v>
      </c>
      <c r="D261" s="36" t="s">
        <v>70</v>
      </c>
      <c r="E261" s="36" t="s">
        <v>47</v>
      </c>
      <c r="F261" s="36" t="s">
        <v>134</v>
      </c>
      <c r="G261" s="36" t="s">
        <v>750</v>
      </c>
      <c r="H261" s="36" t="s">
        <v>1344</v>
      </c>
      <c r="I261" s="36" t="s">
        <v>24</v>
      </c>
      <c r="J261" s="36" t="s">
        <v>43</v>
      </c>
      <c r="K261" s="36" t="s">
        <v>908</v>
      </c>
      <c r="L261" s="36" t="s">
        <v>751</v>
      </c>
      <c r="M261" s="36" t="s">
        <v>896</v>
      </c>
      <c r="N261" s="36" t="s">
        <v>916</v>
      </c>
      <c r="O261" s="36" t="s">
        <v>908</v>
      </c>
      <c r="P261" s="36" t="s">
        <v>916</v>
      </c>
      <c r="Q261" s="36" t="s">
        <v>965</v>
      </c>
      <c r="R261" s="36" t="s">
        <v>934</v>
      </c>
      <c r="S261" s="36" t="s">
        <v>87</v>
      </c>
    </row>
    <row r="262" spans="1:19" x14ac:dyDescent="0.3">
      <c r="A262" s="36" t="s">
        <v>752</v>
      </c>
      <c r="B262" s="36" t="s">
        <v>911</v>
      </c>
      <c r="C262" s="36" t="s">
        <v>133</v>
      </c>
      <c r="D262" s="36" t="s">
        <v>65</v>
      </c>
      <c r="E262" s="36" t="s">
        <v>47</v>
      </c>
      <c r="F262" s="36" t="s">
        <v>138</v>
      </c>
      <c r="G262" s="36" t="s">
        <v>135</v>
      </c>
      <c r="H262" s="36" t="s">
        <v>1345</v>
      </c>
      <c r="I262" s="36" t="s">
        <v>28</v>
      </c>
      <c r="J262" s="36" t="s">
        <v>41</v>
      </c>
      <c r="K262" s="36" t="s">
        <v>926</v>
      </c>
      <c r="L262" s="36" t="s">
        <v>753</v>
      </c>
      <c r="M262" s="36" t="s">
        <v>896</v>
      </c>
      <c r="N262" s="36"/>
      <c r="O262" s="36" t="s">
        <v>890</v>
      </c>
      <c r="P262" s="36" t="s">
        <v>891</v>
      </c>
      <c r="Q262" s="36" t="s">
        <v>1025</v>
      </c>
      <c r="R262" s="36" t="s">
        <v>1346</v>
      </c>
      <c r="S262" s="36" t="s">
        <v>86</v>
      </c>
    </row>
    <row r="263" spans="1:19" x14ac:dyDescent="0.3">
      <c r="A263" s="36" t="s">
        <v>754</v>
      </c>
      <c r="B263" s="36" t="s">
        <v>930</v>
      </c>
      <c r="C263" s="36" t="s">
        <v>144</v>
      </c>
      <c r="D263" s="36" t="s">
        <v>944</v>
      </c>
      <c r="E263" s="36" t="s">
        <v>46</v>
      </c>
      <c r="F263" s="36" t="s">
        <v>138</v>
      </c>
      <c r="G263" s="36" t="s">
        <v>328</v>
      </c>
      <c r="H263" s="36" t="s">
        <v>1347</v>
      </c>
      <c r="I263" s="36" t="s">
        <v>24</v>
      </c>
      <c r="J263" s="36" t="s">
        <v>39</v>
      </c>
      <c r="K263" s="36" t="s">
        <v>1027</v>
      </c>
      <c r="L263" s="36"/>
      <c r="M263" s="36" t="s">
        <v>896</v>
      </c>
      <c r="N263" s="36" t="s">
        <v>1090</v>
      </c>
      <c r="O263" s="36" t="s">
        <v>916</v>
      </c>
      <c r="P263" s="36" t="s">
        <v>946</v>
      </c>
      <c r="Q263" s="36" t="s">
        <v>1111</v>
      </c>
      <c r="R263" s="36" t="s">
        <v>1221</v>
      </c>
      <c r="S263" s="36" t="s">
        <v>86</v>
      </c>
    </row>
    <row r="264" spans="1:19" x14ac:dyDescent="0.3">
      <c r="A264" s="36" t="s">
        <v>755</v>
      </c>
      <c r="B264" s="36" t="s">
        <v>1213</v>
      </c>
      <c r="C264" s="36" t="s">
        <v>991</v>
      </c>
      <c r="D264" s="36" t="s">
        <v>62</v>
      </c>
      <c r="E264" s="36" t="s">
        <v>47</v>
      </c>
      <c r="F264" s="36" t="s">
        <v>194</v>
      </c>
      <c r="G264" s="36" t="s">
        <v>756</v>
      </c>
      <c r="H264" s="36" t="s">
        <v>1348</v>
      </c>
      <c r="I264" s="36" t="s">
        <v>31</v>
      </c>
      <c r="J264" s="36" t="s">
        <v>36</v>
      </c>
      <c r="K264" s="36" t="s">
        <v>1004</v>
      </c>
      <c r="L264" s="36" t="s">
        <v>757</v>
      </c>
      <c r="M264" s="36" t="s">
        <v>946</v>
      </c>
      <c r="N264" s="36" t="s">
        <v>1000</v>
      </c>
      <c r="O264" s="36"/>
      <c r="P264" s="36" t="s">
        <v>898</v>
      </c>
      <c r="Q264" s="36" t="s">
        <v>1176</v>
      </c>
      <c r="R264" s="36" t="s">
        <v>936</v>
      </c>
      <c r="S264" s="36" t="s">
        <v>88</v>
      </c>
    </row>
    <row r="265" spans="1:19" x14ac:dyDescent="0.3">
      <c r="A265" s="36" t="s">
        <v>758</v>
      </c>
      <c r="B265" s="36"/>
      <c r="C265" s="36" t="s">
        <v>133</v>
      </c>
      <c r="D265" s="36" t="s">
        <v>65</v>
      </c>
      <c r="E265" s="36" t="s">
        <v>47</v>
      </c>
      <c r="F265" s="36" t="s">
        <v>138</v>
      </c>
      <c r="G265" s="36"/>
      <c r="H265" s="36" t="s">
        <v>1349</v>
      </c>
      <c r="I265" s="36" t="s">
        <v>25</v>
      </c>
      <c r="J265" s="36" t="s">
        <v>40</v>
      </c>
      <c r="K265" s="36" t="s">
        <v>1020</v>
      </c>
      <c r="L265" s="36" t="s">
        <v>759</v>
      </c>
      <c r="M265" s="36" t="s">
        <v>946</v>
      </c>
      <c r="N265" s="36" t="s">
        <v>1082</v>
      </c>
      <c r="O265" s="36" t="s">
        <v>916</v>
      </c>
      <c r="P265" s="36" t="s">
        <v>891</v>
      </c>
      <c r="Q265" s="36" t="s">
        <v>915</v>
      </c>
      <c r="R265" s="36" t="s">
        <v>947</v>
      </c>
      <c r="S265" s="36" t="s">
        <v>86</v>
      </c>
    </row>
    <row r="266" spans="1:19" x14ac:dyDescent="0.3">
      <c r="A266" s="36" t="s">
        <v>760</v>
      </c>
      <c r="B266" s="36"/>
      <c r="C266" s="36" t="s">
        <v>1066</v>
      </c>
      <c r="D266" s="36" t="s">
        <v>62</v>
      </c>
      <c r="E266" s="36" t="s">
        <v>46</v>
      </c>
      <c r="F266" s="36" t="s">
        <v>138</v>
      </c>
      <c r="G266" s="36" t="s">
        <v>188</v>
      </c>
      <c r="H266" s="36" t="s">
        <v>1350</v>
      </c>
      <c r="I266" s="36" t="s">
        <v>31</v>
      </c>
      <c r="J266" s="36" t="s">
        <v>37</v>
      </c>
      <c r="K266" s="36" t="s">
        <v>1050</v>
      </c>
      <c r="L266" s="36" t="s">
        <v>761</v>
      </c>
      <c r="M266" s="36" t="s">
        <v>896</v>
      </c>
      <c r="N266" s="36" t="s">
        <v>1229</v>
      </c>
      <c r="O266" s="36" t="s">
        <v>890</v>
      </c>
      <c r="P266" s="36" t="s">
        <v>899</v>
      </c>
      <c r="Q266" s="36" t="s">
        <v>1351</v>
      </c>
      <c r="R266" s="36" t="s">
        <v>927</v>
      </c>
      <c r="S266" s="36" t="s">
        <v>86</v>
      </c>
    </row>
    <row r="267" spans="1:19" x14ac:dyDescent="0.3">
      <c r="A267" s="36" t="s">
        <v>762</v>
      </c>
      <c r="B267" s="36" t="s">
        <v>980</v>
      </c>
      <c r="C267" s="36" t="s">
        <v>1029</v>
      </c>
      <c r="D267" s="36" t="s">
        <v>65</v>
      </c>
      <c r="E267" s="36" t="s">
        <v>46</v>
      </c>
      <c r="F267" s="36" t="s">
        <v>138</v>
      </c>
      <c r="G267" s="36" t="s">
        <v>142</v>
      </c>
      <c r="H267" s="36" t="s">
        <v>1352</v>
      </c>
      <c r="I267" s="36" t="s">
        <v>26</v>
      </c>
      <c r="J267" s="36" t="s">
        <v>36</v>
      </c>
      <c r="K267" s="36" t="s">
        <v>1006</v>
      </c>
      <c r="L267" s="36" t="s">
        <v>763</v>
      </c>
      <c r="M267" s="36" t="s">
        <v>896</v>
      </c>
      <c r="N267" s="36" t="s">
        <v>1044</v>
      </c>
      <c r="O267" s="36" t="s">
        <v>890</v>
      </c>
      <c r="P267" s="36" t="s">
        <v>927</v>
      </c>
      <c r="Q267" s="36" t="s">
        <v>968</v>
      </c>
      <c r="R267" s="36" t="s">
        <v>921</v>
      </c>
      <c r="S267" s="36" t="s">
        <v>88</v>
      </c>
    </row>
    <row r="268" spans="1:19" x14ac:dyDescent="0.3">
      <c r="A268" s="36" t="s">
        <v>764</v>
      </c>
      <c r="B268" s="36" t="s">
        <v>902</v>
      </c>
      <c r="C268" s="36" t="s">
        <v>1029</v>
      </c>
      <c r="D268" s="36" t="s">
        <v>63</v>
      </c>
      <c r="E268" s="36" t="s">
        <v>46</v>
      </c>
      <c r="F268" s="36" t="s">
        <v>159</v>
      </c>
      <c r="G268" s="36" t="s">
        <v>142</v>
      </c>
      <c r="H268" s="36" t="s">
        <v>1353</v>
      </c>
      <c r="I268" s="36" t="s">
        <v>24</v>
      </c>
      <c r="J268" s="36" t="s">
        <v>36</v>
      </c>
      <c r="K268" s="36" t="s">
        <v>961</v>
      </c>
      <c r="L268" s="36" t="s">
        <v>765</v>
      </c>
      <c r="M268" s="36" t="s">
        <v>896</v>
      </c>
      <c r="N268" s="36" t="s">
        <v>929</v>
      </c>
      <c r="O268" s="36" t="s">
        <v>898</v>
      </c>
      <c r="P268" s="36" t="s">
        <v>891</v>
      </c>
      <c r="Q268" s="36" t="s">
        <v>1266</v>
      </c>
      <c r="R268" s="36" t="s">
        <v>1082</v>
      </c>
      <c r="S268" s="36" t="s">
        <v>86</v>
      </c>
    </row>
    <row r="269" spans="1:19" x14ac:dyDescent="0.3">
      <c r="A269" s="36" t="s">
        <v>622</v>
      </c>
      <c r="B269" s="36" t="s">
        <v>1174</v>
      </c>
      <c r="C269" s="36" t="s">
        <v>144</v>
      </c>
      <c r="D269" s="36" t="s">
        <v>66</v>
      </c>
      <c r="E269" s="36" t="s">
        <v>46</v>
      </c>
      <c r="F269" s="36" t="s">
        <v>134</v>
      </c>
      <c r="G269" s="36" t="s">
        <v>177</v>
      </c>
      <c r="H269" s="36" t="s">
        <v>1284</v>
      </c>
      <c r="I269" s="36" t="s">
        <v>25</v>
      </c>
      <c r="J269" s="36" t="s">
        <v>36</v>
      </c>
      <c r="K269" s="36" t="s">
        <v>1285</v>
      </c>
      <c r="L269" s="36" t="s">
        <v>623</v>
      </c>
      <c r="M269" s="36" t="s">
        <v>896</v>
      </c>
      <c r="N269" s="36" t="s">
        <v>1110</v>
      </c>
      <c r="O269" s="36" t="s">
        <v>890</v>
      </c>
      <c r="P269" s="36" t="s">
        <v>927</v>
      </c>
      <c r="Q269" s="36" t="s">
        <v>933</v>
      </c>
      <c r="R269" s="36" t="s">
        <v>1045</v>
      </c>
      <c r="S269" s="36" t="s">
        <v>86</v>
      </c>
    </row>
    <row r="270" spans="1:19" x14ac:dyDescent="0.3">
      <c r="A270" s="36" t="s">
        <v>414</v>
      </c>
      <c r="B270" s="36" t="s">
        <v>1177</v>
      </c>
      <c r="C270" s="36" t="s">
        <v>133</v>
      </c>
      <c r="D270" s="36" t="s">
        <v>155</v>
      </c>
      <c r="E270" s="36" t="s">
        <v>46</v>
      </c>
      <c r="F270" s="36" t="s">
        <v>159</v>
      </c>
      <c r="G270" s="36" t="s">
        <v>415</v>
      </c>
      <c r="H270" s="36" t="s">
        <v>1178</v>
      </c>
      <c r="I270" s="36" t="s">
        <v>31</v>
      </c>
      <c r="J270" s="36" t="s">
        <v>39</v>
      </c>
      <c r="K270" s="36" t="s">
        <v>927</v>
      </c>
      <c r="L270" s="36" t="s">
        <v>416</v>
      </c>
      <c r="M270" s="36" t="s">
        <v>896</v>
      </c>
      <c r="N270" s="36" t="s">
        <v>1084</v>
      </c>
      <c r="O270" s="36" t="s">
        <v>916</v>
      </c>
      <c r="P270" s="36" t="s">
        <v>961</v>
      </c>
      <c r="Q270" s="36" t="s">
        <v>1162</v>
      </c>
      <c r="R270" s="36" t="s">
        <v>1012</v>
      </c>
      <c r="S270" s="36" t="s">
        <v>86</v>
      </c>
    </row>
    <row r="271" spans="1:19" x14ac:dyDescent="0.3">
      <c r="A271" s="36" t="s">
        <v>766</v>
      </c>
      <c r="B271" s="36" t="s">
        <v>1151</v>
      </c>
      <c r="C271" s="36" t="s">
        <v>1066</v>
      </c>
      <c r="D271" s="36" t="s">
        <v>61</v>
      </c>
      <c r="E271" s="36" t="s">
        <v>47</v>
      </c>
      <c r="F271" s="36" t="s">
        <v>138</v>
      </c>
      <c r="G271" s="36" t="s">
        <v>744</v>
      </c>
      <c r="H271" s="36" t="s">
        <v>1354</v>
      </c>
      <c r="I271" s="36" t="s">
        <v>27</v>
      </c>
      <c r="J271" s="36" t="s">
        <v>42</v>
      </c>
      <c r="K271" s="36" t="s">
        <v>916</v>
      </c>
      <c r="L271" s="36" t="s">
        <v>767</v>
      </c>
      <c r="M271" s="36" t="s">
        <v>906</v>
      </c>
      <c r="N271" s="36" t="s">
        <v>891</v>
      </c>
      <c r="O271" s="36" t="s">
        <v>898</v>
      </c>
      <c r="P271" s="36" t="s">
        <v>916</v>
      </c>
      <c r="Q271" s="36"/>
      <c r="R271" s="36" t="s">
        <v>897</v>
      </c>
      <c r="S271" s="36" t="s">
        <v>86</v>
      </c>
    </row>
    <row r="272" spans="1:19" x14ac:dyDescent="0.3">
      <c r="A272" s="36" t="s">
        <v>768</v>
      </c>
      <c r="B272" s="36" t="s">
        <v>980</v>
      </c>
      <c r="C272" s="36" t="s">
        <v>144</v>
      </c>
      <c r="D272" s="36" t="s">
        <v>66</v>
      </c>
      <c r="E272" s="36" t="s">
        <v>46</v>
      </c>
      <c r="F272" s="36" t="s">
        <v>159</v>
      </c>
      <c r="G272" s="36" t="s">
        <v>149</v>
      </c>
      <c r="H272" s="36" t="s">
        <v>896</v>
      </c>
      <c r="I272" s="36" t="s">
        <v>24</v>
      </c>
      <c r="J272" s="36" t="s">
        <v>38</v>
      </c>
      <c r="K272" s="36"/>
      <c r="L272" s="36" t="s">
        <v>769</v>
      </c>
      <c r="M272" s="36" t="s">
        <v>896</v>
      </c>
      <c r="N272" s="36" t="s">
        <v>941</v>
      </c>
      <c r="O272" s="36" t="s">
        <v>908</v>
      </c>
      <c r="P272" s="36" t="s">
        <v>927</v>
      </c>
      <c r="Q272" s="36" t="s">
        <v>1095</v>
      </c>
      <c r="R272" s="36" t="s">
        <v>996</v>
      </c>
      <c r="S272" s="36" t="s">
        <v>86</v>
      </c>
    </row>
    <row r="273" spans="1:19" x14ac:dyDescent="0.3">
      <c r="A273" s="36" t="s">
        <v>531</v>
      </c>
      <c r="B273" s="36" t="s">
        <v>1069</v>
      </c>
      <c r="C273" s="36" t="s">
        <v>133</v>
      </c>
      <c r="D273" s="36" t="s">
        <v>64</v>
      </c>
      <c r="E273" s="36" t="s">
        <v>46</v>
      </c>
      <c r="F273" s="36"/>
      <c r="G273" s="36" t="s">
        <v>171</v>
      </c>
      <c r="H273" s="36" t="s">
        <v>1151</v>
      </c>
      <c r="I273" s="36" t="s">
        <v>24</v>
      </c>
      <c r="J273" s="36" t="s">
        <v>39</v>
      </c>
      <c r="K273" s="36" t="s">
        <v>952</v>
      </c>
      <c r="L273" s="36" t="s">
        <v>532</v>
      </c>
      <c r="M273" s="36" t="s">
        <v>906</v>
      </c>
      <c r="N273" s="36"/>
      <c r="O273" s="36" t="s">
        <v>898</v>
      </c>
      <c r="P273" s="36" t="s">
        <v>916</v>
      </c>
      <c r="Q273" s="36" t="s">
        <v>1184</v>
      </c>
      <c r="R273" s="36" t="s">
        <v>966</v>
      </c>
      <c r="S273" s="36" t="s">
        <v>87</v>
      </c>
    </row>
    <row r="274" spans="1:19" x14ac:dyDescent="0.3">
      <c r="A274" s="36" t="s">
        <v>770</v>
      </c>
      <c r="B274" s="36" t="s">
        <v>938</v>
      </c>
      <c r="C274" s="36" t="s">
        <v>144</v>
      </c>
      <c r="D274" s="36" t="s">
        <v>67</v>
      </c>
      <c r="E274" s="36" t="s">
        <v>46</v>
      </c>
      <c r="F274" s="36" t="s">
        <v>148</v>
      </c>
      <c r="G274" s="36" t="s">
        <v>235</v>
      </c>
      <c r="H274" s="36" t="s">
        <v>1355</v>
      </c>
      <c r="I274" s="36" t="s">
        <v>24</v>
      </c>
      <c r="J274" s="36" t="s">
        <v>41</v>
      </c>
      <c r="K274" s="36" t="s">
        <v>933</v>
      </c>
      <c r="L274" s="36" t="s">
        <v>771</v>
      </c>
      <c r="M274" s="36" t="s">
        <v>896</v>
      </c>
      <c r="N274" s="36" t="s">
        <v>979</v>
      </c>
      <c r="O274" s="36" t="s">
        <v>898</v>
      </c>
      <c r="P274" s="36" t="s">
        <v>916</v>
      </c>
      <c r="Q274" s="36" t="s">
        <v>982</v>
      </c>
      <c r="R274" s="36" t="s">
        <v>1221</v>
      </c>
      <c r="S274" s="36" t="s">
        <v>88</v>
      </c>
    </row>
    <row r="275" spans="1:19" x14ac:dyDescent="0.3">
      <c r="A275" s="36" t="s">
        <v>772</v>
      </c>
      <c r="B275" s="36" t="s">
        <v>911</v>
      </c>
      <c r="C275" s="36" t="s">
        <v>144</v>
      </c>
      <c r="D275" s="36" t="s">
        <v>66</v>
      </c>
      <c r="E275" s="36" t="s">
        <v>47</v>
      </c>
      <c r="F275" s="36" t="s">
        <v>138</v>
      </c>
      <c r="G275" s="36" t="s">
        <v>773</v>
      </c>
      <c r="H275" s="36" t="s">
        <v>1356</v>
      </c>
      <c r="I275" s="36" t="s">
        <v>25</v>
      </c>
      <c r="J275" s="36" t="s">
        <v>36</v>
      </c>
      <c r="K275" s="36" t="s">
        <v>992</v>
      </c>
      <c r="L275" s="36" t="s">
        <v>774</v>
      </c>
      <c r="M275" s="36" t="s">
        <v>946</v>
      </c>
      <c r="N275" s="36" t="s">
        <v>890</v>
      </c>
      <c r="O275" s="36" t="s">
        <v>890</v>
      </c>
      <c r="P275" s="36" t="s">
        <v>927</v>
      </c>
      <c r="Q275" s="36" t="s">
        <v>924</v>
      </c>
      <c r="R275" s="36" t="s">
        <v>893</v>
      </c>
      <c r="S275" s="36" t="s">
        <v>86</v>
      </c>
    </row>
    <row r="276" spans="1:19" x14ac:dyDescent="0.3">
      <c r="A276" s="36" t="s">
        <v>775</v>
      </c>
      <c r="B276" s="36" t="s">
        <v>954</v>
      </c>
      <c r="C276" s="36" t="s">
        <v>144</v>
      </c>
      <c r="D276" s="36" t="s">
        <v>191</v>
      </c>
      <c r="E276" s="36" t="s">
        <v>46</v>
      </c>
      <c r="F276" s="36" t="s">
        <v>138</v>
      </c>
      <c r="G276" s="36" t="s">
        <v>177</v>
      </c>
      <c r="H276" s="36" t="s">
        <v>896</v>
      </c>
      <c r="I276" s="36" t="s">
        <v>25</v>
      </c>
      <c r="J276" s="36" t="s">
        <v>36</v>
      </c>
      <c r="K276" s="36" t="s">
        <v>1027</v>
      </c>
      <c r="L276" s="36" t="s">
        <v>776</v>
      </c>
      <c r="M276" s="36" t="s">
        <v>896</v>
      </c>
      <c r="N276" s="36" t="s">
        <v>927</v>
      </c>
      <c r="O276" s="36" t="s">
        <v>908</v>
      </c>
      <c r="P276" s="36" t="s">
        <v>927</v>
      </c>
      <c r="Q276" s="36" t="s">
        <v>917</v>
      </c>
      <c r="R276" s="36" t="s">
        <v>1035</v>
      </c>
      <c r="S276" s="36" t="s">
        <v>86</v>
      </c>
    </row>
    <row r="277" spans="1:19" x14ac:dyDescent="0.3">
      <c r="A277" s="36" t="s">
        <v>777</v>
      </c>
      <c r="B277" s="36" t="s">
        <v>919</v>
      </c>
      <c r="C277" s="36" t="s">
        <v>144</v>
      </c>
      <c r="D277" s="36" t="s">
        <v>62</v>
      </c>
      <c r="E277" s="36" t="s">
        <v>46</v>
      </c>
      <c r="F277" s="36" t="s">
        <v>148</v>
      </c>
      <c r="G277" s="36" t="s">
        <v>360</v>
      </c>
      <c r="H277" s="36" t="s">
        <v>896</v>
      </c>
      <c r="I277" s="36" t="s">
        <v>1357</v>
      </c>
      <c r="J277" s="36" t="s">
        <v>39</v>
      </c>
      <c r="K277" s="36" t="s">
        <v>993</v>
      </c>
      <c r="L277" s="36" t="s">
        <v>778</v>
      </c>
      <c r="M277" s="36" t="s">
        <v>1307</v>
      </c>
      <c r="N277" s="36" t="s">
        <v>916</v>
      </c>
      <c r="O277" s="36" t="s">
        <v>898</v>
      </c>
      <c r="P277" s="36" t="s">
        <v>927</v>
      </c>
      <c r="Q277" s="36" t="s">
        <v>966</v>
      </c>
      <c r="R277" s="36" t="s">
        <v>1340</v>
      </c>
      <c r="S277" s="36" t="s">
        <v>87</v>
      </c>
    </row>
    <row r="278" spans="1:19" x14ac:dyDescent="0.3">
      <c r="A278" s="36" t="s">
        <v>779</v>
      </c>
      <c r="B278" s="36" t="s">
        <v>988</v>
      </c>
      <c r="C278" s="36" t="s">
        <v>144</v>
      </c>
      <c r="D278" s="36" t="s">
        <v>68</v>
      </c>
      <c r="E278" s="36" t="s">
        <v>46</v>
      </c>
      <c r="F278" s="36" t="s">
        <v>148</v>
      </c>
      <c r="G278" s="36" t="s">
        <v>152</v>
      </c>
      <c r="H278" s="36" t="s">
        <v>1358</v>
      </c>
      <c r="I278" s="36" t="s">
        <v>27</v>
      </c>
      <c r="J278" s="36" t="s">
        <v>38</v>
      </c>
      <c r="K278" s="36" t="s">
        <v>979</v>
      </c>
      <c r="L278" s="36" t="s">
        <v>780</v>
      </c>
      <c r="M278" s="36" t="s">
        <v>946</v>
      </c>
      <c r="N278" s="36" t="s">
        <v>1035</v>
      </c>
      <c r="O278" s="36"/>
      <c r="P278" s="36" t="s">
        <v>927</v>
      </c>
      <c r="Q278" s="36" t="s">
        <v>1021</v>
      </c>
      <c r="R278" s="36" t="s">
        <v>1018</v>
      </c>
      <c r="S278" s="36" t="s">
        <v>86</v>
      </c>
    </row>
    <row r="279" spans="1:19" x14ac:dyDescent="0.3">
      <c r="A279" s="36" t="s">
        <v>781</v>
      </c>
      <c r="B279" s="36" t="s">
        <v>962</v>
      </c>
      <c r="C279" s="36" t="s">
        <v>133</v>
      </c>
      <c r="D279" s="36" t="s">
        <v>963</v>
      </c>
      <c r="E279" s="36" t="s">
        <v>46</v>
      </c>
      <c r="F279" s="36" t="s">
        <v>148</v>
      </c>
      <c r="G279" s="36" t="s">
        <v>188</v>
      </c>
      <c r="H279" s="36" t="s">
        <v>1359</v>
      </c>
      <c r="I279" s="36" t="s">
        <v>24</v>
      </c>
      <c r="J279" s="36" t="s">
        <v>37</v>
      </c>
      <c r="K279" s="36" t="s">
        <v>898</v>
      </c>
      <c r="L279" s="36" t="s">
        <v>782</v>
      </c>
      <c r="M279" s="36" t="s">
        <v>896</v>
      </c>
      <c r="N279" s="36" t="s">
        <v>890</v>
      </c>
      <c r="O279" s="36" t="s">
        <v>890</v>
      </c>
      <c r="P279" s="36" t="s">
        <v>927</v>
      </c>
      <c r="Q279" s="36" t="s">
        <v>976</v>
      </c>
      <c r="R279" s="36" t="s">
        <v>910</v>
      </c>
      <c r="S279" s="36" t="s">
        <v>88</v>
      </c>
    </row>
    <row r="280" spans="1:19" x14ac:dyDescent="0.3">
      <c r="A280" s="36" t="s">
        <v>783</v>
      </c>
      <c r="B280" s="36" t="s">
        <v>988</v>
      </c>
      <c r="C280" s="36" t="s">
        <v>1029</v>
      </c>
      <c r="D280" s="36" t="s">
        <v>65</v>
      </c>
      <c r="E280" s="36" t="s">
        <v>47</v>
      </c>
      <c r="F280" s="36" t="s">
        <v>159</v>
      </c>
      <c r="G280" s="36" t="s">
        <v>381</v>
      </c>
      <c r="H280" s="36" t="s">
        <v>1360</v>
      </c>
      <c r="I280" s="36" t="s">
        <v>26</v>
      </c>
      <c r="J280" s="36" t="s">
        <v>36</v>
      </c>
      <c r="K280" s="36" t="s">
        <v>928</v>
      </c>
      <c r="L280" s="36" t="s">
        <v>784</v>
      </c>
      <c r="M280" s="36" t="s">
        <v>1124</v>
      </c>
      <c r="N280" s="36" t="s">
        <v>1082</v>
      </c>
      <c r="O280" s="36" t="s">
        <v>898</v>
      </c>
      <c r="P280" s="36" t="s">
        <v>927</v>
      </c>
      <c r="Q280" s="36" t="s">
        <v>1045</v>
      </c>
      <c r="R280" s="36" t="s">
        <v>1002</v>
      </c>
      <c r="S280" s="36" t="s">
        <v>86</v>
      </c>
    </row>
    <row r="281" spans="1:19" x14ac:dyDescent="0.3">
      <c r="A281" s="36" t="s">
        <v>785</v>
      </c>
      <c r="B281" s="36" t="s">
        <v>938</v>
      </c>
      <c r="C281" s="36" t="s">
        <v>144</v>
      </c>
      <c r="D281" s="36" t="s">
        <v>62</v>
      </c>
      <c r="E281" s="36" t="s">
        <v>46</v>
      </c>
      <c r="F281" s="36" t="s">
        <v>245</v>
      </c>
      <c r="G281" s="36"/>
      <c r="H281" s="36" t="s">
        <v>1361</v>
      </c>
      <c r="I281" s="36" t="s">
        <v>24</v>
      </c>
      <c r="J281" s="36" t="s">
        <v>41</v>
      </c>
      <c r="K281" s="36" t="s">
        <v>1243</v>
      </c>
      <c r="L281" s="36" t="s">
        <v>786</v>
      </c>
      <c r="M281" s="36" t="s">
        <v>896</v>
      </c>
      <c r="N281" s="36" t="s">
        <v>1044</v>
      </c>
      <c r="O281" s="36" t="s">
        <v>898</v>
      </c>
      <c r="P281" s="36" t="s">
        <v>891</v>
      </c>
      <c r="Q281" s="36" t="s">
        <v>1044</v>
      </c>
      <c r="R281" s="36" t="s">
        <v>1093</v>
      </c>
      <c r="S281" s="36" t="s">
        <v>86</v>
      </c>
    </row>
    <row r="282" spans="1:19" x14ac:dyDescent="0.3">
      <c r="A282" s="36" t="s">
        <v>787</v>
      </c>
      <c r="B282" s="36" t="s">
        <v>1074</v>
      </c>
      <c r="C282" s="36" t="s">
        <v>1137</v>
      </c>
      <c r="D282" s="36" t="s">
        <v>70</v>
      </c>
      <c r="E282" s="36" t="s">
        <v>46</v>
      </c>
      <c r="F282" s="36" t="s">
        <v>138</v>
      </c>
      <c r="G282" s="36" t="s">
        <v>426</v>
      </c>
      <c r="H282" s="36" t="s">
        <v>1362</v>
      </c>
      <c r="I282" s="36"/>
      <c r="J282" s="36" t="s">
        <v>39</v>
      </c>
      <c r="K282" s="36" t="s">
        <v>908</v>
      </c>
      <c r="L282" s="36" t="s">
        <v>788</v>
      </c>
      <c r="M282" s="36" t="s">
        <v>896</v>
      </c>
      <c r="N282" s="36" t="s">
        <v>915</v>
      </c>
      <c r="O282" s="36" t="s">
        <v>890</v>
      </c>
      <c r="P282" s="36" t="s">
        <v>927</v>
      </c>
      <c r="Q282" s="36" t="s">
        <v>941</v>
      </c>
      <c r="R282" s="36" t="s">
        <v>993</v>
      </c>
      <c r="S282" s="36" t="s">
        <v>86</v>
      </c>
    </row>
    <row r="283" spans="1:19" x14ac:dyDescent="0.3">
      <c r="A283" s="36" t="s">
        <v>789</v>
      </c>
      <c r="B283" s="36" t="s">
        <v>906</v>
      </c>
      <c r="C283" s="36" t="s">
        <v>144</v>
      </c>
      <c r="D283" s="36" t="s">
        <v>67</v>
      </c>
      <c r="E283" s="36" t="s">
        <v>46</v>
      </c>
      <c r="F283" s="36"/>
      <c r="G283" s="36" t="s">
        <v>188</v>
      </c>
      <c r="H283" s="36" t="s">
        <v>1363</v>
      </c>
      <c r="I283" s="36" t="s">
        <v>24</v>
      </c>
      <c r="J283" s="36" t="s">
        <v>37</v>
      </c>
      <c r="K283" s="36" t="s">
        <v>959</v>
      </c>
      <c r="L283" s="36" t="s">
        <v>790</v>
      </c>
      <c r="M283" s="36" t="s">
        <v>946</v>
      </c>
      <c r="N283" s="36" t="s">
        <v>1086</v>
      </c>
      <c r="O283" s="36" t="s">
        <v>898</v>
      </c>
      <c r="P283" s="36" t="s">
        <v>890</v>
      </c>
      <c r="Q283" s="36" t="s">
        <v>979</v>
      </c>
      <c r="R283" s="36" t="s">
        <v>1082</v>
      </c>
      <c r="S283" s="36" t="s">
        <v>88</v>
      </c>
    </row>
    <row r="284" spans="1:19" x14ac:dyDescent="0.3">
      <c r="A284" s="36" t="s">
        <v>791</v>
      </c>
      <c r="B284" s="36" t="s">
        <v>994</v>
      </c>
      <c r="C284" s="36" t="s">
        <v>1063</v>
      </c>
      <c r="D284" s="36" t="s">
        <v>155</v>
      </c>
      <c r="E284" s="36" t="s">
        <v>47</v>
      </c>
      <c r="F284" s="36" t="s">
        <v>138</v>
      </c>
      <c r="G284" s="36" t="s">
        <v>792</v>
      </c>
      <c r="H284" s="36" t="s">
        <v>1364</v>
      </c>
      <c r="I284" s="36" t="s">
        <v>27</v>
      </c>
      <c r="J284" s="36" t="s">
        <v>41</v>
      </c>
      <c r="K284" s="36" t="s">
        <v>914</v>
      </c>
      <c r="L284" s="36" t="s">
        <v>793</v>
      </c>
      <c r="M284" s="36" t="s">
        <v>896</v>
      </c>
      <c r="N284" s="36" t="s">
        <v>927</v>
      </c>
      <c r="O284" s="36"/>
      <c r="P284" s="36" t="s">
        <v>891</v>
      </c>
      <c r="Q284" s="36" t="s">
        <v>982</v>
      </c>
      <c r="R284" s="36" t="s">
        <v>917</v>
      </c>
      <c r="S284" s="36" t="s">
        <v>86</v>
      </c>
    </row>
    <row r="285" spans="1:19" x14ac:dyDescent="0.3">
      <c r="A285" s="36" t="s">
        <v>794</v>
      </c>
      <c r="B285" s="36" t="s">
        <v>911</v>
      </c>
      <c r="C285" s="36" t="s">
        <v>144</v>
      </c>
      <c r="D285" s="36" t="s">
        <v>65</v>
      </c>
      <c r="E285" s="36" t="s">
        <v>47</v>
      </c>
      <c r="F285" s="36" t="s">
        <v>134</v>
      </c>
      <c r="G285" s="36" t="s">
        <v>795</v>
      </c>
      <c r="H285" s="36" t="s">
        <v>1365</v>
      </c>
      <c r="I285" s="36" t="s">
        <v>28</v>
      </c>
      <c r="J285" s="36" t="s">
        <v>39</v>
      </c>
      <c r="K285" s="36" t="s">
        <v>895</v>
      </c>
      <c r="L285" s="36" t="s">
        <v>796</v>
      </c>
      <c r="M285" s="36" t="s">
        <v>896</v>
      </c>
      <c r="N285" s="36" t="s">
        <v>1111</v>
      </c>
      <c r="O285" s="36" t="s">
        <v>898</v>
      </c>
      <c r="P285" s="36" t="s">
        <v>891</v>
      </c>
      <c r="Q285" s="36" t="s">
        <v>1366</v>
      </c>
      <c r="R285" s="36" t="s">
        <v>899</v>
      </c>
      <c r="S285" s="36" t="s">
        <v>86</v>
      </c>
    </row>
    <row r="286" spans="1:19" x14ac:dyDescent="0.3">
      <c r="A286" s="36" t="s">
        <v>797</v>
      </c>
      <c r="B286" s="36" t="s">
        <v>1177</v>
      </c>
      <c r="C286" s="36" t="s">
        <v>1029</v>
      </c>
      <c r="D286" s="36" t="s">
        <v>65</v>
      </c>
      <c r="E286" s="36" t="s">
        <v>47</v>
      </c>
      <c r="F286" s="36" t="s">
        <v>134</v>
      </c>
      <c r="G286" s="36" t="s">
        <v>651</v>
      </c>
      <c r="H286" s="36" t="s">
        <v>1367</v>
      </c>
      <c r="I286" s="36" t="s">
        <v>24</v>
      </c>
      <c r="J286" s="36" t="s">
        <v>37</v>
      </c>
      <c r="K286" s="36" t="s">
        <v>958</v>
      </c>
      <c r="L286" s="36" t="s">
        <v>798</v>
      </c>
      <c r="M286" s="36" t="s">
        <v>1007</v>
      </c>
      <c r="N286" s="36" t="s">
        <v>892</v>
      </c>
      <c r="O286" s="36" t="s">
        <v>890</v>
      </c>
      <c r="P286" s="36" t="s">
        <v>927</v>
      </c>
      <c r="Q286" s="36" t="s">
        <v>1028</v>
      </c>
      <c r="R286" s="36" t="s">
        <v>899</v>
      </c>
      <c r="S286" s="36" t="s">
        <v>87</v>
      </c>
    </row>
    <row r="287" spans="1:19" x14ac:dyDescent="0.3">
      <c r="A287" s="36" t="s">
        <v>799</v>
      </c>
      <c r="B287" s="36" t="s">
        <v>906</v>
      </c>
      <c r="C287" s="36" t="s">
        <v>144</v>
      </c>
      <c r="D287" s="36" t="s">
        <v>61</v>
      </c>
      <c r="E287" s="36" t="s">
        <v>46</v>
      </c>
      <c r="F287" s="36" t="s">
        <v>138</v>
      </c>
      <c r="G287" s="36" t="s">
        <v>188</v>
      </c>
      <c r="H287" s="36" t="s">
        <v>896</v>
      </c>
      <c r="I287" s="36" t="s">
        <v>24</v>
      </c>
      <c r="J287" s="36" t="s">
        <v>37</v>
      </c>
      <c r="K287" s="36" t="s">
        <v>1000</v>
      </c>
      <c r="L287" s="36" t="s">
        <v>800</v>
      </c>
      <c r="M287" s="36" t="s">
        <v>896</v>
      </c>
      <c r="N287" s="36" t="s">
        <v>909</v>
      </c>
      <c r="O287" s="36" t="s">
        <v>908</v>
      </c>
      <c r="P287" s="36" t="s">
        <v>916</v>
      </c>
      <c r="Q287" s="36" t="s">
        <v>889</v>
      </c>
      <c r="R287" s="36" t="s">
        <v>1059</v>
      </c>
      <c r="S287" s="36" t="s">
        <v>86</v>
      </c>
    </row>
    <row r="288" spans="1:19" x14ac:dyDescent="0.3">
      <c r="A288" s="36" t="s">
        <v>801</v>
      </c>
      <c r="B288" s="36" t="s">
        <v>1213</v>
      </c>
      <c r="C288" s="36" t="s">
        <v>144</v>
      </c>
      <c r="D288" s="36" t="s">
        <v>69</v>
      </c>
      <c r="E288" s="36" t="s">
        <v>47</v>
      </c>
      <c r="F288" s="36" t="s">
        <v>138</v>
      </c>
      <c r="G288" s="36" t="s">
        <v>249</v>
      </c>
      <c r="H288" s="36" t="s">
        <v>1302</v>
      </c>
      <c r="I288" s="36" t="s">
        <v>24</v>
      </c>
      <c r="J288" s="36" t="s">
        <v>37</v>
      </c>
      <c r="K288" s="36" t="s">
        <v>907</v>
      </c>
      <c r="L288" s="36" t="s">
        <v>802</v>
      </c>
      <c r="M288" s="36" t="s">
        <v>1007</v>
      </c>
      <c r="N288" s="36"/>
      <c r="O288" s="36" t="s">
        <v>898</v>
      </c>
      <c r="P288" s="36" t="s">
        <v>927</v>
      </c>
      <c r="Q288" s="36" t="s">
        <v>1368</v>
      </c>
      <c r="R288" s="36" t="s">
        <v>998</v>
      </c>
      <c r="S288" s="36" t="s">
        <v>87</v>
      </c>
    </row>
    <row r="289" spans="1:19" x14ac:dyDescent="0.3">
      <c r="A289" s="36" t="s">
        <v>803</v>
      </c>
      <c r="B289" s="36" t="s">
        <v>1026</v>
      </c>
      <c r="C289" s="36" t="s">
        <v>144</v>
      </c>
      <c r="D289" s="36" t="s">
        <v>62</v>
      </c>
      <c r="E289" s="36" t="s">
        <v>46</v>
      </c>
      <c r="F289" s="36" t="s">
        <v>138</v>
      </c>
      <c r="G289" s="36" t="s">
        <v>149</v>
      </c>
      <c r="H289" s="36" t="s">
        <v>1369</v>
      </c>
      <c r="I289" s="36" t="s">
        <v>24</v>
      </c>
      <c r="J289" s="36" t="s">
        <v>38</v>
      </c>
      <c r="K289" s="36" t="s">
        <v>1028</v>
      </c>
      <c r="L289" s="36" t="s">
        <v>804</v>
      </c>
      <c r="M289" s="36" t="s">
        <v>906</v>
      </c>
      <c r="N289" s="36" t="s">
        <v>965</v>
      </c>
      <c r="O289" s="36" t="s">
        <v>908</v>
      </c>
      <c r="P289" s="36" t="s">
        <v>927</v>
      </c>
      <c r="Q289" s="36" t="s">
        <v>1009</v>
      </c>
      <c r="R289" s="36" t="s">
        <v>909</v>
      </c>
      <c r="S289" s="36" t="s">
        <v>88</v>
      </c>
    </row>
    <row r="290" spans="1:19" x14ac:dyDescent="0.3">
      <c r="A290" s="36" t="s">
        <v>805</v>
      </c>
      <c r="B290" s="36" t="s">
        <v>930</v>
      </c>
      <c r="C290" s="36" t="s">
        <v>144</v>
      </c>
      <c r="D290" s="36" t="s">
        <v>1077</v>
      </c>
      <c r="E290" s="36" t="s">
        <v>46</v>
      </c>
      <c r="F290" s="36" t="s">
        <v>159</v>
      </c>
      <c r="G290" s="36" t="s">
        <v>188</v>
      </c>
      <c r="H290" s="36" t="s">
        <v>1370</v>
      </c>
      <c r="I290" s="36" t="s">
        <v>26</v>
      </c>
      <c r="J290" s="36" t="s">
        <v>37</v>
      </c>
      <c r="K290" s="36" t="s">
        <v>960</v>
      </c>
      <c r="L290" s="36" t="s">
        <v>806</v>
      </c>
      <c r="M290" s="36" t="s">
        <v>946</v>
      </c>
      <c r="N290" s="36" t="s">
        <v>959</v>
      </c>
      <c r="O290" s="36" t="s">
        <v>916</v>
      </c>
      <c r="P290" s="36" t="s">
        <v>891</v>
      </c>
      <c r="Q290" s="36" t="s">
        <v>1049</v>
      </c>
      <c r="R290" s="36" t="s">
        <v>1371</v>
      </c>
      <c r="S290" s="36" t="s">
        <v>86</v>
      </c>
    </row>
    <row r="291" spans="1:19" x14ac:dyDescent="0.3">
      <c r="A291" s="36" t="s">
        <v>807</v>
      </c>
      <c r="B291" s="36" t="s">
        <v>1334</v>
      </c>
      <c r="C291" s="36" t="s">
        <v>991</v>
      </c>
      <c r="D291" s="36" t="s">
        <v>67</v>
      </c>
      <c r="E291" s="36" t="s">
        <v>47</v>
      </c>
      <c r="F291" s="36" t="s">
        <v>245</v>
      </c>
      <c r="G291" s="36" t="s">
        <v>808</v>
      </c>
      <c r="H291" s="36" t="s">
        <v>1372</v>
      </c>
      <c r="I291" s="36" t="s">
        <v>29</v>
      </c>
      <c r="J291" s="36" t="s">
        <v>37</v>
      </c>
      <c r="K291" s="36" t="s">
        <v>1028</v>
      </c>
      <c r="L291" s="36" t="s">
        <v>809</v>
      </c>
      <c r="M291" s="36" t="s">
        <v>1068</v>
      </c>
      <c r="N291" s="36" t="s">
        <v>998</v>
      </c>
      <c r="O291" s="36" t="s">
        <v>916</v>
      </c>
      <c r="P291" s="36" t="s">
        <v>891</v>
      </c>
      <c r="Q291" s="36" t="s">
        <v>968</v>
      </c>
      <c r="R291" s="36" t="s">
        <v>1111</v>
      </c>
      <c r="S291" s="36" t="s">
        <v>86</v>
      </c>
    </row>
    <row r="292" spans="1:19" x14ac:dyDescent="0.3">
      <c r="A292" s="36" t="s">
        <v>810</v>
      </c>
      <c r="B292" s="36" t="s">
        <v>954</v>
      </c>
      <c r="C292" s="36" t="s">
        <v>1066</v>
      </c>
      <c r="D292" s="36" t="s">
        <v>61</v>
      </c>
      <c r="E292" s="36" t="s">
        <v>46</v>
      </c>
      <c r="F292" s="36" t="s">
        <v>1253</v>
      </c>
      <c r="G292" s="36" t="s">
        <v>171</v>
      </c>
      <c r="H292" s="36" t="s">
        <v>896</v>
      </c>
      <c r="I292" s="36" t="s">
        <v>30</v>
      </c>
      <c r="J292" s="36" t="s">
        <v>38</v>
      </c>
      <c r="K292" s="36" t="s">
        <v>1047</v>
      </c>
      <c r="L292" s="36" t="s">
        <v>811</v>
      </c>
      <c r="M292" s="36" t="s">
        <v>906</v>
      </c>
      <c r="N292" s="36" t="s">
        <v>979</v>
      </c>
      <c r="O292" s="36" t="s">
        <v>890</v>
      </c>
      <c r="P292" s="36" t="s">
        <v>927</v>
      </c>
      <c r="Q292" s="36" t="s">
        <v>968</v>
      </c>
      <c r="R292" s="36" t="s">
        <v>924</v>
      </c>
      <c r="S292" s="36" t="s">
        <v>88</v>
      </c>
    </row>
    <row r="293" spans="1:19" x14ac:dyDescent="0.3">
      <c r="A293" s="36" t="s">
        <v>812</v>
      </c>
      <c r="B293" s="36" t="s">
        <v>1117</v>
      </c>
      <c r="C293" s="36" t="s">
        <v>133</v>
      </c>
      <c r="D293" s="36" t="s">
        <v>1077</v>
      </c>
      <c r="E293" s="36" t="s">
        <v>47</v>
      </c>
      <c r="F293" s="36" t="s">
        <v>194</v>
      </c>
      <c r="G293" s="36" t="s">
        <v>813</v>
      </c>
      <c r="H293" s="36" t="s">
        <v>1373</v>
      </c>
      <c r="I293" s="36" t="s">
        <v>24</v>
      </c>
      <c r="J293" s="36" t="s">
        <v>41</v>
      </c>
      <c r="K293" s="36" t="s">
        <v>993</v>
      </c>
      <c r="L293" s="36"/>
      <c r="M293" s="36" t="s">
        <v>906</v>
      </c>
      <c r="N293" s="36" t="s">
        <v>1050</v>
      </c>
      <c r="O293" s="36" t="s">
        <v>890</v>
      </c>
      <c r="P293" s="36" t="s">
        <v>899</v>
      </c>
      <c r="Q293" s="36" t="s">
        <v>892</v>
      </c>
      <c r="R293" s="36" t="s">
        <v>923</v>
      </c>
      <c r="S293" s="36" t="s">
        <v>86</v>
      </c>
    </row>
    <row r="294" spans="1:19" x14ac:dyDescent="0.3">
      <c r="A294" s="36" t="s">
        <v>814</v>
      </c>
      <c r="B294" s="36" t="s">
        <v>1177</v>
      </c>
      <c r="C294" s="36" t="s">
        <v>1066</v>
      </c>
      <c r="D294" s="36" t="s">
        <v>63</v>
      </c>
      <c r="E294" s="36" t="s">
        <v>46</v>
      </c>
      <c r="F294" s="36" t="s">
        <v>148</v>
      </c>
      <c r="G294" s="36" t="s">
        <v>163</v>
      </c>
      <c r="H294" s="36" t="s">
        <v>1374</v>
      </c>
      <c r="I294" s="36" t="s">
        <v>27</v>
      </c>
      <c r="J294" s="36" t="s">
        <v>40</v>
      </c>
      <c r="K294" s="36" t="s">
        <v>933</v>
      </c>
      <c r="L294" s="36" t="s">
        <v>815</v>
      </c>
      <c r="M294" s="36" t="s">
        <v>906</v>
      </c>
      <c r="N294" s="36" t="s">
        <v>921</v>
      </c>
      <c r="O294" s="36" t="s">
        <v>898</v>
      </c>
      <c r="P294" s="36" t="s">
        <v>927</v>
      </c>
      <c r="Q294" s="36" t="s">
        <v>1243</v>
      </c>
      <c r="R294" s="36" t="s">
        <v>1084</v>
      </c>
      <c r="S294" s="36" t="s">
        <v>86</v>
      </c>
    </row>
    <row r="295" spans="1:19" x14ac:dyDescent="0.3">
      <c r="A295" s="36" t="s">
        <v>816</v>
      </c>
      <c r="B295" s="36" t="s">
        <v>1074</v>
      </c>
      <c r="C295" s="36" t="s">
        <v>133</v>
      </c>
      <c r="D295" s="36" t="s">
        <v>68</v>
      </c>
      <c r="E295" s="36" t="s">
        <v>46</v>
      </c>
      <c r="F295" s="36" t="s">
        <v>148</v>
      </c>
      <c r="G295" s="36"/>
      <c r="H295" s="36" t="s">
        <v>1375</v>
      </c>
      <c r="I295" s="36" t="s">
        <v>30</v>
      </c>
      <c r="J295" s="36" t="s">
        <v>37</v>
      </c>
      <c r="K295" s="36" t="s">
        <v>1248</v>
      </c>
      <c r="L295" s="36" t="s">
        <v>817</v>
      </c>
      <c r="M295" s="36" t="s">
        <v>896</v>
      </c>
      <c r="N295" s="36" t="s">
        <v>1027</v>
      </c>
      <c r="O295" s="36" t="s">
        <v>908</v>
      </c>
      <c r="P295" s="36" t="s">
        <v>890</v>
      </c>
      <c r="Q295" s="36" t="s">
        <v>1119</v>
      </c>
      <c r="R295" s="36" t="s">
        <v>915</v>
      </c>
      <c r="S295" s="36" t="s">
        <v>88</v>
      </c>
    </row>
    <row r="296" spans="1:19" x14ac:dyDescent="0.3">
      <c r="A296" s="36" t="s">
        <v>818</v>
      </c>
      <c r="B296" s="36" t="s">
        <v>930</v>
      </c>
      <c r="C296" s="36" t="s">
        <v>133</v>
      </c>
      <c r="D296" s="36" t="s">
        <v>63</v>
      </c>
      <c r="E296" s="36" t="s">
        <v>46</v>
      </c>
      <c r="F296" s="36" t="s">
        <v>159</v>
      </c>
      <c r="G296" s="36" t="s">
        <v>142</v>
      </c>
      <c r="H296" s="36" t="s">
        <v>896</v>
      </c>
      <c r="I296" s="36" t="s">
        <v>1251</v>
      </c>
      <c r="J296" s="36" t="s">
        <v>36</v>
      </c>
      <c r="K296" s="36" t="s">
        <v>892</v>
      </c>
      <c r="L296" s="36" t="s">
        <v>819</v>
      </c>
      <c r="M296" s="36" t="s">
        <v>896</v>
      </c>
      <c r="N296" s="36" t="s">
        <v>895</v>
      </c>
      <c r="O296" s="36" t="s">
        <v>898</v>
      </c>
      <c r="P296" s="36" t="s">
        <v>927</v>
      </c>
      <c r="Q296" s="36" t="s">
        <v>893</v>
      </c>
      <c r="R296" s="36" t="s">
        <v>968</v>
      </c>
      <c r="S296" s="36" t="s">
        <v>87</v>
      </c>
    </row>
    <row r="297" spans="1:19" x14ac:dyDescent="0.3">
      <c r="A297" s="36" t="s">
        <v>820</v>
      </c>
      <c r="B297" s="36"/>
      <c r="C297" s="36" t="s">
        <v>144</v>
      </c>
      <c r="D297" s="36" t="s">
        <v>62</v>
      </c>
      <c r="E297" s="36" t="s">
        <v>47</v>
      </c>
      <c r="F297" s="36" t="s">
        <v>138</v>
      </c>
      <c r="G297" s="36"/>
      <c r="H297" s="36" t="s">
        <v>1376</v>
      </c>
      <c r="I297" s="36" t="s">
        <v>26</v>
      </c>
      <c r="J297" s="36"/>
      <c r="K297" s="36" t="s">
        <v>1149</v>
      </c>
      <c r="L297" s="36" t="s">
        <v>821</v>
      </c>
      <c r="M297" s="36" t="s">
        <v>896</v>
      </c>
      <c r="N297" s="36" t="s">
        <v>1149</v>
      </c>
      <c r="O297" s="36" t="s">
        <v>898</v>
      </c>
      <c r="P297" s="36" t="s">
        <v>890</v>
      </c>
      <c r="Q297" s="36"/>
      <c r="R297" s="36" t="s">
        <v>1377</v>
      </c>
      <c r="S297" s="36" t="s">
        <v>88</v>
      </c>
    </row>
    <row r="298" spans="1:19" x14ac:dyDescent="0.3">
      <c r="A298" s="36" t="s">
        <v>822</v>
      </c>
      <c r="B298" s="36" t="s">
        <v>1036</v>
      </c>
      <c r="C298" s="36" t="s">
        <v>133</v>
      </c>
      <c r="D298" s="36" t="s">
        <v>69</v>
      </c>
      <c r="E298" s="36" t="s">
        <v>47</v>
      </c>
      <c r="F298" s="36" t="s">
        <v>194</v>
      </c>
      <c r="G298" s="36" t="s">
        <v>823</v>
      </c>
      <c r="H298" s="36"/>
      <c r="I298" s="36" t="s">
        <v>24</v>
      </c>
      <c r="J298" s="36" t="s">
        <v>40</v>
      </c>
      <c r="K298" s="36" t="s">
        <v>933</v>
      </c>
      <c r="L298" s="36" t="s">
        <v>824</v>
      </c>
      <c r="M298" s="36" t="s">
        <v>896</v>
      </c>
      <c r="N298" s="36" t="s">
        <v>922</v>
      </c>
      <c r="O298" s="36" t="s">
        <v>898</v>
      </c>
      <c r="P298" s="36"/>
      <c r="Q298" s="36" t="s">
        <v>995</v>
      </c>
      <c r="R298" s="36" t="s">
        <v>1260</v>
      </c>
      <c r="S298" s="36" t="s">
        <v>88</v>
      </c>
    </row>
    <row r="299" spans="1:19" x14ac:dyDescent="0.3">
      <c r="A299" s="36" t="s">
        <v>825</v>
      </c>
      <c r="B299" s="36" t="s">
        <v>1262</v>
      </c>
      <c r="C299" s="36" t="s">
        <v>133</v>
      </c>
      <c r="D299" s="36" t="s">
        <v>66</v>
      </c>
      <c r="E299" s="36" t="s">
        <v>47</v>
      </c>
      <c r="F299" s="36" t="s">
        <v>194</v>
      </c>
      <c r="G299" s="36" t="s">
        <v>826</v>
      </c>
      <c r="H299" s="36" t="s">
        <v>1378</v>
      </c>
      <c r="I299" s="36" t="s">
        <v>25</v>
      </c>
      <c r="J299" s="36" t="s">
        <v>36</v>
      </c>
      <c r="K299" s="36" t="s">
        <v>1035</v>
      </c>
      <c r="L299" s="36" t="s">
        <v>827</v>
      </c>
      <c r="M299" s="36" t="s">
        <v>896</v>
      </c>
      <c r="N299" s="36" t="s">
        <v>1002</v>
      </c>
      <c r="O299" s="36" t="s">
        <v>890</v>
      </c>
      <c r="P299" s="36" t="s">
        <v>891</v>
      </c>
      <c r="Q299" s="36" t="s">
        <v>1076</v>
      </c>
      <c r="R299" s="36" t="s">
        <v>1059</v>
      </c>
      <c r="S299" s="36" t="s">
        <v>86</v>
      </c>
    </row>
    <row r="300" spans="1:19" x14ac:dyDescent="0.3">
      <c r="A300" s="36" t="s">
        <v>828</v>
      </c>
      <c r="B300" s="36" t="s">
        <v>1074</v>
      </c>
      <c r="C300" s="36" t="s">
        <v>144</v>
      </c>
      <c r="D300" s="36" t="s">
        <v>64</v>
      </c>
      <c r="E300" s="36" t="s">
        <v>47</v>
      </c>
      <c r="F300" s="36" t="s">
        <v>194</v>
      </c>
      <c r="G300" s="36" t="s">
        <v>381</v>
      </c>
      <c r="H300" s="36" t="s">
        <v>1379</v>
      </c>
      <c r="I300" s="36" t="s">
        <v>24</v>
      </c>
      <c r="J300" s="36" t="s">
        <v>36</v>
      </c>
      <c r="K300" s="36" t="s">
        <v>1101</v>
      </c>
      <c r="L300" s="36" t="s">
        <v>829</v>
      </c>
      <c r="M300" s="36" t="s">
        <v>896</v>
      </c>
      <c r="N300" s="36" t="s">
        <v>1028</v>
      </c>
      <c r="O300" s="36" t="s">
        <v>898</v>
      </c>
      <c r="P300" s="36" t="s">
        <v>890</v>
      </c>
      <c r="Q300" s="36" t="s">
        <v>914</v>
      </c>
      <c r="R300" s="36" t="s">
        <v>987</v>
      </c>
      <c r="S300" s="36" t="s">
        <v>88</v>
      </c>
    </row>
    <row r="301" spans="1:19" x14ac:dyDescent="0.3">
      <c r="A301" s="36" t="s">
        <v>830</v>
      </c>
      <c r="B301" s="36" t="s">
        <v>1380</v>
      </c>
      <c r="C301" s="36" t="s">
        <v>133</v>
      </c>
      <c r="D301" s="36" t="s">
        <v>62</v>
      </c>
      <c r="E301" s="36" t="s">
        <v>47</v>
      </c>
      <c r="F301" s="36" t="s">
        <v>194</v>
      </c>
      <c r="G301" s="36" t="s">
        <v>174</v>
      </c>
      <c r="H301" s="36" t="s">
        <v>1381</v>
      </c>
      <c r="I301" s="36" t="s">
        <v>904</v>
      </c>
      <c r="J301" s="36" t="s">
        <v>36</v>
      </c>
      <c r="K301" s="36" t="s">
        <v>993</v>
      </c>
      <c r="L301" s="36" t="s">
        <v>831</v>
      </c>
      <c r="M301" s="36" t="s">
        <v>896</v>
      </c>
      <c r="N301" s="36" t="s">
        <v>986</v>
      </c>
      <c r="O301" s="36" t="s">
        <v>890</v>
      </c>
      <c r="P301" s="36" t="s">
        <v>891</v>
      </c>
      <c r="Q301" s="36" t="s">
        <v>924</v>
      </c>
      <c r="R301" s="36" t="s">
        <v>1221</v>
      </c>
      <c r="S301" s="36" t="s">
        <v>86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Analysis</vt:lpstr>
      <vt:lpstr>Clean_Data</vt:lpstr>
      <vt:lpstr>Cleaning_Log</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2026-10-16T16:01:00Z</dcterms:created>
  <dcterms:modified xsi:type="dcterms:W3CDTF">2026-10-17T16:13:57Z</dcterms:modified>
  <dc:language>en-US</dc:language>
</cp:coreProperties>
</file>