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nalysis" sheetId="2" state="visible" r:id="rId4"/>
    <sheet name="Clean_Data" sheetId="3" state="visible" r:id="rId5"/>
    <sheet name="Cleaning_Log" sheetId="4" state="visible" r:id="rId6"/>
    <sheet name="Raw_Data" sheetId="5" state="visible" r:id="rId7"/>
  </sheets>
  <definedNames>
    <definedName function="false" hidden="false" localSheetId="0" name="_xlnm.Print_Area" vbProcedure="false">Dashboard!$A$1:$X$67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<sst xmlns="http://schemas.openxmlformats.org/spreadsheetml/2006/main" count="8843" uniqueCount="1383">
  <si>
    <t xml:space="preserve">How people use AI at school and at work</t>
  </si>
  <si>
    <t xml:space="preserve">Survey of students and professionals across 20 countries  |  cleaned and analyzed in this workbook  |  all figures are live formulas</t>
  </si>
  <si>
    <t xml:space="preserve">USERS SURVEYED</t>
  </si>
  <si>
    <t xml:space="preserve">AI HOURS PER DAY</t>
  </si>
  <si>
    <t xml:space="preserve">HOURS SAVED A WEEK</t>
  </si>
  <si>
    <t xml:space="preserve">SATISFACTION</t>
  </si>
  <si>
    <t xml:space="preserve">WOULD RECOMMEND</t>
  </si>
  <si>
    <t xml:space="preserve">PAY FOR AI</t>
  </si>
  <si>
    <t xml:space="preserve">average per user</t>
  </si>
  <si>
    <t xml:space="preserve">average score</t>
  </si>
  <si>
    <t xml:space="preserve">answered Yes</t>
  </si>
  <si>
    <t xml:space="preserve">on a paid plan</t>
  </si>
  <si>
    <t xml:space="preserve">What the data says</t>
  </si>
  <si>
    <t xml:space="preserve">Source: AI_Usage_and_Impact_on_Students_and_Professionals.csv (300 rows, 288 after removing duplicates). Open the Cleaning_Log tab for every change made.</t>
  </si>
  <si>
    <t xml:space="preserve">Analysis tables</t>
  </si>
  <si>
    <t xml:space="preserve">Every number below is a live formula on the Clean_Data sheet. These tables feed the Dashboard charts. Blank answers are ignored in averages.</t>
  </si>
  <si>
    <t xml:space="preserve">1. AI tools: adoption and results</t>
  </si>
  <si>
    <t xml:space="preserve">AI Tool</t>
  </si>
  <si>
    <t xml:space="preserve">Users</t>
  </si>
  <si>
    <t xml:space="preserve">Share of Tool Answers</t>
  </si>
  <si>
    <t xml:space="preserve">Avg Satisfaction (1-10)</t>
  </si>
  <si>
    <t xml:space="preserve">Avg Productivity (1-10)</t>
  </si>
  <si>
    <t xml:space="preserve">Avg Accuracy (1-5)</t>
  </si>
  <si>
    <t xml:space="preserve">% Would Recommend (Yes)</t>
  </si>
  <si>
    <t xml:space="preserve">Avg Hrs Saved / Week</t>
  </si>
  <si>
    <t xml:space="preserve">ChatGPT</t>
  </si>
  <si>
    <t xml:space="preserve">Google Gemini</t>
  </si>
  <si>
    <t xml:space="preserve">Microsoft Copilot</t>
  </si>
  <si>
    <t xml:space="preserve">Claude</t>
  </si>
  <si>
    <t xml:space="preserve">Perplexity AI</t>
  </si>
  <si>
    <t xml:space="preserve">Grammarly</t>
  </si>
  <si>
    <t xml:space="preserve">Meta AI</t>
  </si>
  <si>
    <t xml:space="preserve">DeepSeek</t>
  </si>
  <si>
    <t xml:space="preserve">2. What people use AI for</t>
  </si>
  <si>
    <t xml:space="preserve">AI Purpose</t>
  </si>
  <si>
    <t xml:space="preserve">Students</t>
  </si>
  <si>
    <t xml:space="preserve">Professionals</t>
  </si>
  <si>
    <t xml:space="preserve">Coding</t>
  </si>
  <si>
    <t xml:space="preserve">Writing</t>
  </si>
  <si>
    <t xml:space="preserve">Studying</t>
  </si>
  <si>
    <t xml:space="preserve">Research</t>
  </si>
  <si>
    <t xml:space="preserve">Content Creation</t>
  </si>
  <si>
    <t xml:space="preserve">Data Analysis</t>
  </si>
  <si>
    <t xml:space="preserve">Customer Support</t>
  </si>
  <si>
    <t xml:space="preserve">Office Work</t>
  </si>
  <si>
    <t xml:space="preserve">3. Students vs professionals</t>
  </si>
  <si>
    <t xml:space="preserve">Metric</t>
  </si>
  <si>
    <t xml:space="preserve">Student</t>
  </si>
  <si>
    <t xml:space="preserve">Professional</t>
  </si>
  <si>
    <t xml:space="preserve">All Users</t>
  </si>
  <si>
    <t xml:space="preserve">Avg age</t>
  </si>
  <si>
    <t xml:space="preserve">Avg monthly income</t>
  </si>
  <si>
    <t xml:space="preserve">Avg AI hours / day</t>
  </si>
  <si>
    <t xml:space="preserve">Avg work/study hours / day</t>
  </si>
  <si>
    <t xml:space="preserve">Avg productivity (1-10)</t>
  </si>
  <si>
    <t xml:space="preserve">Avg accuracy (1-5)</t>
  </si>
  <si>
    <t xml:space="preserve">Avg satisfaction (1-10)</t>
  </si>
  <si>
    <t xml:space="preserve">Avg hrs saved / week</t>
  </si>
  <si>
    <t xml:space="preserve">% on a paid plan</t>
  </si>
  <si>
    <t xml:space="preserve">% would recommend (Yes)</t>
  </si>
  <si>
    <t xml:space="preserve">4. Top 10 countries by number of users</t>
  </si>
  <si>
    <t xml:space="preserve">Country</t>
  </si>
  <si>
    <t xml:space="preserve">India</t>
  </si>
  <si>
    <t xml:space="preserve">United States</t>
  </si>
  <si>
    <t xml:space="preserve">Canada</t>
  </si>
  <si>
    <t xml:space="preserve">Pakistan</t>
  </si>
  <si>
    <t xml:space="preserve">United Kingdom</t>
  </si>
  <si>
    <t xml:space="preserve">Brazil</t>
  </si>
  <si>
    <t xml:space="preserve">Philippines</t>
  </si>
  <si>
    <t xml:space="preserve">Australia</t>
  </si>
  <si>
    <t xml:space="preserve">Nigeria</t>
  </si>
  <si>
    <t xml:space="preserve">Germany</t>
  </si>
  <si>
    <t xml:space="preserve">5. Age groups</t>
  </si>
  <si>
    <t xml:space="preserve">Age Group</t>
  </si>
  <si>
    <t xml:space="preserve">Avg AI Hours / Day</t>
  </si>
  <si>
    <t xml:space="preserve">Under 18</t>
  </si>
  <si>
    <t xml:space="preserve">18-24</t>
  </si>
  <si>
    <t xml:space="preserve">25-34</t>
  </si>
  <si>
    <t xml:space="preserve">35-44</t>
  </si>
  <si>
    <t xml:space="preserve">45+</t>
  </si>
  <si>
    <t xml:space="preserve">6. Free vs paid AI plans</t>
  </si>
  <si>
    <t xml:space="preserve">Plan</t>
  </si>
  <si>
    <t xml:space="preserve">Free</t>
  </si>
  <si>
    <t xml:space="preserve">Paid</t>
  </si>
  <si>
    <t xml:space="preserve">7. Would they recommend it?</t>
  </si>
  <si>
    <t xml:space="preserve">Answer</t>
  </si>
  <si>
    <t xml:space="preserve">Share</t>
  </si>
  <si>
    <t xml:space="preserve">Yes</t>
  </si>
  <si>
    <t xml:space="preserve">Maybe</t>
  </si>
  <si>
    <t xml:space="preserve">No</t>
  </si>
  <si>
    <t xml:space="preserve">8. Job and field families</t>
  </si>
  <si>
    <t xml:space="preserve">Field</t>
  </si>
  <si>
    <t xml:space="preserve">Content, Media &amp; Writing</t>
  </si>
  <si>
    <t xml:space="preserve">Software &amp; IT</t>
  </si>
  <si>
    <t xml:space="preserve">Data &amp; Analytics</t>
  </si>
  <si>
    <t xml:space="preserve">Science &amp; Research</t>
  </si>
  <si>
    <t xml:space="preserve">Engineering</t>
  </si>
  <si>
    <t xml:space="preserve">Business &amp; Admin</t>
  </si>
  <si>
    <t xml:space="preserve">9. What moves together? (correlations)</t>
  </si>
  <si>
    <t xml:space="preserve">r near +1 or -1 = strong link. Correlation is not cause.</t>
  </si>
  <si>
    <t xml:space="preserve">Pair</t>
  </si>
  <si>
    <t xml:space="preserve">r</t>
  </si>
  <si>
    <t xml:space="preserve">Reading</t>
  </si>
  <si>
    <t xml:space="preserve">AI hours per day vs hours saved per week</t>
  </si>
  <si>
    <t xml:space="preserve">AI hours per day vs productivity</t>
  </si>
  <si>
    <t xml:space="preserve">Productivity vs satisfaction</t>
  </si>
  <si>
    <t xml:space="preserve">Accuracy rating vs satisfaction</t>
  </si>
  <si>
    <t xml:space="preserve">Monthly AI cost vs satisfaction</t>
  </si>
  <si>
    <t xml:space="preserve">Age vs AI hours per day</t>
  </si>
  <si>
    <t xml:space="preserve">User_ID</t>
  </si>
  <si>
    <t xml:space="preserve">Age</t>
  </si>
  <si>
    <t xml:space="preserve">Age_Group</t>
  </si>
  <si>
    <t xml:space="preserve">Gender</t>
  </si>
  <si>
    <t xml:space="preserve">User_Type</t>
  </si>
  <si>
    <t xml:space="preserve">Education_Level</t>
  </si>
  <si>
    <t xml:space="preserve">Profession</t>
  </si>
  <si>
    <t xml:space="preserve">Profession_Group</t>
  </si>
  <si>
    <t xml:space="preserve">Monthly_Income</t>
  </si>
  <si>
    <t xml:space="preserve">AI_Tool</t>
  </si>
  <si>
    <t xml:space="preserve">AI_Purpose</t>
  </si>
  <si>
    <t xml:space="preserve">AI_Hours_Per_Day</t>
  </si>
  <si>
    <t xml:space="preserve">Work_Study_Hours_Per_Day</t>
  </si>
  <si>
    <t xml:space="preserve">AI_Share_of_Day</t>
  </si>
  <si>
    <t xml:space="preserve">Monthly_AI_Cost</t>
  </si>
  <si>
    <t xml:space="preserve">Plan_Type</t>
  </si>
  <si>
    <t xml:space="preserve">Productivity_Score</t>
  </si>
  <si>
    <t xml:space="preserve">Accuracy_Rating</t>
  </si>
  <si>
    <t xml:space="preserve">Satisfaction_Score</t>
  </si>
  <si>
    <t xml:space="preserve">Time_Saved_Hours_Per_Week</t>
  </si>
  <si>
    <t xml:space="preserve">Hours_Saved_per_AI_Hour</t>
  </si>
  <si>
    <t xml:space="preserve">Would_Recommend</t>
  </si>
  <si>
    <t xml:space="preserve">Data_Flags</t>
  </si>
  <si>
    <t xml:space="preserve">Tasks_Performed</t>
  </si>
  <si>
    <t xml:space="preserve">U0269</t>
  </si>
  <si>
    <t xml:space="preserve">Male</t>
  </si>
  <si>
    <t xml:space="preserve">Master's</t>
  </si>
  <si>
    <t xml:space="preserve">Business Analyst</t>
  </si>
  <si>
    <t xml:space="preserve">Data analysis using AI-powered analytics tools, automated report generation, process optimization modelling, AI-assisted business intelligence reporting</t>
  </si>
  <si>
    <t xml:space="preserve">U0217</t>
  </si>
  <si>
    <t xml:space="preserve">Bachelor's</t>
  </si>
  <si>
    <t xml:space="preserve">Customer Support Specialist</t>
  </si>
  <si>
    <t xml:space="preserve">Resolving customer inquiries using AI chatbot platforms, drafting personalized email responses with AI writing assistants, analyzing customer sentiment with AI tools, managing support tickets with AI-powered ticketing systems</t>
  </si>
  <si>
    <t xml:space="preserve">U0152</t>
  </si>
  <si>
    <t xml:space="preserve">Computer Science Student</t>
  </si>
  <si>
    <t xml:space="preserve">U0264</t>
  </si>
  <si>
    <t xml:space="preserve">Female</t>
  </si>
  <si>
    <t xml:space="preserve">Desenvolvedora de Software / Software Developer</t>
  </si>
  <si>
    <t xml:space="preserve">Usar GitHub Copilot para autocompletar código, debugar aplicações com assistência de IA, otimizar algoritmos com sugestões de IA, revisar e refatorar código existente</t>
  </si>
  <si>
    <t xml:space="preserve">U0263</t>
  </si>
  <si>
    <t xml:space="preserve">Undergraduate</t>
  </si>
  <si>
    <t xml:space="preserve">Biology Student</t>
  </si>
  <si>
    <t xml:space="preserve">Using AI to generate study summaries for exam preparation, getting help with practice problem solutions, organizing research paper notes</t>
  </si>
  <si>
    <t xml:space="preserve">U0225</t>
  </si>
  <si>
    <t xml:space="preserve">Business Analytics Student</t>
  </si>
  <si>
    <t xml:space="preserve">Statistical analysis on datasets, data visualization with Python libraries, predictive modeling for coursework, business intelligence report generation</t>
  </si>
  <si>
    <t xml:space="preserve">U0246</t>
  </si>
  <si>
    <t xml:space="preserve">France</t>
  </si>
  <si>
    <t xml:space="preserve">Développeur Full Stack</t>
  </si>
  <si>
    <t xml:space="preserve">Automated code review with AI-powered linters, Generated boilerplate code and API endpoints using GitHub Copilot, Debugged complex algorithms with AI assistance, Optimized database queries using AI suggestions</t>
  </si>
  <si>
    <t xml:space="preserve">U0177</t>
  </si>
  <si>
    <t xml:space="preserve">High School</t>
  </si>
  <si>
    <t xml:space="preserve">Social Media Content Creator</t>
  </si>
  <si>
    <t xml:space="preserve">Creating Instagram/TikTok captions with AI writing tools, Generating YouTube thumbnails and video descriptions using AI design assistants, Editing photos and videos with AI-powered software</t>
  </si>
  <si>
    <t xml:space="preserve">U0207</t>
  </si>
  <si>
    <t xml:space="preserve">Digital Media Production Student</t>
  </si>
  <si>
    <t xml:space="preserve">Creating YouTube video scripts, Designing social media graphics with AI image generators, Writing blog content for tech topics</t>
  </si>
  <si>
    <t xml:space="preserve">U0167</t>
  </si>
  <si>
    <t xml:space="preserve">Email copywriting, Social media post creation, Blog article drafting, Product description writing</t>
  </si>
  <si>
    <t xml:space="preserve">U0135</t>
  </si>
  <si>
    <t xml:space="preserve">Research Analyst</t>
  </si>
  <si>
    <t xml:space="preserve">Literature review and synthesis using AI-powered databases, Data analysis and pattern recognition, Research paper writing and academic content generation</t>
  </si>
  <si>
    <t xml:space="preserve">U0211</t>
  </si>
  <si>
    <t xml:space="preserve">Mechanical Engineering Student</t>
  </si>
  <si>
    <t xml:space="preserve">Literature review and paper summarization, Data analysis for lab experiments, Generating research hypotheses, Technical documentation and report writing</t>
  </si>
  <si>
    <t xml:space="preserve">U0114</t>
  </si>
  <si>
    <t xml:space="preserve">Software Developer</t>
  </si>
  <si>
    <t xml:space="preserve">Using AI code completion tools for writing Python functions, debugging code with AI-assisted analysis, generating unit test cases with AI tools</t>
  </si>
  <si>
    <t xml:space="preserve">U0191</t>
  </si>
  <si>
    <t xml:space="preserve">Software Engineering Student</t>
  </si>
  <si>
    <t xml:space="preserve">AI hrs exceed work/study hrs (kept)</t>
  </si>
  <si>
    <t xml:space="preserve">Debugging code with AI assistance, generating code snippets for assignments, learning programming concepts through AI explanations</t>
  </si>
  <si>
    <t xml:space="preserve">U0035</t>
  </si>
  <si>
    <t xml:space="preserve">Data Analyst</t>
  </si>
  <si>
    <t xml:space="preserve">Automated data cleaning and processing with Python scripts, building predictive models using machine learning algorithms, generating interactive dashboards and visualizations in Power BI</t>
  </si>
  <si>
    <t xml:space="preserve">U0138</t>
  </si>
  <si>
    <t xml:space="preserve">U0059</t>
  </si>
  <si>
    <t xml:space="preserve">Customer Service Representative</t>
  </si>
  <si>
    <t xml:space="preserve">Responding to customer inquiries via AI chatbots, drafting personalized support emails using AI writing assistants, resolving common technical issues with AI-guided troubleshooting scripts</t>
  </si>
  <si>
    <t xml:space="preserve">U0215</t>
  </si>
  <si>
    <t xml:space="preserve">English Literature Student</t>
  </si>
  <si>
    <t xml:space="preserve">Drafting research papers on literary analysis, brainstorming essay outlines, proofreading and refining academic writing, generating content summaries for thesis work</t>
  </si>
  <si>
    <t xml:space="preserve">U0228</t>
  </si>
  <si>
    <t xml:space="preserve">Kenya</t>
  </si>
  <si>
    <t xml:space="preserve">Literature review for lab reports, summarizing research papers on molecular genetics, generating study notes from scientific articles</t>
  </si>
  <si>
    <t xml:space="preserve">U0046</t>
  </si>
  <si>
    <t xml:space="preserve">Diploma</t>
  </si>
  <si>
    <t xml:space="preserve">Research Technician</t>
  </si>
  <si>
    <t xml:space="preserve">AI hrs/day over 16, blanked</t>
  </si>
  <si>
    <t xml:space="preserve">Literature review synthesis using AI search tools, Data analysis and statistical reporting with AI-assisted tools, Survey data organization and preliminary findings documentation</t>
  </si>
  <si>
    <t xml:space="preserve">U0176</t>
  </si>
  <si>
    <t xml:space="preserve">AI-Powered Customer Support Executive</t>
  </si>
  <si>
    <t xml:space="preserve">AI chatbot management and customer query routing, multilingual customer response handling using AI tools, customer complaint analysis and resolution tracking</t>
  </si>
  <si>
    <t xml:space="preserve">U0227</t>
  </si>
  <si>
    <t xml:space="preserve">Essay structuring and outline generation, thesis statement refinement, academic paper proofreading and grammar checking, creative writing brainstorming</t>
  </si>
  <si>
    <t xml:space="preserve">U0198</t>
  </si>
  <si>
    <t xml:space="preserve">Kundenservice-Spezialistin / Customer Service Specialist</t>
  </si>
  <si>
    <t xml:space="preserve">U0141</t>
  </si>
  <si>
    <t xml:space="preserve">Debugging Python code with AI assistants, generating boilerplate code for web projects, learning algorithms through AI-generated explanations</t>
  </si>
  <si>
    <t xml:space="preserve">U0205</t>
  </si>
  <si>
    <t xml:space="preserve">Analyzing complex physics problems, generating study notes from lecture content, debugging code for coursework projects, creating visual explanations of thermodynamic concepts</t>
  </si>
  <si>
    <t xml:space="preserve">U0209</t>
  </si>
  <si>
    <t xml:space="preserve">Digital Content Creator</t>
  </si>
  <si>
    <t xml:space="preserve">Generating social media captions with AI, Creating blog post drafts using language models, Editing photos and videos with AI tools, Scheduling posts across multiple platforms</t>
  </si>
  <si>
    <t xml:space="preserve">U0149</t>
  </si>
  <si>
    <t xml:space="preserve">Writing and debugging Python code, generating documentation for projects, optimizing algorithms</t>
  </si>
  <si>
    <t xml:space="preserve">U0179</t>
  </si>
  <si>
    <t xml:space="preserve">Pesquisador de Mercado</t>
  </si>
  <si>
    <t xml:space="preserve">Análise de tendências usando ferramentas de IA, extração de dados de fontes públicas, geração de relatórios automatizados, síntese de artigos acadêmicos</t>
  </si>
  <si>
    <t xml:space="preserve">U0016</t>
  </si>
  <si>
    <t xml:space="preserve">Using AI to generate practice exam questions, summarizing research papers, explaining complex concepts like cellular respiration</t>
  </si>
  <si>
    <t xml:space="preserve">U0132</t>
  </si>
  <si>
    <t xml:space="preserve">Business Administration Student</t>
  </si>
  <si>
    <t xml:space="preserve">Literature review and source compilation, Data analysis and statistical interpretation, Essay research and citation management</t>
  </si>
  <si>
    <t xml:space="preserve">U0008</t>
  </si>
  <si>
    <t xml:space="preserve">Essay composition and structure planning, grammar checking and proofreading, research paper summarization, creative writing feedback and editing</t>
  </si>
  <si>
    <t xml:space="preserve">U0162</t>
  </si>
  <si>
    <t xml:space="preserve">Literature review automation using AI databases, conducting qualitative data analysis with AI tools, generating research reports and summaries, market research data collection and synthesis</t>
  </si>
  <si>
    <t xml:space="preserve">U0081</t>
  </si>
  <si>
    <t xml:space="preserve">Research Assistant</t>
  </si>
  <si>
    <t xml:space="preserve">Literature review using AI search tools, data analysis with AI-powered statistical software, market research report generation, academic paper summarization</t>
  </si>
  <si>
    <t xml:space="preserve">U0014</t>
  </si>
  <si>
    <t xml:space="preserve">Engineering Student</t>
  </si>
  <si>
    <t xml:space="preserve">Solving physics problems with AI explanation, generating practice questions for exams, translating complex concepts into simplified notes</t>
  </si>
  <si>
    <t xml:space="preserve">U0278</t>
  </si>
  <si>
    <t xml:space="preserve">Generating practice problems and solutions for thermodynamics assignments, debugging Python code for finite element analysis projects, summarizing lecture notes on fluid mechanics concepts</t>
  </si>
  <si>
    <t xml:space="preserve">U0102</t>
  </si>
  <si>
    <t xml:space="preserve">Information Technology Student</t>
  </si>
  <si>
    <t xml:space="preserve">U0258</t>
  </si>
  <si>
    <t xml:space="preserve">Literature review and paper summarization, Data analysis and interpretation, Research proposal drafting, Scientific article finding and organization</t>
  </si>
  <si>
    <t xml:space="preserve">U0239</t>
  </si>
  <si>
    <t xml:space="preserve">Senior Software Engineer</t>
  </si>
  <si>
    <t xml:space="preserve">Code review and optimization using AI assistants, automated bug detection and debugging with AI tools, AI-assisted documentation generation, infrastructure code maintenance</t>
  </si>
  <si>
    <t xml:space="preserve">U0071</t>
  </si>
  <si>
    <t xml:space="preserve">Data Analytics Manager</t>
  </si>
  <si>
    <t xml:space="preserve">Building predictive models with Python and scikit-learn, Creating business intelligence dashboards in Tableau, Performing statistical analysis on customer datasets</t>
  </si>
  <si>
    <t xml:space="preserve">U0259</t>
  </si>
  <si>
    <t xml:space="preserve">PhD</t>
  </si>
  <si>
    <t xml:space="preserve">Engenheiro de Software Sênior / Tech Lead</t>
  </si>
  <si>
    <t xml:space="preserve">Desenvolvimento de algoritmos com assistência de IA, code review automatizado com ferramentas de IA, arquitetura de sistemas de software, mentoria de equipes em práticas de desenvolvimento com IA</t>
  </si>
  <si>
    <t xml:space="preserve">U0075</t>
  </si>
  <si>
    <t xml:space="preserve">Content Writer</t>
  </si>
  <si>
    <t xml:space="preserve">Drafting blog posts and articles with AI writing assistants, using AI tools to brainstorm content ideas and outline structures, editing and refining generated content for tone and accuracy</t>
  </si>
  <si>
    <t xml:space="preserve">U0288</t>
  </si>
  <si>
    <t xml:space="preserve">Senior Software Engineer / Technical Lead</t>
  </si>
  <si>
    <t xml:space="preserve">Code generation and debugging using AI, automated code review and optimization, rapid prototyping using AI-assisted development frameworks, API design and documentation using AI tools</t>
  </si>
  <si>
    <t xml:space="preserve">U0271</t>
  </si>
  <si>
    <t xml:space="preserve">Code debugging and optimization using AI assistants, automated test case generation, API integration and documentation, algorithm optimization suggestions</t>
  </si>
  <si>
    <t xml:space="preserve">U0070</t>
  </si>
  <si>
    <t xml:space="preserve">Using AI to solve physics problems, generating study summaries for calculus, translating technical documents from English to Portuguese</t>
  </si>
  <si>
    <t xml:space="preserve">U0054</t>
  </si>
  <si>
    <t xml:space="preserve">Debugging code with AI assistants, Learning Python and JavaScript syntax, Solving LeetCode problems with AI explanations</t>
  </si>
  <si>
    <t xml:space="preserve">U0164</t>
  </si>
  <si>
    <t xml:space="preserve">Research Scientist/Senior Research Officer</t>
  </si>
  <si>
    <t xml:space="preserve">Literature review automation with AI tools, data analysis and pattern recognition, research paper synthesis and summarization, hypothesis validation using machine learning models</t>
  </si>
  <si>
    <t xml:space="preserve">U0219</t>
  </si>
  <si>
    <t xml:space="preserve">Artificial Intelligence and Machine Learning Student</t>
  </si>
  <si>
    <t xml:space="preserve">Debugging Python code with AI-powered IDE plugins, Generating optimization algorithms for data structures, Writing and testing unit tests for complex modules</t>
  </si>
  <si>
    <t xml:space="preserve">U0036</t>
  </si>
  <si>
    <t xml:space="preserve">Content Strategy Manager</t>
  </si>
  <si>
    <t xml:space="preserve">Uses AI tools to generate initial content drafts, optimize SEO metadata and headlines, streamline editing and proofreading processes, manage multi-channel content calendars</t>
  </si>
  <si>
    <t xml:space="preserve">U0057</t>
  </si>
  <si>
    <t xml:space="preserve">Essay composition and structure planning, grammar and spelling correction, brainstorming ideas for creative writing assignments</t>
  </si>
  <si>
    <t xml:space="preserve">U0060</t>
  </si>
  <si>
    <t xml:space="preserve">Literature review and paper summarization, Data analysis for research datasets, Academic paper organization and citation management</t>
  </si>
  <si>
    <t xml:space="preserve">U0226</t>
  </si>
  <si>
    <t xml:space="preserve">Social Media Content Creator / Digital Marketer</t>
  </si>
  <si>
    <t xml:space="preserve">Creating engaging social media posts with AI writing tools, Generating captions and hashtags using AI, Editing and optimizing images with AI-powered design tools, Producing video content summaries and descriptions</t>
  </si>
  <si>
    <t xml:space="preserve">U0118</t>
  </si>
  <si>
    <t xml:space="preserve">Other / Non-binary</t>
  </si>
  <si>
    <t xml:space="preserve">Responsable de Contenu Digital</t>
  </si>
  <si>
    <t xml:space="preserve">Création d'articles de blog avec assistance IA, Génération de contenu pour réseaux sociaux, Optimisation SEO avec outils IA, Édition et révision de textes</t>
  </si>
  <si>
    <t xml:space="preserve">U0028</t>
  </si>
  <si>
    <t xml:space="preserve">Essay drafting and outline generation, academic paper research summarization, creative writing feedback and editing</t>
  </si>
  <si>
    <t xml:space="preserve">U0125</t>
  </si>
  <si>
    <t xml:space="preserve">Debugging Python code with AI code analysis, Writing SQL queries for database projects, Generating HTML/CSS templates for web assignments</t>
  </si>
  <si>
    <t xml:space="preserve">U0223</t>
  </si>
  <si>
    <t xml:space="preserve">Marketing Communications Officer</t>
  </si>
  <si>
    <t xml:space="preserve">AI-assisted content writing for social media and marketing campaigns, proofreading and editing copy with AI grammar tools, generating email newsletters and promotional materials</t>
  </si>
  <si>
    <t xml:space="preserve">U0243</t>
  </si>
  <si>
    <t xml:space="preserve">Drafting customer responses using AI writing assistants, analyzing customer feedback with sentiment analysis tools, resolving FAQs using AI knowledge base systems, escalating complex issues to senior staff</t>
  </si>
  <si>
    <t xml:space="preserve">U0165</t>
  </si>
  <si>
    <t xml:space="preserve">Using AI to solve physics and calculus problems, generating practice exam questions, translating technical documentation from English to Portuguese</t>
  </si>
  <si>
    <t xml:space="preserve">U0238</t>
  </si>
  <si>
    <t xml:space="preserve">Digital Media Student</t>
  </si>
  <si>
    <t xml:space="preserve">Creating social media graphics with AI design tools, Writing blog posts and articles with AI writing assistants, Generating video scripts and editing content with AI video tools</t>
  </si>
  <si>
    <t xml:space="preserve">U0069</t>
  </si>
  <si>
    <t xml:space="preserve">Content Marketing Manager</t>
  </si>
  <si>
    <t xml:space="preserve">Creating blog posts and web copy with AI writing assistants, editing and refining client proposals, generating social media content calendars and posts</t>
  </si>
  <si>
    <t xml:space="preserve">U0092</t>
  </si>
  <si>
    <t xml:space="preserve">Statistical analysis of datasets, data visualization using Python libraries, predictive modeling with machine learning algorithms, database query optimization</t>
  </si>
  <si>
    <t xml:space="preserve">U0043</t>
  </si>
  <si>
    <t xml:space="preserve">U0084</t>
  </si>
  <si>
    <t xml:space="preserve">Business Intelligence Analyst</t>
  </si>
  <si>
    <t xml:space="preserve">Cleaning and processing customer transaction data, generating sales trend reports using Python, creating data visualizations in Power BI dashboards</t>
  </si>
  <si>
    <t xml:space="preserve">U0061</t>
  </si>
  <si>
    <t xml:space="preserve">Desenvolvedor de Software Sênior</t>
  </si>
  <si>
    <t xml:space="preserve">Usar GitHub Copilot para completar código, gerar testes unitários com IA, otimizar algoritmos com sugestões de IA, revisar e debugar código com assistentes de IA</t>
  </si>
  <si>
    <t xml:space="preserve">U0116</t>
  </si>
  <si>
    <t xml:space="preserve">Digital Media and Communications Student</t>
  </si>
  <si>
    <t xml:space="preserve">AI-assisted blog writing and SEO optimization, video scriptwriting and thumbnail design generation, social media content creation and caption generation</t>
  </si>
  <si>
    <t xml:space="preserve">U0039</t>
  </si>
  <si>
    <t xml:space="preserve">Bioinformatics Student</t>
  </si>
  <si>
    <t xml:space="preserve">Literature review automation with AI summarization, designing research methodology frameworks, analyzing genomic datasets using machine learning models, peer review preparation assistance</t>
  </si>
  <si>
    <t xml:space="preserve">U0022</t>
  </si>
  <si>
    <t xml:space="preserve">Writing and debugging Python code using AI assistants, automating repetitive coding tasks with AI tools, code review and optimization with AI-powered suggestions</t>
  </si>
  <si>
    <t xml:space="preserve">U0137</t>
  </si>
  <si>
    <t xml:space="preserve">Code debugging and optimization, API development and integration, machine learning model training and implementation</t>
  </si>
  <si>
    <t xml:space="preserve">U0027</t>
  </si>
  <si>
    <t xml:space="preserve">Debugging code with AI assistance, generating boilerplate code for projects, learning new programming concepts through AI explanations</t>
  </si>
  <si>
    <t xml:space="preserve">U0268</t>
  </si>
  <si>
    <t xml:space="preserve">Using AI to generate study summaries, practice exam questions, and lab report writing assistance</t>
  </si>
  <si>
    <t xml:space="preserve">U0131</t>
  </si>
  <si>
    <t xml:space="preserve">Administrative Assistant</t>
  </si>
  <si>
    <t xml:space="preserve">Data entry and document formatting with AI tools, scheduling meetings and managing calendar using AI assistants, generating business reports with AI summarization software, proofreading emails and correspondence using grammar AI</t>
  </si>
  <si>
    <t xml:space="preserve">U0255</t>
  </si>
  <si>
    <t xml:space="preserve">Code generation and debugging with AI assistants, automated testing and deployment pipeline optimization, machine learning model implementation and optimization</t>
  </si>
  <si>
    <t xml:space="preserve">U0231</t>
  </si>
  <si>
    <t xml:space="preserve">Building predictive models with machine learning algorithms, Creating automated dashboards for business intelligence, Cleaning and transforming large datasets for analysis</t>
  </si>
  <si>
    <t xml:space="preserve">U0067</t>
  </si>
  <si>
    <t xml:space="preserve">Biotechnology Student</t>
  </si>
  <si>
    <t xml:space="preserve">Literature review automation, research paper summarization, data analysis and visualization, hypothesis generation</t>
  </si>
  <si>
    <t xml:space="preserve">U0234</t>
  </si>
  <si>
    <t xml:space="preserve">Essay composition and structure planning, grammar and style checking, research paper organization, content brainstorming for creative writing assignments</t>
  </si>
  <si>
    <t xml:space="preserve">U0184</t>
  </si>
  <si>
    <t xml:space="preserve">Senior Software Engineer / AI Solutions Architect</t>
  </si>
  <si>
    <t xml:space="preserve">U0096</t>
  </si>
  <si>
    <t xml:space="preserve">Environmental Science Student</t>
  </si>
  <si>
    <t xml:space="preserve">U0274</t>
  </si>
  <si>
    <t xml:space="preserve">Running SQL queries and Python scripts to extract and clean datasets, Creating interactive dashboards and visualizations in Tableau, Performing statistical analysis and generating insights reports</t>
  </si>
  <si>
    <t xml:space="preserve">U0192</t>
  </si>
  <si>
    <t xml:space="preserve">U0113</t>
  </si>
  <si>
    <t xml:space="preserve">Senior Software Developer / Softwareentwicklerin</t>
  </si>
  <si>
    <t xml:space="preserve">Code generation and optimization using AI assistants, automated testing and bug detection with AI tools, documentation generation from code comments, refactoring legacy code with AI suggestions</t>
  </si>
  <si>
    <t xml:space="preserve">U0254</t>
  </si>
  <si>
    <t xml:space="preserve">Customer Support Manager</t>
  </si>
  <si>
    <t xml:space="preserve">Using AI chatbots to handle routine customer inquiries, training support staff on AI tools, monitoring AI-assisted ticket resolution quality</t>
  </si>
  <si>
    <t xml:space="preserve">U0171</t>
  </si>
  <si>
    <t xml:space="preserve">Data Entry Specialist</t>
  </si>
  <si>
    <t xml:space="preserve">Organizing customer datasets with Excel and Python scripts, creating automated reports using AI-powered analytics tools, cleaning and validating data quality for business intelligence dashboards</t>
  </si>
  <si>
    <t xml:space="preserve">U0088</t>
  </si>
  <si>
    <t xml:space="preserve">Data Entry Operator</t>
  </si>
  <si>
    <t xml:space="preserve">Data cleaning and validation using Python scripts, Excel spreadsheet automation with AI tools, generating automated reports from raw datasets</t>
  </si>
  <si>
    <t xml:space="preserve">U0127</t>
  </si>
  <si>
    <t xml:space="preserve">Artificial Intelligence Research Student</t>
  </si>
  <si>
    <t xml:space="preserve">Literature review and paper summarization, debugging and optimizing machine learning code, generating research hypotheses and experiment design, analyzing complex datasets and statistical modeling</t>
  </si>
  <si>
    <t xml:space="preserve">U0108</t>
  </si>
  <si>
    <t xml:space="preserve">Digital Content Strategist</t>
  </si>
  <si>
    <t xml:space="preserve">AI-assisted blog writing and SEO optimization, social media caption generation, video script creation with AI tools, content calendar planning using AI analytics</t>
  </si>
  <si>
    <t xml:space="preserve">U0055</t>
  </si>
  <si>
    <t xml:space="preserve">Code review and optimization using AI assistants, automated testing and debugging with AI tools, API development and integration, documentation generation</t>
  </si>
  <si>
    <t xml:space="preserve">U0251</t>
  </si>
  <si>
    <t xml:space="preserve">Molecular Biology Student</t>
  </si>
  <si>
    <t xml:space="preserve">Literature review and scientific paper analysis, data analysis and statistical interpretation, hypothesis generation and research methodology planning</t>
  </si>
  <si>
    <t xml:space="preserve">U0248</t>
  </si>
  <si>
    <t xml:space="preserve">Senior Content Strategist</t>
  </si>
  <si>
    <t xml:space="preserve">Age implausible, blanked</t>
  </si>
  <si>
    <t xml:space="preserve">Generating blog content using AI writing assistants, creating social media copy with AI tools, editing and refining multimedia content with AI enhancement software, developing content calendars and briefs</t>
  </si>
  <si>
    <t xml:space="preserve">U0107</t>
  </si>
  <si>
    <t xml:space="preserve">Senior Machine Learning Engineer</t>
  </si>
  <si>
    <t xml:space="preserve">Code generation and debugging with AI assistants, algorithm optimization using neural networks, automated testing and code review with AI tools</t>
  </si>
  <si>
    <t xml:space="preserve">U0194</t>
  </si>
  <si>
    <t xml:space="preserve">Senior Data Scientist</t>
  </si>
  <si>
    <t xml:space="preserve">Building predictive models using machine learning, Processing large datasets with Python/SQL, Creating automated dashboards and reports, Performing statistical analysis on business metrics</t>
  </si>
  <si>
    <t xml:space="preserve">U0026</t>
  </si>
  <si>
    <t xml:space="preserve">Email management and scheduling with AI tools, Document formatting and data entry using automation software, Report generation and analysis with spreadsheet AI features</t>
  </si>
  <si>
    <t xml:space="preserve">U0095</t>
  </si>
  <si>
    <t xml:space="preserve">Content Strategist &amp; Technical Writer</t>
  </si>
  <si>
    <t xml:space="preserve">AI-assisted article writing and research, document translation and localization, automated report generation, editing and proofreading with AI tools</t>
  </si>
  <si>
    <t xml:space="preserve">U0120</t>
  </si>
  <si>
    <t xml:space="preserve">Electronics Engineering Student</t>
  </si>
  <si>
    <t xml:space="preserve">Using AI to solve complex circuit problems, generating practice exam questions with solutions, summarizing technical textbooks and research papers</t>
  </si>
  <si>
    <t xml:space="preserve">U0049</t>
  </si>
  <si>
    <t xml:space="preserve">Junior Software Developer</t>
  </si>
  <si>
    <t xml:space="preserve">Writing Python scripts with AI code completion, debugging code errors using ChatGPT, generating SQL queries for database management, refactoring JavaScript functions with AI assistance</t>
  </si>
  <si>
    <t xml:space="preserve">U0032</t>
  </si>
  <si>
    <t xml:space="preserve">German Literature Student</t>
  </si>
  <si>
    <t xml:space="preserve">Essay structure planning, grammar and spelling correction, essay topic research, writing feedback and revision suggestions</t>
  </si>
  <si>
    <t xml:space="preserve">U0073</t>
  </si>
  <si>
    <t xml:space="preserve">Literature review and paper summarization, Data analysis for research projects, Hypothesis generation for experiments, Academic writing and citation organization</t>
  </si>
  <si>
    <t xml:space="preserve">U0007</t>
  </si>
  <si>
    <t xml:space="preserve">Machine Learning Research Student</t>
  </si>
  <si>
    <t xml:space="preserve">Literature review and paper summarization, Training neural networks for experimental validation, Data analysis and statistical modeling</t>
  </si>
  <si>
    <t xml:space="preserve">U0285</t>
  </si>
  <si>
    <t xml:space="preserve">U0221</t>
  </si>
  <si>
    <t xml:space="preserve">Software Development Student</t>
  </si>
  <si>
    <t xml:space="preserve">Debugging Python code with AI assistance, generating boilerplate code templates, learning JavaScript syntax through AI explanations</t>
  </si>
  <si>
    <t xml:space="preserve">U0279</t>
  </si>
  <si>
    <t xml:space="preserve">Senior Software Developer</t>
  </si>
  <si>
    <t xml:space="preserve">Code review and debugging using AI assistants, automated testing script generation, documentation and comment generation, API integration optimization</t>
  </si>
  <si>
    <t xml:space="preserve">U0222</t>
  </si>
  <si>
    <t xml:space="preserve">Using AI to explain complex concepts like cellular respiration and photosynthesis, generating practice questions for AP Biology exams, summarizing dense textbook chapters into study notes</t>
  </si>
  <si>
    <t xml:space="preserve">U0157</t>
  </si>
  <si>
    <t xml:space="preserve">Literature review and paper summarization, Research paper analysis and concept extraction, Experimental data interpretation and analysis</t>
  </si>
  <si>
    <t xml:space="preserve">U0111</t>
  </si>
  <si>
    <t xml:space="preserve">Drafting marketing copy with AI assistance, generating blog outlines and article summaries, editing and refining written content using AI tools, creating email campaign content</t>
  </si>
  <si>
    <t xml:space="preserve">U0029</t>
  </si>
  <si>
    <t xml:space="preserve">Mathematics Student</t>
  </si>
  <si>
    <t xml:space="preserve">Solving differential equations and linear algebra problems, generating practice exam questions and solutions, explaining complex mathematical concepts through AI-assisted tutorials</t>
  </si>
  <si>
    <t xml:space="preserve">U0199</t>
  </si>
  <si>
    <t xml:space="preserve">AI Customer Support Specialist</t>
  </si>
  <si>
    <t xml:space="preserve">U0083</t>
  </si>
  <si>
    <t xml:space="preserve">Building predictive machine learning models, statistical analysis of large datasets, automating data pipeline workflows, generating insights dashboards for stakeholders</t>
  </si>
  <si>
    <t xml:space="preserve">U0286</t>
  </si>
  <si>
    <t xml:space="preserve">Especialista em Atendimento ao Cliente com IA</t>
  </si>
  <si>
    <t xml:space="preserve">Automatizar respostas de chatbot para FAQ, analisar sentimento de clientes em redes sociais, gerenciar tickets de suporte com priorização inteligente, personalizar recomendações de produtos</t>
  </si>
  <si>
    <t xml:space="preserve">U0188</t>
  </si>
  <si>
    <t xml:space="preserve">History Student</t>
  </si>
  <si>
    <t xml:space="preserve">Literature review and document summarization, Historical timeline creation and fact verification, Research paper outline generation</t>
  </si>
  <si>
    <t xml:space="preserve">U0237</t>
  </si>
  <si>
    <t xml:space="preserve">Customer Experience Manager</t>
  </si>
  <si>
    <t xml:space="preserve">Implementing AI chatbots for customer inquiries, analyzing customer feedback using NLP tools, managing support ticket automation with AI systems</t>
  </si>
  <si>
    <t xml:space="preserve">U0195</t>
  </si>
  <si>
    <t xml:space="preserve">Administrative Executive</t>
  </si>
  <si>
    <t xml:space="preserve">Email automation and drafting with AI writing tools, Data entry and spreadsheet management using AI-powered tools, Document formatting and report generation, Meeting notes transcription and summarization</t>
  </si>
  <si>
    <t xml:space="preserve">U0242</t>
  </si>
  <si>
    <t xml:space="preserve">Email management and scheduling using AI, document formatting and report generation, data entry and spreadsheet organization, customer inquiry responses</t>
  </si>
  <si>
    <t xml:space="preserve">U0250</t>
  </si>
  <si>
    <t xml:space="preserve">Data Science Student</t>
  </si>
  <si>
    <t xml:space="preserve">Generating study summaries from lecture notes, debugging Python code for machine learning assignments, explaining complex statistical concepts and algorithms</t>
  </si>
  <si>
    <t xml:space="preserve">U0216</t>
  </si>
  <si>
    <t xml:space="preserve">Debugging code with AI assistance, Learning new programming frameworks, Writing and testing algorithms, Code optimization and refactoring</t>
  </si>
  <si>
    <t xml:space="preserve">U0193</t>
  </si>
  <si>
    <t xml:space="preserve">Customer Support Specialist / AI Support Operations Manager</t>
  </si>
  <si>
    <t xml:space="preserve">Manages AI-powered chatbot responses for customer inquiries, Analyzes customer sentiment using NLP tools, Optimizes support ticket routing with machine learning algorithms, Trains and monitors AI systems for quality assurance</t>
  </si>
  <si>
    <t xml:space="preserve">U0037</t>
  </si>
  <si>
    <t xml:space="preserve">Drafting advertising copy with AI assistance, Proofreading and editing marketing materials, Generating content ideas for campaigns using AI tools</t>
  </si>
  <si>
    <t xml:space="preserve">U0257</t>
  </si>
  <si>
    <t xml:space="preserve">Desenvolvedora de Sistemas Júnior</t>
  </si>
  <si>
    <t xml:space="preserve">Utilizar GitHub Copilot para autocompletar código, usar ChatGPT para debugar erros em Python, aplicar IA para gerar testes automatizados</t>
  </si>
  <si>
    <t xml:space="preserve">U0143</t>
  </si>
  <si>
    <t xml:space="preserve">Digital Marketing Student</t>
  </si>
  <si>
    <t xml:space="preserve">AI-assisted blog writing and SEO optimization, social media caption generation, video script composition, graphic design concept ideation</t>
  </si>
  <si>
    <t xml:space="preserve">U0086</t>
  </si>
  <si>
    <t xml:space="preserve">Blog post creation using AI writing assistants, social media caption generation, email newsletter drafting, proofreading and editing with grammar tools</t>
  </si>
  <si>
    <t xml:space="preserve">U0161</t>
  </si>
  <si>
    <t xml:space="preserve">Respond to customer inquiries using AI chatbots, analyze sentiment in support tickets with NLP tools, draft personalized customer responses, resolve issues through AI-assisted knowledge bases</t>
  </si>
  <si>
    <t xml:space="preserve">U0214</t>
  </si>
  <si>
    <t xml:space="preserve">Essay composition and refinement, Research paper writing and citation organization, Creative story development and editing</t>
  </si>
  <si>
    <t xml:space="preserve">U0089</t>
  </si>
  <si>
    <t xml:space="preserve">Machine Learning Student</t>
  </si>
  <si>
    <t xml:space="preserve">Debugging Python code with AI pair programming, generating neural network architectures, optimizing algorithm efficiency</t>
  </si>
  <si>
    <t xml:space="preserve">U0181</t>
  </si>
  <si>
    <t xml:space="preserve">Content Manager</t>
  </si>
  <si>
    <t xml:space="preserve">Creating website copy and blog articles with AI writing assistants, generating social media posts and captions, editing and optimizing content for SEO</t>
  </si>
  <si>
    <t xml:space="preserve">U0154</t>
  </si>
  <si>
    <t xml:space="preserve">U0099</t>
  </si>
  <si>
    <t xml:space="preserve">Explaining complex physics concepts, Generating practice problems with solutions, Debugging MATLAB code for simulations</t>
  </si>
  <si>
    <t xml:space="preserve">U0030</t>
  </si>
  <si>
    <t xml:space="preserve">AI Customer Success Manager</t>
  </si>
  <si>
    <t xml:space="preserve">AI-powered chatbot configuration and training, customer sentiment analysis using NLP models, automated ticket classification and routing, customer feedback analysis and reporting</t>
  </si>
  <si>
    <t xml:space="preserve">U0233</t>
  </si>
  <si>
    <t xml:space="preserve">Gerente de Atendimento ao Cliente</t>
  </si>
  <si>
    <t xml:space="preserve">Implementar chatbots para respostas automáticas, supervisionar equipe de suporte via AI analytics, analisar satisfação de clientes com ferramentas de IA</t>
  </si>
  <si>
    <t xml:space="preserve">U0076</t>
  </si>
  <si>
    <t xml:space="preserve">Creative Writing Student</t>
  </si>
  <si>
    <t xml:space="preserve">Essay structuring and outlining, narrative development and storytelling, grammar checking and style refinement, research paper organization</t>
  </si>
  <si>
    <t xml:space="preserve">U0011</t>
  </si>
  <si>
    <t xml:space="preserve">AI chatbot response review and optimization, automated ticket categorization and routing, customer sentiment analysis using AI tools, knowledge base article generation</t>
  </si>
  <si>
    <t xml:space="preserve">U0093</t>
  </si>
  <si>
    <t xml:space="preserve">Debugging code with AI assistance, generating boilerplate code for projects, learning new programming concepts through AI explanations, optimizing algorithms</t>
  </si>
  <si>
    <t xml:space="preserve">U0244</t>
  </si>
  <si>
    <t xml:space="preserve">Generating practice problem sets, debugging Python code, summarizing research papers, creating study guides for exams</t>
  </si>
  <si>
    <t xml:space="preserve">U0017</t>
  </si>
  <si>
    <t xml:space="preserve">Debugging code with AI assistance, generating code snippets for assignments, learning programming concepts through AI-powered tutorials</t>
  </si>
  <si>
    <t xml:space="preserve">U0100</t>
  </si>
  <si>
    <t xml:space="preserve">Literature review automation, research paper summarization, data analysis and visualization, academic source discovery and organization</t>
  </si>
  <si>
    <t xml:space="preserve">U0189</t>
  </si>
  <si>
    <t xml:space="preserve">Using ChatGPT to explain statistical concepts, generating practice problems with Python code examples, summarizing research papers for assignments</t>
  </si>
  <si>
    <t xml:space="preserve">U0063</t>
  </si>
  <si>
    <t xml:space="preserve">Essay drafting and brainstorming, grammar checking and proofreading, creative writing prompt generation</t>
  </si>
  <si>
    <t xml:space="preserve">U0047</t>
  </si>
  <si>
    <t xml:space="preserve">Computer Science PhD Student</t>
  </si>
  <si>
    <t xml:space="preserve">Debugging code with AI assistance, Generating boilerplate code and snippets, Optimizing algorithms and performance</t>
  </si>
  <si>
    <t xml:space="preserve">U0144</t>
  </si>
  <si>
    <t xml:space="preserve">Writing and debugging Python code using GitHub Copilot, generating SQL queries with AI assistants, code optimization and refactoring suggestions</t>
  </si>
  <si>
    <t xml:space="preserve">U0001</t>
  </si>
  <si>
    <t xml:space="preserve">Analyzing customer sales trends with Python, generating automated reports using Power BI, cleaning and organizing spreadsheet data</t>
  </si>
  <si>
    <t xml:space="preserve">U0236</t>
  </si>
  <si>
    <t xml:space="preserve">Senior Research Scientist</t>
  </si>
  <si>
    <t xml:space="preserve">Literature review using AI-powered academic databases, predictive data analysis with machine learning algorithms, research paper summarization and content extraction, hypothesis validation through automated statistical modeling</t>
  </si>
  <si>
    <t xml:space="preserve">U0052</t>
  </si>
  <si>
    <t xml:space="preserve">Literature review organization, Academic paper summarization, Statistical data analysis, Research source evaluation</t>
  </si>
  <si>
    <t xml:space="preserve">U0024</t>
  </si>
  <si>
    <t xml:space="preserve">Writing social media captions and posts, Generating video scripts and outlines, Creating blog post ideas and content drafts</t>
  </si>
  <si>
    <t xml:space="preserve">U0006</t>
  </si>
  <si>
    <t xml:space="preserve">Content Creator/Gestor de Conteúdo Digital</t>
  </si>
  <si>
    <t xml:space="preserve">Generating social media posts with AI writing tools, creating blog content and SEO optimization, producing video scripts and editing with AI assistance, designing graphics and visual content using AI image generators</t>
  </si>
  <si>
    <t xml:space="preserve">U0187</t>
  </si>
  <si>
    <t xml:space="preserve">Debugging Python code, generating SQL queries, writing HTML/CSS for web projects, optimizing algorithm efficiency</t>
  </si>
  <si>
    <t xml:space="preserve">U0056</t>
  </si>
  <si>
    <t xml:space="preserve">Junior Web Developer</t>
  </si>
  <si>
    <t xml:space="preserve">Using AI code generation tools to write HTML/CSS templates, debugging PHP code with AI assistance, automating SQL query optimization for database functions</t>
  </si>
  <si>
    <t xml:space="preserve">U0182</t>
  </si>
  <si>
    <t xml:space="preserve">Essay drafting and editing, creative story development, grammar checking and proofreading</t>
  </si>
  <si>
    <t xml:space="preserve">U0078</t>
  </si>
  <si>
    <t xml:space="preserve">Data cleaning and preprocessing, Statistical analysis and visualization, Building predictive models with machine learning algorithms</t>
  </si>
  <si>
    <t xml:space="preserve">U0041</t>
  </si>
  <si>
    <t xml:space="preserve">AI-powered social media content generation, blog post writing and SEO optimization, graphic design ideation with AI tools, video script creation and editing</t>
  </si>
  <si>
    <t xml:space="preserve">U0230</t>
  </si>
  <si>
    <t xml:space="preserve">Kundenbetreuerin mit KI-Unterstützung</t>
  </si>
  <si>
    <t xml:space="preserve">Automatisierte E-Mail-Beantwortung mit KI-Chatbots, Ticketklassifizierung und Priorisierung, Live-Chat-Support mit KI-Textvorschlägen, Kundenprobleme analysieren und Lösungen dokumentieren</t>
  </si>
  <si>
    <t xml:space="preserve">U0178</t>
  </si>
  <si>
    <t xml:space="preserve">U0272</t>
  </si>
  <si>
    <t xml:space="preserve">Literature review and survey compilation, Statistical data analysis and visualization, Research paper summarization and citation tracking</t>
  </si>
  <si>
    <t xml:space="preserve">U0253</t>
  </si>
  <si>
    <t xml:space="preserve">Responding to customer inquiries using AI-powered chatbots, analyzing customer feedback with sentiment analysis tools, drafting personalized support responses, resolving billing issues</t>
  </si>
  <si>
    <t xml:space="preserve">U0045</t>
  </si>
  <si>
    <t xml:space="preserve">Code review and optimization using AI assistants, debugging complex algorithms with AI-powered tools, automated testing and code generation, documentation writing with AI support</t>
  </si>
  <si>
    <t xml:space="preserve">U0042</t>
  </si>
  <si>
    <t xml:space="preserve">Using AI to summarize lecture notes, generating practice exam questions, researching case studies for assignments</t>
  </si>
  <si>
    <t xml:space="preserve">U0150</t>
  </si>
  <si>
    <t xml:space="preserve">Drafting blog posts and articles using AI writing assistants, Editing and proofreading client documents with AI tools, Creating marketing copy and social media content</t>
  </si>
  <si>
    <t xml:space="preserve">U0023</t>
  </si>
  <si>
    <t xml:space="preserve">Essay structuring and outlining, grammar checking and proofreading, research paper organization, creative writing brainstorming</t>
  </si>
  <si>
    <t xml:space="preserve">U0126</t>
  </si>
  <si>
    <t xml:space="preserve">Pesquisador Sênior em Inteligência Artificial e Ciência de Dados</t>
  </si>
  <si>
    <t xml:space="preserve">Análise de grandes volumes de dados com modelos de machine learning, Desenvolvimento de algoritmos para processamento de linguagem natural, Otimização de modelos preditivos para pesquisa acadêmica</t>
  </si>
  <si>
    <t xml:space="preserve">U0119</t>
  </si>
  <si>
    <t xml:space="preserve">Analyzing customer behavior patterns using Python and Pandas, Creating automated dashboards with Power BI, Mining sales data to identify trends and anomalies</t>
  </si>
  <si>
    <t xml:space="preserve">U0082</t>
  </si>
  <si>
    <t xml:space="preserve">Technical Writer</t>
  </si>
  <si>
    <t xml:space="preserve">Drafting technical documentation with AI assistance, editing and refining content for clarity, generating user guides and manuals, collaborating with teams on writing projects</t>
  </si>
  <si>
    <t xml:space="preserve">U0104</t>
  </si>
  <si>
    <t xml:space="preserve">Literature review automation, research paper summarization, data analysis for experiments, thesis writing assistance</t>
  </si>
  <si>
    <t xml:space="preserve">U0101</t>
  </si>
  <si>
    <t xml:space="preserve">Literature review automation, data analysis for lab experiments, peer-reviewed article summarization, research paper writing assistance</t>
  </si>
  <si>
    <t xml:space="preserve">U0085</t>
  </si>
  <si>
    <t xml:space="preserve">Theoretical Physics Student</t>
  </si>
  <si>
    <t xml:space="preserve">Generating practice problems for quantum mechanics, Getting explanations for complex mathematical proofs, Creating study summaries from research papers, Preparing for physics competitions</t>
  </si>
  <si>
    <t xml:space="preserve">U0074</t>
  </si>
  <si>
    <t xml:space="preserve">Literature review compilation, data collection and organization, competitor analysis, market trend research</t>
  </si>
  <si>
    <t xml:space="preserve">U0148</t>
  </si>
  <si>
    <t xml:space="preserve">Using AI to generate study notes from textbooks, getting help with math problem solutions, practicing English language comprehension with AI writing feedback</t>
  </si>
  <si>
    <t xml:space="preserve">U0004</t>
  </si>
  <si>
    <t xml:space="preserve">Using AI for coding homework assistance, practice problem solutions, debugging Python scripts, studying for Data Structures exams</t>
  </si>
  <si>
    <t xml:space="preserve">U0166</t>
  </si>
  <si>
    <t xml:space="preserve">Biomedical Science Student</t>
  </si>
  <si>
    <t xml:space="preserve">Using AI to generate study summaries of complex biochemical pathways, asking ChatGPT to explain lab report findings, generating practice exam questions for molecular biology assessments</t>
  </si>
  <si>
    <t xml:space="preserve">U0224</t>
  </si>
  <si>
    <t xml:space="preserve">Physics Student</t>
  </si>
  <si>
    <t xml:space="preserve">Using AI for solving complex physics problems, generating practice questions for JEE preparation, translating physics concepts into simpler explanations</t>
  </si>
  <si>
    <t xml:space="preserve">U0277</t>
  </si>
  <si>
    <t xml:space="preserve">Essay structuring and outlining, grammar and clarity checking, creative writing feedback and refinement, research paper organization</t>
  </si>
  <si>
    <t xml:space="preserve">U0129</t>
  </si>
  <si>
    <t xml:space="preserve">Essay structuring and brainstorming, Grammar and style checking, Research paper organization, Creative writing feedback and revision</t>
  </si>
  <si>
    <t xml:space="preserve">U0156</t>
  </si>
  <si>
    <t xml:space="preserve">Artificial Intelligence &amp; Digital Media Student</t>
  </si>
  <si>
    <t xml:space="preserve">U0033</t>
  </si>
  <si>
    <t xml:space="preserve">Using AI to explain complex biological concepts, generating practice questions for exams, summarizing textbook chapters</t>
  </si>
  <si>
    <t xml:space="preserve">U0213</t>
  </si>
  <si>
    <t xml:space="preserve">German Literature and Comparative Studies Student</t>
  </si>
  <si>
    <t xml:space="preserve">Essay drafting and structuring, Literature analysis and research assistance, Creative writing feedback and editing</t>
  </si>
  <si>
    <t xml:space="preserve">U0208</t>
  </si>
  <si>
    <t xml:space="preserve">Creating social media captions and posts, Generating blog content outlines, Editing and enhancing product photos for e-commerce posts</t>
  </si>
  <si>
    <t xml:space="preserve">U0168</t>
  </si>
  <si>
    <t xml:space="preserve">Analista de Dados Sênior</t>
  </si>
  <si>
    <t xml:space="preserve">Análise preditiva de tendências de mercado com Machine Learning, processamento e limpeza de grandes volumes de dados com Python/SQL, criação de dashboards interativos em Power BI, relatórios automáticos de KPIs</t>
  </si>
  <si>
    <t xml:space="preserve">U0087</t>
  </si>
  <si>
    <t xml:space="preserve">Digital Media &amp; Film Production Student</t>
  </si>
  <si>
    <t xml:space="preserve">Video editing with AI-assisted color grading, Generating background music and sound design, Creating AI-enhanced visual effects, Writing and scripting video content</t>
  </si>
  <si>
    <t xml:space="preserve">U0175</t>
  </si>
  <si>
    <t xml:space="preserve">AI Content Strategist</t>
  </si>
  <si>
    <t xml:space="preserve">Generating blog articles and marketing copy with AI writing tools, creating social media content calendars, producing video scripts and editing with AI-assisted tools</t>
  </si>
  <si>
    <t xml:space="preserve">U0180</t>
  </si>
  <si>
    <t xml:space="preserve">Statistical modeling and hypothesis testing with Python/R, Machine learning model development for predictive analytics, Automated data visualization and reporting with Power BI</t>
  </si>
  <si>
    <t xml:space="preserve">U0284</t>
  </si>
  <si>
    <t xml:space="preserve">Softwareentwicklerin (Software Developer)</t>
  </si>
  <si>
    <t xml:space="preserve">Code generation and debugging with AI assistants, automated testing and code quality analysis, documentation generation from code, rapid prototyping of features</t>
  </si>
  <si>
    <t xml:space="preserve">U0020</t>
  </si>
  <si>
    <t xml:space="preserve">Brainstorming story concepts and plot outlines, refining essay drafts and academic papers, generating dialogue for fiction projects, editing and proofreading written content</t>
  </si>
  <si>
    <t xml:space="preserve">U0169</t>
  </si>
  <si>
    <t xml:space="preserve">Digital Content Creator / Social Media Manager</t>
  </si>
  <si>
    <t xml:space="preserve">U0153</t>
  </si>
  <si>
    <t xml:space="preserve">Debugging code with AI assistance, generating code snippets for assignments, learning new programming languages and frameworks</t>
  </si>
  <si>
    <t xml:space="preserve">U0079</t>
  </si>
  <si>
    <t xml:space="preserve">Generating practice problems and solutions for thermodynamics assignments, Using AI to explain complex calculus concepts, Debugging Python code for computational mechanics projects</t>
  </si>
  <si>
    <t xml:space="preserve">U0106</t>
  </si>
  <si>
    <t xml:space="preserve">Processing customer inquiries with AI chatbot automation, analysing customer feedback sentiment using AI tools, training support team on AI-assisted ticketing systems</t>
  </si>
  <si>
    <t xml:space="preserve">U0241</t>
  </si>
  <si>
    <t xml:space="preserve">Using AI to generate practice exam questions, getting help understanding complex concepts like cellular respiration, summarizing textbook chapters for study notes</t>
  </si>
  <si>
    <t xml:space="preserve">U0151</t>
  </si>
  <si>
    <t xml:space="preserve">Code review and debugging using AI assistants, automated test case generation, documentation and code commenting automation, performance optimization recommendations</t>
  </si>
  <si>
    <t xml:space="preserve">U0072</t>
  </si>
  <si>
    <t xml:space="preserve">U0245</t>
  </si>
  <si>
    <t xml:space="preserve">Email management and scheduling, document preparation using word processors, data entry and spreadsheet management, basic report generation</t>
  </si>
  <si>
    <t xml:space="preserve">U0172</t>
  </si>
  <si>
    <t xml:space="preserve">Essay structuring and outlining, grammar checking and proofreading, research paper organization, creative writing feedback</t>
  </si>
  <si>
    <t xml:space="preserve">U0133</t>
  </si>
  <si>
    <t xml:space="preserve">Biomedical Engineering Student</t>
  </si>
  <si>
    <t xml:space="preserve">Literature review analysis using AI research tools, thesis data interpretation and statistical analysis, scientific paper summarization and citation management, research proposal optimization</t>
  </si>
  <si>
    <t xml:space="preserve">U0282</t>
  </si>
  <si>
    <t xml:space="preserve">Literature review automation, data analysis and visualization, competitor intelligence gathering, research report generation</t>
  </si>
  <si>
    <t xml:space="preserve">U0025</t>
  </si>
  <si>
    <t xml:space="preserve">Literature review and source analysis, Data interpretation and visualization for research projects, Academic paper summarization and synthesis</t>
  </si>
  <si>
    <t xml:space="preserve">U0122</t>
  </si>
  <si>
    <t xml:space="preserve">Psychology Student</t>
  </si>
  <si>
    <t xml:space="preserve">Literature review summarization, research paper analysis, data interpretation assistance, study methodology research</t>
  </si>
  <si>
    <t xml:space="preserve">U0031</t>
  </si>
  <si>
    <t xml:space="preserve">Literature review and paper summarization, Lab data analysis and statistical interpretation, Research methodology planning and protocol development</t>
  </si>
  <si>
    <t xml:space="preserve">U0062</t>
  </si>
  <si>
    <t xml:space="preserve">Analyzing research papers with AI summaries, Debugging Python code for machine learning projects, Preparing for statistical analysis exams using AI tutoring</t>
  </si>
  <si>
    <t xml:space="preserve">U0058</t>
  </si>
  <si>
    <t xml:space="preserve">Datenanalyst</t>
  </si>
  <si>
    <t xml:space="preserve">Cleaning and organizing Excel datasets, Creating data visualizations with Power BI, Generating reports from business metrics using SQL queries</t>
  </si>
  <si>
    <t xml:space="preserve">U0173</t>
  </si>
  <si>
    <t xml:space="preserve">Debugging code using AI-assisted tools, Generating boilerplate code with GitHub Copilot, Code review and optimization with AI suggestions, Writing unit tests using AI pair programming</t>
  </si>
  <si>
    <t xml:space="preserve">U0003</t>
  </si>
  <si>
    <t xml:space="preserve">Statistical analysis of research datasets, Data visualization and interpretation, Machine learning model training and evaluation, Predictive analytics for academic projects</t>
  </si>
  <si>
    <t xml:space="preserve">U0260</t>
  </si>
  <si>
    <t xml:space="preserve">Biotechnology PhD Student</t>
  </si>
  <si>
    <t xml:space="preserve">Research paper summarization and literature review, experimental data analysis and visualization, thesis writing and citation management, concept clarification through AI tutoring</t>
  </si>
  <si>
    <t xml:space="preserve">U0117</t>
  </si>
  <si>
    <t xml:space="preserve">Generating study summaries from lecture notes, solving complex problem sets with AI guidance, creating visual diagrams for anatomy concepts</t>
  </si>
  <si>
    <t xml:space="preserve">U0280</t>
  </si>
  <si>
    <t xml:space="preserve">Debugging Python code with AI assistance, generating code snippets for machine learning projects, optimizing algorithm performance, documenting technical solutions</t>
  </si>
  <si>
    <t xml:space="preserve">U0163</t>
  </si>
  <si>
    <t xml:space="preserve">Literature review synthesis using AI-powered databases, data analysis and pattern identification with machine learning models, research hypothesis testing and statistical validation</t>
  </si>
  <si>
    <t xml:space="preserve">U0019</t>
  </si>
  <si>
    <t xml:space="preserve">Développeur Logiciel (Software Developer)</t>
  </si>
  <si>
    <t xml:space="preserve">Debugging code with AI-assisted analysis, auto-completing code functions, generating unit test cases with AI tools</t>
  </si>
  <si>
    <t xml:space="preserve">U0115</t>
  </si>
  <si>
    <t xml:space="preserve">Automating data analysis with AI tools, generating reports using AI writing assistants, analyzing market trends with AI analytics platforms</t>
  </si>
  <si>
    <t xml:space="preserve">U0160</t>
  </si>
  <si>
    <t xml:space="preserve">Electronics and Communication Engineering Student</t>
  </si>
  <si>
    <t xml:space="preserve">Income extreme outlier, blanked</t>
  </si>
  <si>
    <t xml:space="preserve">Literature review on emerging technologies, Data analysis for lab experiments, Creating research presentations with AI summarization, Organizing and citing research papers</t>
  </si>
  <si>
    <t xml:space="preserve">U0048</t>
  </si>
  <si>
    <t xml:space="preserve">Draft blog posts and marketing copy with AI writing assistants, Generate email campaign content, Edit and refine AI-generated social media posts</t>
  </si>
  <si>
    <t xml:space="preserve">U0112</t>
  </si>
  <si>
    <t xml:space="preserve">Essay outlining and structure planning, grammar and style checking, brainstorming essay arguments, citation formatting assistance</t>
  </si>
  <si>
    <t xml:space="preserve">U0012</t>
  </si>
  <si>
    <t xml:space="preserve">Développeur Full Stack Junior</t>
  </si>
  <si>
    <t xml:space="preserve">Generating code snippets with GitHub Copilot, debugging Python scripts using AI pair programming, optimizing SQL queries with AI assistance</t>
  </si>
  <si>
    <t xml:space="preserve">U0204</t>
  </si>
  <si>
    <t xml:space="preserve">Senior Software Engineer / AI Systems Developer</t>
  </si>
  <si>
    <t xml:space="preserve">Developing machine learning models for code optimization, Automating code generation and refactoring using AI, Debugging complex algorithms with AI-assisted analysis</t>
  </si>
  <si>
    <t xml:space="preserve">U0091</t>
  </si>
  <si>
    <t xml:space="preserve">Essay drafting and brainstorming, grammar checking and proofreading, research paper outline generation, creative writing feedback</t>
  </si>
  <si>
    <t xml:space="preserve">U0266</t>
  </si>
  <si>
    <t xml:space="preserve">Research Scientist / Data Analyst</t>
  </si>
  <si>
    <t xml:space="preserve">Automated report generation using AI, Data analysis and visualization with machine learning, Document processing and knowledge management, Research paper summarization and literature review automation</t>
  </si>
  <si>
    <t xml:space="preserve">U0018</t>
  </si>
  <si>
    <t xml:space="preserve">Content Strategist</t>
  </si>
  <si>
    <t xml:space="preserve">Using AI for blog drafting, editing article copy with grammar tools, generating content outlines</t>
  </si>
  <si>
    <t xml:space="preserve">U0128</t>
  </si>
  <si>
    <t xml:space="preserve">Software Developer (Diploma Qualified)</t>
  </si>
  <si>
    <t xml:space="preserve">Code debugging with AI assistants, generating boilerplate code snippets, optimizing legacy application code, testing and validating code functionality</t>
  </si>
  <si>
    <t xml:space="preserve">U0005</t>
  </si>
  <si>
    <t xml:space="preserve">AI-powered blog post generation and optimization, creating marketing copy using AI writing assistants, designing social media content calendars with AI recommendations</t>
  </si>
  <si>
    <t xml:space="preserve">U0210</t>
  </si>
  <si>
    <t xml:space="preserve">Summarizing research papers for assignments, generating study guides from lecture notes, creating practice questions for exams</t>
  </si>
  <si>
    <t xml:space="preserve">U0218</t>
  </si>
  <si>
    <t xml:space="preserve">Desenvolvedor de Sistemas Junior</t>
  </si>
  <si>
    <t xml:space="preserve">Escrever código Python e JavaScript com assistência de IA, debugar aplicações usando ferramentas de análise de código, otimizar queries de banco de dados com sugestões de IA</t>
  </si>
  <si>
    <t xml:space="preserve">U0038</t>
  </si>
  <si>
    <t xml:space="preserve">Essay writing and structure planning, Grammar checking and proofreading, Creative writing brainstorming, Citation and referencing assistance</t>
  </si>
  <si>
    <t xml:space="preserve">U0064</t>
  </si>
  <si>
    <t xml:space="preserve">Using AI for programming problem solving, generating practice exam questions, explaining complex machine learning concepts, summarizing research papers</t>
  </si>
  <si>
    <t xml:space="preserve">U0185</t>
  </si>
  <si>
    <t xml:space="preserve">Video editing and effects using AI tools, AI-assisted scriptwriting for YouTube content, AI image generation for social media graphics, audio enhancement and voiceover synthesis</t>
  </si>
  <si>
    <t xml:space="preserve">U0273</t>
  </si>
  <si>
    <t xml:space="preserve">Creating social media graphics and promotional videos, writing blog posts and articles with AI assistance, designing visual content for class projects</t>
  </si>
  <si>
    <t xml:space="preserve">U0247</t>
  </si>
  <si>
    <t xml:space="preserve">Data Analyst / Business Intelligence Specialist</t>
  </si>
  <si>
    <t xml:space="preserve">Cleaning and preprocessing datasets using Python and SQL, Building predictive models with machine learning libraries, Creating automated dashboards and reports with Power BI or Tableau, Performing statistical analysis and A/B testing</t>
  </si>
  <si>
    <t xml:space="preserve">U0220</t>
  </si>
  <si>
    <t xml:space="preserve">Assistente Administrativo</t>
  </si>
  <si>
    <t xml:space="preserve">Email management and scheduling with AI assistance, Document organization and data entry using AI tools, Budget tracking and spreadsheet analysis, Report generation and formatting</t>
  </si>
  <si>
    <t xml:space="preserve">U0050</t>
  </si>
  <si>
    <t xml:space="preserve">Drafting blog posts and articles using AI writing assistants, proofreading and editing content with grammar tools, generating social media copy and captions</t>
  </si>
  <si>
    <t xml:space="preserve">U0190</t>
  </si>
  <si>
    <t xml:space="preserve">AI-assisted article writing and SEO optimization, social media content generation, automated copywriting for marketing campaigns, AI-powered image and graphic content creation</t>
  </si>
  <si>
    <t xml:space="preserve">U0249</t>
  </si>
  <si>
    <t xml:space="preserve">Debugging code with AI-assisted error detection, writing automated unit tests using AI code generation, refactoring legacy code with AI suggestions</t>
  </si>
  <si>
    <t xml:space="preserve">U0124</t>
  </si>
  <si>
    <t xml:space="preserve">Digital Marketing Manager</t>
  </si>
  <si>
    <t xml:space="preserve">Writing blog posts and articles using AI writing tools, designing social media content with AI image generators, creating video scripts and editing content using AI-assisted tools</t>
  </si>
  <si>
    <t xml:space="preserve">U0196</t>
  </si>
  <si>
    <t xml:space="preserve">Essay drafting and structuring, grammar and syntax correction, research paper organization, creative writing brainstorming</t>
  </si>
  <si>
    <t xml:space="preserve">U0053</t>
  </si>
  <si>
    <t xml:space="preserve">Psychology Research Student</t>
  </si>
  <si>
    <t xml:space="preserve">Literature review analysis, Research paper summarization, Data interpretation assistance, Survey analysis</t>
  </si>
  <si>
    <t xml:space="preserve">U0240</t>
  </si>
  <si>
    <t xml:space="preserve">Debugging Python code with AI assistance, Generating boilerplate code for data preprocessing, Optimizing neural network architectures</t>
  </si>
  <si>
    <t xml:space="preserve">U0212</t>
  </si>
  <si>
    <t xml:space="preserve">Time saved exceeds weekly AI hours (kept)</t>
  </si>
  <si>
    <t xml:space="preserve">Creating social media content using AI writing tools, Generating blog post outlines and scripts for YouTube videos, Designing graphics and promotional materials with AI image generators</t>
  </si>
  <si>
    <t xml:space="preserve">U0155</t>
  </si>
  <si>
    <t xml:space="preserve">Drafting blog articles and web copy with AI assistance, proofreading and editing content generated by language models, optimizing written materials for SEO using AI tools</t>
  </si>
  <si>
    <t xml:space="preserve">U0013</t>
  </si>
  <si>
    <t xml:space="preserve">Writing JavaScript code with AI code completion, debugging Python scripts using AI-powered error analysis, generating HTML/CSS templates with AI assistance</t>
  </si>
  <si>
    <t xml:space="preserve">U0139</t>
  </si>
  <si>
    <t xml:space="preserve">Digital Content Writer</t>
  </si>
  <si>
    <t xml:space="preserve">Writing blog posts and articles using AI writing assistants, Creating social media content with AI tools, Generating product descriptions for e-commerce platforms</t>
  </si>
  <si>
    <t xml:space="preserve">U0275</t>
  </si>
  <si>
    <t xml:space="preserve">Statistics Student</t>
  </si>
  <si>
    <t xml:space="preserve">Analyzing survey datasets using Python, Creating data visualizations with matplotlib and seaborn, Performing statistical hypothesis testing on project data</t>
  </si>
  <si>
    <t xml:space="preserve">U0105</t>
  </si>
  <si>
    <t xml:space="preserve">U0065</t>
  </si>
  <si>
    <t xml:space="preserve">Explaining complex physics concepts, solving differential equations, generating study guides for thermodynamics and dynamics modules, debugging Python code for engineering simulations</t>
  </si>
  <si>
    <t xml:space="preserve">U0080</t>
  </si>
  <si>
    <t xml:space="preserve">Debugging code with AI assistance, Learning Python syntax, Building small projects with AI pair programming</t>
  </si>
  <si>
    <t xml:space="preserve">U0261</t>
  </si>
  <si>
    <t xml:space="preserve">Debugging code with AI assistance, generating boilerplate code for projects, learning new programming languages and frameworks</t>
  </si>
  <si>
    <t xml:space="preserve">U0015</t>
  </si>
  <si>
    <t xml:space="preserve">Using AI chatbots to explain complex business concepts, generating study notes from textbooks, practicing for economics exams with AI-generated practice questions</t>
  </si>
  <si>
    <t xml:space="preserve">U0090</t>
  </si>
  <si>
    <t xml:space="preserve">Literature review summarization, data analysis for lab reports, generating research outlines, fact-checking sources for school projects</t>
  </si>
  <si>
    <t xml:space="preserve">U0123</t>
  </si>
  <si>
    <t xml:space="preserve">Literature review on medical devices, analyzing research papers using AI summaries, conducting computational analysis of biological data, organizing and citing academic sources</t>
  </si>
  <si>
    <t xml:space="preserve">U0103</t>
  </si>
  <si>
    <t xml:space="preserve">Handling customer inquiries via AI chatbots, resolving complaints using AI-powered ticketing systems, processing refunds and returns with AI assistance</t>
  </si>
  <si>
    <t xml:space="preserve">U0265</t>
  </si>
  <si>
    <t xml:space="preserve">AI-assisted blog post creation, email copywriting with AI tools, social media content generation, SEO-optimized article drafting</t>
  </si>
  <si>
    <t xml:space="preserve">U0051</t>
  </si>
  <si>
    <t xml:space="preserve">Summarizing course lecture notes, generating practice questions for exams, translating academic articles into simpler terms, proofreading and organizing assignment drafts</t>
  </si>
  <si>
    <t xml:space="preserve">U0281</t>
  </si>
  <si>
    <t xml:space="preserve">Essay structuring and outlining, Research paper writing assistance, Academic content proofreading and editing, Creative writing feedback generation</t>
  </si>
  <si>
    <t xml:space="preserve">U0206</t>
  </si>
  <si>
    <t xml:space="preserve">Literature Student</t>
  </si>
  <si>
    <t xml:space="preserve">Essay drafting and structuring, Grammar and style checking for academic papers, Creative writing brainstorming and editing</t>
  </si>
  <si>
    <t xml:space="preserve">U0262</t>
  </si>
  <si>
    <t xml:space="preserve">Essay drafting and structure planning, Grammar checking and proofreading, Research paper summarization, Creative writing feedback and refinement</t>
  </si>
  <si>
    <t xml:space="preserve">U0235</t>
  </si>
  <si>
    <t xml:space="preserve">AI-assisted article writing, generating blog post outlines, proofreading and editing content using AI tools, creating marketing copy</t>
  </si>
  <si>
    <t xml:space="preserve">U0142</t>
  </si>
  <si>
    <t xml:space="preserve">Generating study summaries from lecture notes, debugging Python code for coursework assignments, explaining complex statistical concepts, creating practice problems for exam preparation</t>
  </si>
  <si>
    <t xml:space="preserve">U0097</t>
  </si>
  <si>
    <t xml:space="preserve">AI-assisted essay structuring, thesis literature review synthesis, manuscript editing and proofreading, dialogue generation for fiction writing</t>
  </si>
  <si>
    <t xml:space="preserve">U0034</t>
  </si>
  <si>
    <t xml:space="preserve">Using AI for essay writing assistance, generating practice problems for programming exercises, creating study notes and summaries from lecture materials</t>
  </si>
  <si>
    <t xml:space="preserve">U0256</t>
  </si>
  <si>
    <t xml:space="preserve">Customer Service Executive</t>
  </si>
  <si>
    <t xml:space="preserve">AI chatbot management for customer inquiries, complaint resolution using AI ticketing systems, customer feedback analysis with AI sentiment analysis tools</t>
  </si>
  <si>
    <t xml:space="preserve">U0110</t>
  </si>
  <si>
    <t xml:space="preserve">Customer Support Executive</t>
  </si>
  <si>
    <t xml:space="preserve">AI chatbot ticket routing, customer complaint analysis and resolution, live chat support with AI assistance, response template generation</t>
  </si>
  <si>
    <t xml:space="preserve">U0270</t>
  </si>
  <si>
    <t xml:space="preserve">Softwareentwickler (Software Developer)</t>
  </si>
  <si>
    <t xml:space="preserve">Code generation and bug fixing with AI assistants, refactoring legacy code, AI-powered code review and optimization</t>
  </si>
  <si>
    <t xml:space="preserve">U0159</t>
  </si>
  <si>
    <t xml:space="preserve">Projektmanagerin (Project Manager)</t>
  </si>
  <si>
    <t xml:space="preserve">Email management and scheduling with AI assistance, automated report generation and data analysis, AI-powered document creation and editing, meeting notes summarization</t>
  </si>
  <si>
    <t xml:space="preserve">U0283</t>
  </si>
  <si>
    <t xml:space="preserve">Building predictive models with Python and scikit-learn, Automating data pipeline creation with AI assistants, Generating business intelligence dashboards and reports, Interpreting complex datasets for stakeholder insights</t>
  </si>
  <si>
    <t xml:space="preserve">U0202</t>
  </si>
  <si>
    <t xml:space="preserve">U0200</t>
  </si>
  <si>
    <t xml:space="preserve">Software Support Technician</t>
  </si>
  <si>
    <t xml:space="preserve">Debugging code with AI assistance, Generating boilerplate code using AI, Code review with automated analysis tools</t>
  </si>
  <si>
    <t xml:space="preserve">U0040</t>
  </si>
  <si>
    <t xml:space="preserve">Writing blog posts and articles using AI writing assistants, generating social media content calendars with AI tools, editing and repurposing video content with AI-powered software</t>
  </si>
  <si>
    <t xml:space="preserve">U0183</t>
  </si>
  <si>
    <t xml:space="preserve">Essay outlining and structure planning, grammar checking and proofreading, creative writing brainstorming, research paper citation formatting</t>
  </si>
  <si>
    <t xml:space="preserve">U0098</t>
  </si>
  <si>
    <t xml:space="preserve">Debugging code with AI assistance, generating boilerplate code, learning new programming frameworks, optimizing algorithm solutions</t>
  </si>
  <si>
    <t xml:space="preserve">U0109</t>
  </si>
  <si>
    <t xml:space="preserve">Debugging Python code with AI assistance, generating HTML/CSS templates for web projects, explaining algorithmic concepts and data structures</t>
  </si>
  <si>
    <t xml:space="preserve">U0170</t>
  </si>
  <si>
    <t xml:space="preserve">Resolving customer inquiries using AI chatbots, analyzing customer feedback with sentiment analysis tools, ticket prioritization using AI systems</t>
  </si>
  <si>
    <t xml:space="preserve">U0068</t>
  </si>
  <si>
    <t xml:space="preserve">Using AI to generate practice questions for exams, translating English scientific articles to Portuguese, summarizing complex biological concepts, creating study guides</t>
  </si>
  <si>
    <t xml:space="preserve">U0077</t>
  </si>
  <si>
    <t xml:space="preserve">Data visualization with charts and graphs, Statistical analysis of survey datasets, Data cleaning and preprocessing, Predictive modeling for business intelligence</t>
  </si>
  <si>
    <t xml:space="preserve">U0203</t>
  </si>
  <si>
    <t xml:space="preserve">Desenvolvedora de Software</t>
  </si>
  <si>
    <t xml:space="preserve">Uso de GitHub Copilot para autocompletar código, refatoração de aplicações com assistência de IA, debugging de erros com ferramentas de análise inteligente</t>
  </si>
  <si>
    <t xml:space="preserve">U0009</t>
  </si>
  <si>
    <t xml:space="preserve">Debugging code with AI assistance, generating boilerplate code templates, learning new programming frameworks, optimizing algorithms</t>
  </si>
  <si>
    <t xml:space="preserve">U0140</t>
  </si>
  <si>
    <t xml:space="preserve">Literature review and paper summarization, experiment data analysis and visualization, hypothesis generation for lab research, scientific journal article organization and annotation</t>
  </si>
  <si>
    <t xml:space="preserve">U0121</t>
  </si>
  <si>
    <t xml:space="preserve">Summarizing academic research papers, generating study guides for exams, brainstorming project ideas, debugging Python code assignments</t>
  </si>
  <si>
    <t xml:space="preserve">U0201</t>
  </si>
  <si>
    <t xml:space="preserve">Essay outlining and structure planning, Grammar and style checking on assignments, Research paper summarization and citation formatting</t>
  </si>
  <si>
    <t xml:space="preserve">U0021</t>
  </si>
  <si>
    <t xml:space="preserve">Code debugging with AI assistance, automated test case generation, SQL query optimization, documentation writing with AI tools</t>
  </si>
  <si>
    <t xml:space="preserve">U0267</t>
  </si>
  <si>
    <t xml:space="preserve">Statistical modeling of biological datasets, machine learning prediction model development, exploratory data analysis of genomic sequences, data visualization and interpretation</t>
  </si>
  <si>
    <t xml:space="preserve">U0044</t>
  </si>
  <si>
    <t xml:space="preserve">Literature review and paper summarization, statistical analysis and data interpretation, research methodology design, thesis data analysis and visualization</t>
  </si>
  <si>
    <t xml:space="preserve">U0276</t>
  </si>
  <si>
    <t xml:space="preserve">Essay drafting and structure planning, grammar checking and proofreading, creative writing prompts for assignments, research paper organization and citation formatting</t>
  </si>
  <si>
    <t xml:space="preserve">U0232</t>
  </si>
  <si>
    <t xml:space="preserve">Analyste de Données / Data Analyst</t>
  </si>
  <si>
    <t xml:space="preserve">Nettoyage et préparation de données avec Python, création de dashboards interactifs sur Power BI, analyse statistique de tendances marché, génération de rapports automatisés avec SQL</t>
  </si>
  <si>
    <t xml:space="preserve">U0252</t>
  </si>
  <si>
    <t xml:space="preserve">Research Scientist</t>
  </si>
  <si>
    <t xml:space="preserve">Literature review analysis using AI tools, Research data synthesis and pattern identification, Experimental hypothesis generation using machine learning models, Scientific paper writing and citation management with AI assistance</t>
  </si>
  <si>
    <t xml:space="preserve">U0145</t>
  </si>
  <si>
    <t xml:space="preserve">Using AI to generate article outlines and research summaries, editing and refining AI-generated copy for brand consistency, creating SEO-optimized content briefs with AI assistance</t>
  </si>
  <si>
    <t xml:space="preserve">U0229</t>
  </si>
  <si>
    <t xml:space="preserve">Essay drafting and editing, creative writing brainstorming, research paper organization, grammar and tone refinement</t>
  </si>
  <si>
    <t xml:space="preserve">U0010</t>
  </si>
  <si>
    <t xml:space="preserve">Blog post creation, email copywriting, social media content drafting, document editing and proofreading</t>
  </si>
  <si>
    <t xml:space="preserve">U0146</t>
  </si>
  <si>
    <t xml:space="preserve">Writing lab reports, studying for exams using AI tutors, organizing research notes</t>
  </si>
  <si>
    <t xml:space="preserve">U0197</t>
  </si>
  <si>
    <t xml:space="preserve">Essay outlining and structure planning, grammar and style checking for assignments, creative writing brainstorming and plot development</t>
  </si>
  <si>
    <t xml:space="preserve">U0186</t>
  </si>
  <si>
    <t xml:space="preserve">Academic Research Professor and Technical Writer</t>
  </si>
  <si>
    <t xml:space="preserve">Drafting research papers and abstracts using AI writing assistants, Editing and refining academic manuscripts for journal submissions, Generating technical documentation and course materials</t>
  </si>
  <si>
    <t xml:space="preserve">U0287</t>
  </si>
  <si>
    <t xml:space="preserve">Generating solved examples for thermodynamics problems, Creating study summaries from lecture notes, Debugging code for programming assignments</t>
  </si>
  <si>
    <t xml:space="preserve">U0147</t>
  </si>
  <si>
    <t xml:space="preserve">Analista de Dados</t>
  </si>
  <si>
    <t xml:space="preserve">U0134</t>
  </si>
  <si>
    <t xml:space="preserve">Generating video scripts and storyboards, Creating AI-enhanced graphics and visual assets, Writing and editing blog posts and social media content</t>
  </si>
  <si>
    <t xml:space="preserve">U0158</t>
  </si>
  <si>
    <t xml:space="preserve">Essay drafting and structuring, grammar and clarity checking, research paper outline generation, creative writing brainstorming</t>
  </si>
  <si>
    <t xml:space="preserve">U0174</t>
  </si>
  <si>
    <t xml:space="preserve">Debugging code errors, generating code snippets in Python and JavaScript, learning programming concepts through AI explanations</t>
  </si>
  <si>
    <t xml:space="preserve">U0066</t>
  </si>
  <si>
    <t xml:space="preserve">Code debugging with AI pair programming tools, automated test generation, code documentation and comments generation</t>
  </si>
  <si>
    <t xml:space="preserve">U0094</t>
  </si>
  <si>
    <t xml:space="preserve">Multimedia Content Producer</t>
  </si>
  <si>
    <t xml:space="preserve">Writing blog articles with AI writing assistants, generating social media graphics and captions using AI design tools, editing video content and creating thumbnails, managing and curating digital content for websites and social platforms</t>
  </si>
  <si>
    <t xml:space="preserve">U0136</t>
  </si>
  <si>
    <t xml:space="preserve">Desenvolvedor de Sistemas (Systems Developer)</t>
  </si>
  <si>
    <t xml:space="preserve">Code debugging and optimization with AI tools, automated test case generation, API development and integration, documentation generation</t>
  </si>
  <si>
    <t xml:space="preserve">U0002</t>
  </si>
  <si>
    <t xml:space="preserve">Automated code generation using AI assistants, debugging and fixing code with AI-powered tools, writing and optimizing SQL queries with AI support</t>
  </si>
  <si>
    <t xml:space="preserve">U0130</t>
  </si>
  <si>
    <t xml:space="preserve">Debugging code with AI-assisted analysis, generating boilerplate code using AI tools, code review and optimization with AI suggestions</t>
  </si>
  <si>
    <t xml:space="preserve">Cleaning log</t>
  </si>
  <si>
    <t xml:space="preserve">What was wrong with the file, what was done about it, and how much of the data it touched.</t>
  </si>
  <si>
    <t xml:space="preserve">Rows in original file</t>
  </si>
  <si>
    <t xml:space="preserve">Rows after removing duplicates</t>
  </si>
  <si>
    <t xml:space="preserve">Columns in original file</t>
  </si>
  <si>
    <t xml:space="preserve">Columns in clean file (added 6)</t>
  </si>
  <si>
    <t xml:space="preserve">Step</t>
  </si>
  <si>
    <t xml:space="preserve">What was done</t>
  </si>
  <si>
    <t xml:space="preserve">Rows / cells affected</t>
  </si>
  <si>
    <t xml:space="preserve">Removed exact duplicate rows</t>
  </si>
  <si>
    <t xml:space="preserve">12 rows were identical copies of another row (same User_ID and all fields)</t>
  </si>
  <si>
    <t xml:space="preserve">Converted Age to a number</t>
  </si>
  <si>
    <t xml:space="preserve">Stripped units/symbols such as "$", "hrs", "yrs" and thousands commas</t>
  </si>
  <si>
    <t xml:space="preserve">Converted Monthly_Income to a number</t>
  </si>
  <si>
    <t xml:space="preserve">Converted AI_Usage_Hours_Per_Day to a number</t>
  </si>
  <si>
    <t xml:space="preserve">Converted Work_or_Study_Hours_Per_Day to a number</t>
  </si>
  <si>
    <t xml:space="preserve">Converted Time_Saved_Hours_Per_Week to a number</t>
  </si>
  <si>
    <t xml:space="preserve">Converted Monthly_AI_Cost to a number</t>
  </si>
  <si>
    <t xml:space="preserve">Standardized Gender</t>
  </si>
  <si>
    <t xml:space="preserve">11 spellings (male, MALE, M, F, FEMALE, Non-binary...) collapsed to Male, Female, Other / Non-binary</t>
  </si>
  <si>
    <t xml:space="preserve">Standardized Country</t>
  </si>
  <si>
    <t xml:space="preserve">Fixed casing (brazil -&gt; Brazil) and merged U.K. and United States of America into the standard names</t>
  </si>
  <si>
    <t xml:space="preserve">Standardized Education_Level</t>
  </si>
  <si>
    <t xml:space="preserve">16 variants reduced to 6 levels: High School, Diploma, Undergraduate, Bachelor's, Master's, PhD (Undergraduate = currently enrolled, kept separate from Bachelor's = completed)</t>
  </si>
  <si>
    <t xml:space="preserve">Standardized AI_Tool</t>
  </si>
  <si>
    <t xml:space="preserve">Merged ChatGPT / chatgpt / Chat GPT, Copilot / Microsoft Copilot, Gemini / Google Gemini, claude / Claude</t>
  </si>
  <si>
    <t xml:space="preserve">Blanked impossible Age</t>
  </si>
  <si>
    <t xml:space="preserve">Age above 90 is not credible for a working professional or a student (found 97 for a student)</t>
  </si>
  <si>
    <t xml:space="preserve">Blanked impossible AI usage</t>
  </si>
  <si>
    <t xml:space="preserve">More than 16 hours per day of AI use (found 23) cannot be right</t>
  </si>
  <si>
    <t xml:space="preserve">Blanked extreme income outlier</t>
  </si>
  <si>
    <t xml:space="preserve">A monthly income of 100,000 or more for a student is far outside every other record, almost certainly a typo</t>
  </si>
  <si>
    <t xml:space="preserve">Flagged, not changed: AI hours exceed work/study hours</t>
  </si>
  <si>
    <t xml:space="preserve">Possible if AI is used outside work or study, so the values are kept and tagged in the Data_Flags column</t>
  </si>
  <si>
    <t xml:space="preserve">Flagged, not changed: time saved exceeds weekly AI hours</t>
  </si>
  <si>
    <t xml:space="preserve">Saved time is larger than total weekly AI use, which is odd but possible; kept and tagged</t>
  </si>
  <si>
    <t xml:space="preserve">Added Profession_Group</t>
  </si>
  <si>
    <t xml:space="preserve">126 free-text job and major titles (some in Portuguese, French, German) grouped into 7 families so they can be charted</t>
  </si>
  <si>
    <t xml:space="preserve">Missing values</t>
  </si>
  <si>
    <t xml:space="preserve">Left blank, never guessed or averaged in. Every summary formula ignores blanks, so averages use only real answers. See the completeness table</t>
  </si>
  <si>
    <t xml:space="preserve">Counts above were measured in Python during cleaning and typed in here. They are a record of what happened, not live formulas.</t>
  </si>
  <si>
    <t xml:space="preserve">Completeness by column (clean file)</t>
  </si>
  <si>
    <t xml:space="preserve">Column</t>
  </si>
  <si>
    <t xml:space="preserve">Blank cells</t>
  </si>
  <si>
    <t xml:space="preserve">% filled</t>
  </si>
  <si>
    <t xml:space="preserve">Notes and assumptions</t>
  </si>
  <si>
    <t xml:space="preserve">Scales are not defined in the source. Productivity and Satisfaction look like 1 to 10, Accuracy looks like 1 to 5. They are treated that way here.</t>
  </si>
  <si>
    <t xml:space="preserve">Monthly_Income has no currency in the source. Values are shown as plain numbers and are not converted.</t>
  </si>
  <si>
    <t xml:space="preserve">Missing answers were left blank, not filled with averages. A blank never counts as zero.</t>
  </si>
  <si>
    <t xml:space="preserve">Data_Flags lists records that look odd but were kept. Only impossible values (age 97, 23 AI hours a day, 250,000 student income) were blanked.</t>
  </si>
  <si>
    <t xml:space="preserve">New columns Age_Group, AI_Share_of_Day, Plan_Type and Hours_Saved_per_AI_Hour are formulas, so they update if a source value is edited.</t>
  </si>
  <si>
    <t xml:space="preserve">Raw_Data is the untouched original, kept for audit.</t>
  </si>
  <si>
    <t xml:space="preserve">AI_Usage_Hours_Per_Day</t>
  </si>
  <si>
    <t xml:space="preserve">Work_or_Study_Hours_Per_Day</t>
  </si>
  <si>
    <t xml:space="preserve">30</t>
  </si>
  <si>
    <t xml:space="preserve">5421</t>
  </si>
  <si>
    <t xml:space="preserve">2 hrs</t>
  </si>
  <si>
    <t xml:space="preserve">5.3</t>
  </si>
  <si>
    <t xml:space="preserve">4</t>
  </si>
  <si>
    <t xml:space="preserve">7</t>
  </si>
  <si>
    <t xml:space="preserve">3.9</t>
  </si>
  <si>
    <t xml:space="preserve">7.3</t>
  </si>
  <si>
    <t xml:space="preserve">8903</t>
  </si>
  <si>
    <t xml:space="preserve">5.7</t>
  </si>
  <si>
    <t xml:space="preserve">0</t>
  </si>
  <si>
    <t xml:space="preserve">9.9</t>
  </si>
  <si>
    <t xml:space="preserve">3</t>
  </si>
  <si>
    <t xml:space="preserve">9</t>
  </si>
  <si>
    <t xml:space="preserve">11.4</t>
  </si>
  <si>
    <t xml:space="preserve">8.4 hrs</t>
  </si>
  <si>
    <t xml:space="preserve">17</t>
  </si>
  <si>
    <t xml:space="preserve">402</t>
  </si>
  <si>
    <t xml:space="preserve">Chat GPT</t>
  </si>
  <si>
    <t xml:space="preserve">1 hrs</t>
  </si>
  <si>
    <t xml:space="preserve">20</t>
  </si>
  <si>
    <t xml:space="preserve">3.2</t>
  </si>
  <si>
    <t xml:space="preserve">2</t>
  </si>
  <si>
    <t xml:space="preserve">5.2</t>
  </si>
  <si>
    <t xml:space="preserve">6.7</t>
  </si>
  <si>
    <t xml:space="preserve">35</t>
  </si>
  <si>
    <t xml:space="preserve">FEMALE</t>
  </si>
  <si>
    <t xml:space="preserve">1367</t>
  </si>
  <si>
    <t xml:space="preserve">1.7</t>
  </si>
  <si>
    <t xml:space="preserve">5.6</t>
  </si>
  <si>
    <t xml:space="preserve">5</t>
  </si>
  <si>
    <t xml:space="preserve">6.4</t>
  </si>
  <si>
    <t xml:space="preserve">9.6</t>
  </si>
  <si>
    <t xml:space="preserve">19</t>
  </si>
  <si>
    <t xml:space="preserve">438</t>
  </si>
  <si>
    <t xml:space="preserve">4.1</t>
  </si>
  <si>
    <t xml:space="preserve">4.7</t>
  </si>
  <si>
    <t xml:space="preserve">9.2</t>
  </si>
  <si>
    <t xml:space="preserve">6.2</t>
  </si>
  <si>
    <t xml:space="preserve">774</t>
  </si>
  <si>
    <t xml:space="preserve">1.5</t>
  </si>
  <si>
    <t xml:space="preserve">6</t>
  </si>
  <si>
    <t xml:space="preserve">2.9</t>
  </si>
  <si>
    <t xml:space="preserve">7.4</t>
  </si>
  <si>
    <t xml:space="preserve">32</t>
  </si>
  <si>
    <t xml:space="preserve">france</t>
  </si>
  <si>
    <t xml:space="preserve">4466</t>
  </si>
  <si>
    <t xml:space="preserve">1.2</t>
  </si>
  <si>
    <t xml:space="preserve">6.6</t>
  </si>
  <si>
    <t xml:space="preserve">486</t>
  </si>
  <si>
    <t xml:space="preserve">6.5</t>
  </si>
  <si>
    <t xml:space="preserve">3.2 hrs</t>
  </si>
  <si>
    <t xml:space="preserve">16</t>
  </si>
  <si>
    <t xml:space="preserve">132</t>
  </si>
  <si>
    <t xml:space="preserve">1.6 hrs</t>
  </si>
  <si>
    <t xml:space="preserve">3.8</t>
  </si>
  <si>
    <t xml:space="preserve">40</t>
  </si>
  <si>
    <t xml:space="preserve">male</t>
  </si>
  <si>
    <t xml:space="preserve">india</t>
  </si>
  <si>
    <t xml:space="preserve">1595</t>
  </si>
  <si>
    <t xml:space="preserve">10</t>
  </si>
  <si>
    <t xml:space="preserve">7.5</t>
  </si>
  <si>
    <t xml:space="preserve">9.4</t>
  </si>
  <si>
    <t xml:space="preserve">36</t>
  </si>
  <si>
    <t xml:space="preserve">856</t>
  </si>
  <si>
    <t xml:space="preserve">chatgpt</t>
  </si>
  <si>
    <t xml:space="preserve">2.7</t>
  </si>
  <si>
    <t xml:space="preserve">8.7</t>
  </si>
  <si>
    <t xml:space="preserve">22</t>
  </si>
  <si>
    <t xml:space="preserve">547</t>
  </si>
  <si>
    <t xml:space="preserve">9.8</t>
  </si>
  <si>
    <t xml:space="preserve">3307</t>
  </si>
  <si>
    <t xml:space="preserve">0.8</t>
  </si>
  <si>
    <t xml:space="preserve">2.3</t>
  </si>
  <si>
    <t xml:space="preserve">0.5</t>
  </si>
  <si>
    <t xml:space="preserve">8</t>
  </si>
  <si>
    <t xml:space="preserve">21</t>
  </si>
  <si>
    <t xml:space="preserve">canada</t>
  </si>
  <si>
    <t xml:space="preserve">387</t>
  </si>
  <si>
    <t xml:space="preserve">5.8</t>
  </si>
  <si>
    <t xml:space="preserve">6.9</t>
  </si>
  <si>
    <t xml:space="preserve">10.2</t>
  </si>
  <si>
    <t xml:space="preserve">4.8</t>
  </si>
  <si>
    <t xml:space="preserve">28</t>
  </si>
  <si>
    <t xml:space="preserve">3117</t>
  </si>
  <si>
    <t xml:space="preserve">8.6</t>
  </si>
  <si>
    <t xml:space="preserve">11.8</t>
  </si>
  <si>
    <t xml:space="preserve">7.6 hrs</t>
  </si>
  <si>
    <t xml:space="preserve">16 yrs</t>
  </si>
  <si>
    <t xml:space="preserve">324</t>
  </si>
  <si>
    <t xml:space="preserve">7.1</t>
  </si>
  <si>
    <t xml:space="preserve">11.6</t>
  </si>
  <si>
    <t xml:space="preserve">3546</t>
  </si>
  <si>
    <t xml:space="preserve">3.4</t>
  </si>
  <si>
    <t xml:space="preserve">23</t>
  </si>
  <si>
    <t xml:space="preserve">109</t>
  </si>
  <si>
    <t xml:space="preserve">3.7</t>
  </si>
  <si>
    <t xml:space="preserve">19.4</t>
  </si>
  <si>
    <t xml:space="preserve">61</t>
  </si>
  <si>
    <t xml:space="preserve">585</t>
  </si>
  <si>
    <t xml:space="preserve">5.4</t>
  </si>
  <si>
    <t xml:space="preserve">9.5</t>
  </si>
  <si>
    <t xml:space="preserve">24</t>
  </si>
  <si>
    <t xml:space="preserve">1977</t>
  </si>
  <si>
    <t xml:space="preserve">0.9</t>
  </si>
  <si>
    <t xml:space="preserve">M</t>
  </si>
  <si>
    <t xml:space="preserve">1.7 hrs</t>
  </si>
  <si>
    <t xml:space="preserve">2.8</t>
  </si>
  <si>
    <t xml:space="preserve">29</t>
  </si>
  <si>
    <t xml:space="preserve">1</t>
  </si>
  <si>
    <t xml:space="preserve">2.6</t>
  </si>
  <si>
    <t xml:space="preserve">444</t>
  </si>
  <si>
    <t xml:space="preserve">7.2</t>
  </si>
  <si>
    <t xml:space="preserve">392</t>
  </si>
  <si>
    <t xml:space="preserve">1.6</t>
  </si>
  <si>
    <t xml:space="preserve">4.5</t>
  </si>
  <si>
    <t xml:space="preserve">7.8</t>
  </si>
  <si>
    <t xml:space="preserve">215</t>
  </si>
  <si>
    <t xml:space="preserve">0.6</t>
  </si>
  <si>
    <t xml:space="preserve">1567</t>
  </si>
  <si>
    <t xml:space="preserve">0.7</t>
  </si>
  <si>
    <t xml:space="preserve">$0 </t>
  </si>
  <si>
    <t xml:space="preserve">4.4</t>
  </si>
  <si>
    <t xml:space="preserve">8.1</t>
  </si>
  <si>
    <t xml:space="preserve">23 yrs</t>
  </si>
  <si>
    <t xml:space="preserve">12.3</t>
  </si>
  <si>
    <t xml:space="preserve">6.8</t>
  </si>
  <si>
    <t xml:space="preserve">10.7</t>
  </si>
  <si>
    <t xml:space="preserve">531</t>
  </si>
  <si>
    <t xml:space="preserve">12.1</t>
  </si>
  <si>
    <t xml:space="preserve">44</t>
  </si>
  <si>
    <t xml:space="preserve">258</t>
  </si>
  <si>
    <t xml:space="preserve">4.6</t>
  </si>
  <si>
    <t xml:space="preserve">334</t>
  </si>
  <si>
    <t xml:space="preserve">2.5</t>
  </si>
  <si>
    <t xml:space="preserve">7.7</t>
  </si>
  <si>
    <t xml:space="preserve">high school</t>
  </si>
  <si>
    <t xml:space="preserve">169</t>
  </si>
  <si>
    <t xml:space="preserve">507</t>
  </si>
  <si>
    <t xml:space="preserve">1.9</t>
  </si>
  <si>
    <t xml:space="preserve">18</t>
  </si>
  <si>
    <t xml:space="preserve">3.3</t>
  </si>
  <si>
    <t xml:space="preserve">4.3</t>
  </si>
  <si>
    <t xml:space="preserve">F</t>
  </si>
  <si>
    <t xml:space="preserve">63</t>
  </si>
  <si>
    <t xml:space="preserve">3.5</t>
  </si>
  <si>
    <t xml:space="preserve">45</t>
  </si>
  <si>
    <t xml:space="preserve">887</t>
  </si>
  <si>
    <t xml:space="preserve">1699</t>
  </si>
  <si>
    <t xml:space="preserve">5.5</t>
  </si>
  <si>
    <t xml:space="preserve">43</t>
  </si>
  <si>
    <t xml:space="preserve">10.1</t>
  </si>
  <si>
    <t xml:space="preserve">5260</t>
  </si>
  <si>
    <t xml:space="preserve">513</t>
  </si>
  <si>
    <t xml:space="preserve">BA/BSc</t>
  </si>
  <si>
    <t xml:space="preserve">2307</t>
  </si>
  <si>
    <t xml:space="preserve">12</t>
  </si>
  <si>
    <t xml:space="preserve">234</t>
  </si>
  <si>
    <t xml:space="preserve">5.1</t>
  </si>
  <si>
    <t xml:space="preserve">8.3</t>
  </si>
  <si>
    <t xml:space="preserve">206</t>
  </si>
  <si>
    <t xml:space="preserve">2.4</t>
  </si>
  <si>
    <t xml:space="preserve">384</t>
  </si>
  <si>
    <t xml:space="preserve">3.1</t>
  </si>
  <si>
    <t xml:space="preserve">7.9</t>
  </si>
  <si>
    <t xml:space="preserve">Gemini</t>
  </si>
  <si>
    <t xml:space="preserve">9.1</t>
  </si>
  <si>
    <t xml:space="preserve">14.9</t>
  </si>
  <si>
    <t xml:space="preserve">34</t>
  </si>
  <si>
    <t xml:space="preserve">5669</t>
  </si>
  <si>
    <t xml:space="preserve">16.3</t>
  </si>
  <si>
    <t xml:space="preserve">198</t>
  </si>
  <si>
    <t xml:space="preserve">190</t>
  </si>
  <si>
    <t xml:space="preserve">8.4</t>
  </si>
  <si>
    <t xml:space="preserve">13.6</t>
  </si>
  <si>
    <t xml:space="preserve">376</t>
  </si>
  <si>
    <t xml:space="preserve">1.3</t>
  </si>
  <si>
    <t xml:space="preserve">other</t>
  </si>
  <si>
    <t xml:space="preserve">3477</t>
  </si>
  <si>
    <t xml:space="preserve">2.2 hrs</t>
  </si>
  <si>
    <t xml:space="preserve">Other</t>
  </si>
  <si>
    <t xml:space="preserve">100</t>
  </si>
  <si>
    <t xml:space="preserve">50</t>
  </si>
  <si>
    <t xml:space="preserve">26</t>
  </si>
  <si>
    <t xml:space="preserve">8.8</t>
  </si>
  <si>
    <t xml:space="preserve">33</t>
  </si>
  <si>
    <t xml:space="preserve">6197</t>
  </si>
  <si>
    <t xml:space="preserve">11</t>
  </si>
  <si>
    <t xml:space="preserve">31</t>
  </si>
  <si>
    <t xml:space="preserve">5355</t>
  </si>
  <si>
    <t xml:space="preserve">11.5</t>
  </si>
  <si>
    <t xml:space="preserve">brazil</t>
  </si>
  <si>
    <t xml:space="preserve">86</t>
  </si>
  <si>
    <t xml:space="preserve">1.4</t>
  </si>
  <si>
    <t xml:space="preserve">62</t>
  </si>
  <si>
    <t xml:space="preserve">13.2</t>
  </si>
  <si>
    <t xml:space="preserve">6.1</t>
  </si>
  <si>
    <t xml:space="preserve">3337</t>
  </si>
  <si>
    <t xml:space="preserve">7.6</t>
  </si>
  <si>
    <t xml:space="preserve">113</t>
  </si>
  <si>
    <t xml:space="preserve">4.2</t>
  </si>
  <si>
    <t xml:space="preserve">21 yrs</t>
  </si>
  <si>
    <t xml:space="preserve">118</t>
  </si>
  <si>
    <t xml:space="preserve">12.4</t>
  </si>
  <si>
    <t xml:space="preserve">6.3</t>
  </si>
  <si>
    <t xml:space="preserve">47 yrs</t>
  </si>
  <si>
    <t xml:space="preserve">1104</t>
  </si>
  <si>
    <t xml:space="preserve">4.9</t>
  </si>
  <si>
    <t xml:space="preserve">552</t>
  </si>
  <si>
    <t xml:space="preserve">0.1</t>
  </si>
  <si>
    <t xml:space="preserve">79</t>
  </si>
  <si>
    <t xml:space="preserve">614</t>
  </si>
  <si>
    <t xml:space="preserve">37</t>
  </si>
  <si>
    <t xml:space="preserve">1404</t>
  </si>
  <si>
    <t xml:space="preserve">302</t>
  </si>
  <si>
    <t xml:space="preserve">0.7 hrs</t>
  </si>
  <si>
    <t xml:space="preserve">4.5 hrs</t>
  </si>
  <si>
    <t xml:space="preserve">5966</t>
  </si>
  <si>
    <t xml:space="preserve">9.3</t>
  </si>
  <si>
    <t xml:space="preserve">MA/MSc</t>
  </si>
  <si>
    <t xml:space="preserve">3610</t>
  </si>
  <si>
    <t xml:space="preserve">1091</t>
  </si>
  <si>
    <t xml:space="preserve">2.6 hrs</t>
  </si>
  <si>
    <t xml:space="preserve">68</t>
  </si>
  <si>
    <t xml:space="preserve">2.1</t>
  </si>
  <si>
    <t xml:space="preserve">5.9</t>
  </si>
  <si>
    <t xml:space="preserve">Ph.D.</t>
  </si>
  <si>
    <t xml:space="preserve">1378</t>
  </si>
  <si>
    <t xml:space="preserve">884</t>
  </si>
  <si>
    <t xml:space="preserve">9.7</t>
  </si>
  <si>
    <t xml:space="preserve">12.8</t>
  </si>
  <si>
    <t xml:space="preserve">39</t>
  </si>
  <si>
    <t xml:space="preserve">3204</t>
  </si>
  <si>
    <t xml:space="preserve">3.6</t>
  </si>
  <si>
    <t xml:space="preserve">557</t>
  </si>
  <si>
    <t xml:space="preserve">9.9 hrs</t>
  </si>
  <si>
    <t xml:space="preserve">16.2</t>
  </si>
  <si>
    <t xml:space="preserve">8.5</t>
  </si>
  <si>
    <t xml:space="preserve">25</t>
  </si>
  <si>
    <t xml:space="preserve">female</t>
  </si>
  <si>
    <t xml:space="preserve">6851</t>
  </si>
  <si>
    <t xml:space="preserve">46</t>
  </si>
  <si>
    <t xml:space="preserve">3159</t>
  </si>
  <si>
    <t xml:space="preserve">4.1 hrs</t>
  </si>
  <si>
    <t xml:space="preserve">3878</t>
  </si>
  <si>
    <t xml:space="preserve">4.8 hrs</t>
  </si>
  <si>
    <t xml:space="preserve">$30 </t>
  </si>
  <si>
    <t xml:space="preserve">8.7 hrs</t>
  </si>
  <si>
    <t xml:space="preserve">1761</t>
  </si>
  <si>
    <t xml:space="preserve">10.5</t>
  </si>
  <si>
    <t xml:space="preserve">25 yrs</t>
  </si>
  <si>
    <t xml:space="preserve">MALE</t>
  </si>
  <si>
    <t xml:space="preserve">2.9 hrs</t>
  </si>
  <si>
    <t xml:space="preserve">2090</t>
  </si>
  <si>
    <t xml:space="preserve">Chatgpt</t>
  </si>
  <si>
    <t xml:space="preserve">Masters</t>
  </si>
  <si>
    <t xml:space="preserve">579</t>
  </si>
  <si>
    <t xml:space="preserve">9.4 hrs</t>
  </si>
  <si>
    <t xml:space="preserve">U.K.</t>
  </si>
  <si>
    <t xml:space="preserve">97</t>
  </si>
  <si>
    <t xml:space="preserve">6779</t>
  </si>
  <si>
    <t xml:space="preserve">11.2</t>
  </si>
  <si>
    <t xml:space="preserve">8205</t>
  </si>
  <si>
    <t xml:space="preserve">1.8</t>
  </si>
  <si>
    <t xml:space="preserve">1575</t>
  </si>
  <si>
    <t xml:space="preserve">54</t>
  </si>
  <si>
    <t xml:space="preserve">2464</t>
  </si>
  <si>
    <t xml:space="preserve">6.8 hrs</t>
  </si>
  <si>
    <t xml:space="preserve">730</t>
  </si>
  <si>
    <t xml:space="preserve">157</t>
  </si>
  <si>
    <t xml:space="preserve">2945</t>
  </si>
  <si>
    <t xml:space="preserve">15.1</t>
  </si>
  <si>
    <t xml:space="preserve">11.3</t>
  </si>
  <si>
    <t xml:space="preserve">366</t>
  </si>
  <si>
    <t xml:space="preserve">$25 </t>
  </si>
  <si>
    <t xml:space="preserve">397</t>
  </si>
  <si>
    <t xml:space="preserve">13.1</t>
  </si>
  <si>
    <t xml:space="preserve">134</t>
  </si>
  <si>
    <t xml:space="preserve">1354</t>
  </si>
  <si>
    <t xml:space="preserve">191</t>
  </si>
  <si>
    <t xml:space="preserve">6399</t>
  </si>
  <si>
    <t xml:space="preserve">126</t>
  </si>
  <si>
    <t xml:space="preserve">47</t>
  </si>
  <si>
    <t xml:space="preserve">2688</t>
  </si>
  <si>
    <t xml:space="preserve">30 yrs</t>
  </si>
  <si>
    <t xml:space="preserve">1262</t>
  </si>
  <si>
    <t xml:space="preserve">15.6 hrs</t>
  </si>
  <si>
    <t xml:space="preserve">4815</t>
  </si>
  <si>
    <t xml:space="preserve">28 yrs</t>
  </si>
  <si>
    <t xml:space="preserve">666</t>
  </si>
  <si>
    <t xml:space="preserve">2.2</t>
  </si>
  <si>
    <t xml:space="preserve">27</t>
  </si>
  <si>
    <t xml:space="preserve">482</t>
  </si>
  <si>
    <t xml:space="preserve">942</t>
  </si>
  <si>
    <t xml:space="preserve">1.3 hrs</t>
  </si>
  <si>
    <t xml:space="preserve">4.9 hrs</t>
  </si>
  <si>
    <t xml:space="preserve">1188</t>
  </si>
  <si>
    <t xml:space="preserve">56</t>
  </si>
  <si>
    <t xml:space="preserve">5 hrs</t>
  </si>
  <si>
    <t xml:space="preserve">137</t>
  </si>
  <si>
    <t xml:space="preserve">1.4 hrs</t>
  </si>
  <si>
    <t xml:space="preserve">1141</t>
  </si>
  <si>
    <t xml:space="preserve">418</t>
  </si>
  <si>
    <t xml:space="preserve">41</t>
  </si>
  <si>
    <t xml:space="preserve">1002</t>
  </si>
  <si>
    <t xml:space="preserve">965</t>
  </si>
  <si>
    <t xml:space="preserve">master's degree</t>
  </si>
  <si>
    <t xml:space="preserve">6171</t>
  </si>
  <si>
    <t xml:space="preserve">192</t>
  </si>
  <si>
    <t xml:space="preserve">United States of America</t>
  </si>
  <si>
    <t xml:space="preserve">4964</t>
  </si>
  <si>
    <t xml:space="preserve">gemini</t>
  </si>
  <si>
    <t xml:space="preserve">83</t>
  </si>
  <si>
    <t xml:space="preserve">578</t>
  </si>
  <si>
    <t xml:space="preserve">9938</t>
  </si>
  <si>
    <t xml:space="preserve">58</t>
  </si>
  <si>
    <t xml:space="preserve">1469</t>
  </si>
  <si>
    <t xml:space="preserve">130</t>
  </si>
  <si>
    <t xml:space="preserve">5268</t>
  </si>
  <si>
    <t xml:space="preserve">0.4</t>
  </si>
  <si>
    <t xml:space="preserve">221</t>
  </si>
  <si>
    <t xml:space="preserve">520</t>
  </si>
  <si>
    <t xml:space="preserve">67</t>
  </si>
  <si>
    <t xml:space="preserve">698</t>
  </si>
  <si>
    <t xml:space="preserve">600</t>
  </si>
  <si>
    <t xml:space="preserve">7739</t>
  </si>
  <si>
    <t xml:space="preserve">898</t>
  </si>
  <si>
    <t xml:space="preserve">49</t>
  </si>
  <si>
    <t xml:space="preserve">1057</t>
  </si>
  <si>
    <t xml:space="preserve">14.2</t>
  </si>
  <si>
    <t xml:space="preserve">237</t>
  </si>
  <si>
    <t xml:space="preserve">1194</t>
  </si>
  <si>
    <t xml:space="preserve">$874 </t>
  </si>
  <si>
    <t xml:space="preserve">15.2</t>
  </si>
  <si>
    <t xml:space="preserve">106</t>
  </si>
  <si>
    <t xml:space="preserve">8.2</t>
  </si>
  <si>
    <t xml:space="preserve">74</t>
  </si>
  <si>
    <t xml:space="preserve">3054</t>
  </si>
  <si>
    <t xml:space="preserve">442</t>
  </si>
  <si>
    <t xml:space="preserve">77</t>
  </si>
  <si>
    <t xml:space="preserve">6705</t>
  </si>
  <si>
    <t xml:space="preserve">987</t>
  </si>
  <si>
    <t xml:space="preserve">889</t>
  </si>
  <si>
    <t xml:space="preserve">8.9</t>
  </si>
  <si>
    <t xml:space="preserve">59</t>
  </si>
  <si>
    <t xml:space="preserve">55</t>
  </si>
  <si>
    <t xml:space="preserve">2116</t>
  </si>
  <si>
    <t xml:space="preserve">philippines</t>
  </si>
  <si>
    <t xml:space="preserve">765</t>
  </si>
  <si>
    <t xml:space="preserve">7178</t>
  </si>
  <si>
    <t xml:space="preserve">$98 </t>
  </si>
  <si>
    <t xml:space="preserve">Copilot</t>
  </si>
  <si>
    <t xml:space="preserve">518</t>
  </si>
  <si>
    <t xml:space="preserve">39 yrs</t>
  </si>
  <si>
    <t xml:space="preserve">488</t>
  </si>
  <si>
    <t xml:space="preserve">75</t>
  </si>
  <si>
    <t xml:space="preserve">66</t>
  </si>
  <si>
    <t xml:space="preserve">1.1</t>
  </si>
  <si>
    <t xml:space="preserve">133</t>
  </si>
  <si>
    <t xml:space="preserve">96</t>
  </si>
  <si>
    <t xml:space="preserve">bachelor's degree</t>
  </si>
  <si>
    <t xml:space="preserve">504</t>
  </si>
  <si>
    <t xml:space="preserve">0.6 hrs</t>
  </si>
  <si>
    <t xml:space="preserve">95</t>
  </si>
  <si>
    <t xml:space="preserve">238</t>
  </si>
  <si>
    <t xml:space="preserve">claude</t>
  </si>
  <si>
    <t xml:space="preserve">$1,884 </t>
  </si>
  <si>
    <t xml:space="preserve">undergrad</t>
  </si>
  <si>
    <t xml:space="preserve">1632</t>
  </si>
  <si>
    <t xml:space="preserve">1193</t>
  </si>
  <si>
    <t xml:space="preserve">13.5</t>
  </si>
  <si>
    <t xml:space="preserve">3622</t>
  </si>
  <si>
    <t xml:space="preserve">661</t>
  </si>
  <si>
    <t xml:space="preserve">1192</t>
  </si>
  <si>
    <t xml:space="preserve">10.9</t>
  </si>
  <si>
    <t xml:space="preserve">613</t>
  </si>
  <si>
    <t xml:space="preserve">48</t>
  </si>
  <si>
    <t xml:space="preserve">5563</t>
  </si>
  <si>
    <t xml:space="preserve">670</t>
  </si>
  <si>
    <t xml:space="preserve">1106</t>
  </si>
  <si>
    <t xml:space="preserve">15.8</t>
  </si>
  <si>
    <t xml:space="preserve">1320</t>
  </si>
  <si>
    <t xml:space="preserve">3.5 hrs</t>
  </si>
  <si>
    <t xml:space="preserve">135</t>
  </si>
  <si>
    <t xml:space="preserve">3218</t>
  </si>
  <si>
    <t xml:space="preserve">6.4 hrs</t>
  </si>
  <si>
    <t xml:space="preserve">Non-binary</t>
  </si>
  <si>
    <t xml:space="preserve">624</t>
  </si>
  <si>
    <t xml:space="preserve">0.9 hrs</t>
  </si>
  <si>
    <t xml:space="preserve">7.4 hrs</t>
  </si>
  <si>
    <t xml:space="preserve">415</t>
  </si>
  <si>
    <t xml:space="preserve">4499</t>
  </si>
  <si>
    <t xml:space="preserve">6437</t>
  </si>
  <si>
    <t xml:space="preserve">17 yrs</t>
  </si>
  <si>
    <t xml:space="preserve">440</t>
  </si>
  <si>
    <t xml:space="preserve">60</t>
  </si>
  <si>
    <t xml:space="preserve">7.2 hrs</t>
  </si>
  <si>
    <t xml:space="preserve">219</t>
  </si>
  <si>
    <t xml:space="preserve">82</t>
  </si>
  <si>
    <t xml:space="preserve">0.8 hrs</t>
  </si>
  <si>
    <t xml:space="preserve">5903</t>
  </si>
  <si>
    <t xml:space="preserve">53</t>
  </si>
  <si>
    <t xml:space="preserve">Bachelors</t>
  </si>
  <si>
    <t xml:space="preserve">3944</t>
  </si>
  <si>
    <t xml:space="preserve">4070</t>
  </si>
  <si>
    <t xml:space="preserve">250000</t>
  </si>
  <si>
    <t xml:space="preserve">553</t>
  </si>
  <si>
    <t xml:space="preserve">3693</t>
  </si>
  <si>
    <t xml:space="preserve">7690</t>
  </si>
  <si>
    <t xml:space="preserve">10.4</t>
  </si>
  <si>
    <t xml:space="preserve">1208</t>
  </si>
  <si>
    <t xml:space="preserve">10311</t>
  </si>
  <si>
    <t xml:space="preserve">1407</t>
  </si>
  <si>
    <t xml:space="preserve">64</t>
  </si>
  <si>
    <t xml:space="preserve">2050</t>
  </si>
  <si>
    <t xml:space="preserve">$50 </t>
  </si>
  <si>
    <t xml:space="preserve">243</t>
  </si>
  <si>
    <t xml:space="preserve">1405</t>
  </si>
  <si>
    <t xml:space="preserve">98</t>
  </si>
  <si>
    <t xml:space="preserve">104</t>
  </si>
  <si>
    <t xml:space="preserve">14.1</t>
  </si>
  <si>
    <t xml:space="preserve">$20 </t>
  </si>
  <si>
    <t xml:space="preserve">australia</t>
  </si>
  <si>
    <t xml:space="preserve">$3,462 </t>
  </si>
  <si>
    <t xml:space="preserve">1613</t>
  </si>
  <si>
    <t xml:space="preserve">969</t>
  </si>
  <si>
    <t xml:space="preserve">3579</t>
  </si>
  <si>
    <t xml:space="preserve">210</t>
  </si>
  <si>
    <t xml:space="preserve">88</t>
  </si>
  <si>
    <t xml:space="preserve">335</t>
  </si>
  <si>
    <t xml:space="preserve">5.4 hrs</t>
  </si>
  <si>
    <t xml:space="preserve">2303</t>
  </si>
  <si>
    <t xml:space="preserve">HS</t>
  </si>
  <si>
    <t xml:space="preserve">3779</t>
  </si>
  <si>
    <t xml:space="preserve">13</t>
  </si>
  <si>
    <t xml:space="preserve">672</t>
  </si>
  <si>
    <t xml:space="preserve">16.5</t>
  </si>
  <si>
    <t xml:space="preserve">3.9 hrs</t>
  </si>
  <si>
    <t xml:space="preserve">158</t>
  </si>
  <si>
    <t xml:space="preserve">80</t>
  </si>
  <si>
    <t xml:space="preserve">627</t>
  </si>
  <si>
    <t xml:space="preserve">863</t>
  </si>
  <si>
    <t xml:space="preserve">10.3</t>
  </si>
  <si>
    <t xml:space="preserve">167</t>
  </si>
  <si>
    <t xml:space="preserve">17.7</t>
  </si>
  <si>
    <t xml:space="preserve">73</t>
  </si>
  <si>
    <t xml:space="preserve">5.8 hrs</t>
  </si>
  <si>
    <t xml:space="preserve">17.2</t>
  </si>
  <si>
    <t xml:space="preserve">38</t>
  </si>
  <si>
    <t xml:space="preserve">1114</t>
  </si>
  <si>
    <t xml:space="preserve">7.9 hrs</t>
  </si>
  <si>
    <t xml:space="preserve">$528 </t>
  </si>
  <si>
    <t xml:space="preserve">524</t>
  </si>
  <si>
    <t xml:space="preserve">11.7</t>
  </si>
  <si>
    <t xml:space="preserve">6.5 hrs</t>
  </si>
  <si>
    <t xml:space="preserve">915</t>
  </si>
  <si>
    <t xml:space="preserve">483</t>
  </si>
  <si>
    <t xml:space="preserve">3795</t>
  </si>
  <si>
    <t xml:space="preserve">5976</t>
  </si>
  <si>
    <t xml:space="preserve">3513</t>
  </si>
  <si>
    <t xml:space="preserve">8 hrs</t>
  </si>
  <si>
    <t xml:space="preserve">110</t>
  </si>
  <si>
    <t xml:space="preserve">2690</t>
  </si>
  <si>
    <t xml:space="preserve">4102</t>
  </si>
  <si>
    <t xml:space="preserve">390</t>
  </si>
  <si>
    <t xml:space="preserve">14.2 hrs</t>
  </si>
  <si>
    <t xml:space="preserve">312</t>
  </si>
  <si>
    <t xml:space="preserve">595</t>
  </si>
  <si>
    <t xml:space="preserve">983</t>
  </si>
  <si>
    <t xml:space="preserve">76</t>
  </si>
  <si>
    <t xml:space="preserve">1991</t>
  </si>
  <si>
    <t xml:space="preserve">copilot</t>
  </si>
  <si>
    <t xml:space="preserve">435</t>
  </si>
  <si>
    <t xml:space="preserve">678</t>
  </si>
  <si>
    <t xml:space="preserve">4006</t>
  </si>
  <si>
    <t xml:space="preserve">707</t>
  </si>
  <si>
    <t xml:space="preserve">523</t>
  </si>
  <si>
    <t xml:space="preserve">93</t>
  </si>
  <si>
    <t xml:space="preserve">5785</t>
  </si>
  <si>
    <t xml:space="preserve">3114</t>
  </si>
  <si>
    <t xml:space="preserve">13.4</t>
  </si>
  <si>
    <t xml:space="preserve">4186</t>
  </si>
  <si>
    <t xml:space="preserve">10 hrs</t>
  </si>
  <si>
    <t xml:space="preserve">540</t>
  </si>
  <si>
    <t xml:space="preserve">152</t>
  </si>
  <si>
    <t xml:space="preserve">5.9 hrs</t>
  </si>
  <si>
    <t xml:space="preserve">1148</t>
  </si>
  <si>
    <t xml:space="preserve">894</t>
  </si>
  <si>
    <t xml:space="preserve">675</t>
  </si>
  <si>
    <t xml:space="preserve">204</t>
  </si>
  <si>
    <t xml:space="preserve">8255</t>
  </si>
  <si>
    <t xml:space="preserve">12.2</t>
  </si>
  <si>
    <t xml:space="preserve">544</t>
  </si>
  <si>
    <t xml:space="preserve">448</t>
  </si>
  <si>
    <t xml:space="preserve">36 yrs</t>
  </si>
  <si>
    <t xml:space="preserve">6766</t>
  </si>
</sst>
</file>

<file path=xl/styles.xml><?xml version="1.0" encoding="utf-8"?>
<styleSheet xmlns="http://schemas.openxmlformats.org/spreadsheetml/2006/main">
  <numFmts count="9">
    <numFmt numFmtId="164" formatCode="General"/>
    <numFmt numFmtId="165" formatCode="#,##0"/>
    <numFmt numFmtId="166" formatCode="0.0"/>
    <numFmt numFmtId="167" formatCode="0.0&quot; / 10&quot;"/>
    <numFmt numFmtId="168" formatCode="0%"/>
    <numFmt numFmtId="169" formatCode="0"/>
    <numFmt numFmtId="170" formatCode="0.00"/>
    <numFmt numFmtId="171" formatCode="\$#,##0"/>
    <numFmt numFmtId="172" formatCode="General"/>
  </numFmts>
  <fonts count="23">
    <font>
      <sz val="11"/>
      <color theme="1"/>
      <name val="Calibri"/>
      <family val="2"/>
      <charset val="1"/>
    </font>
    <font>
      <sz val="10"/>
      <name val="Arial"/>
      <family val="0"/>
    </font>
    <font>
      <sz val="10"/>
      <name val="Arial"/>
      <family val="0"/>
    </font>
    <font>
      <sz val="10"/>
      <name val="Arial"/>
      <family val="0"/>
    </font>
    <font>
      <b val="true"/>
      <sz val="22"/>
      <color rgb="FFFFFFFF"/>
      <name val="Arial"/>
      <family val="0"/>
      <charset val="1"/>
    </font>
    <font>
      <sz val="9"/>
      <color rgb="FFCBD5E1"/>
      <name val="Arial"/>
      <family val="0"/>
      <charset val="1"/>
    </font>
    <font>
      <b val="true"/>
      <sz val="8"/>
      <color rgb="FF64748B"/>
      <name val="Arial"/>
      <family val="0"/>
      <charset val="1"/>
    </font>
    <font>
      <b val="true"/>
      <sz val="26"/>
      <color rgb="FF1F2A44"/>
      <name val="Arial"/>
      <family val="0"/>
      <charset val="1"/>
    </font>
    <font>
      <sz val="8"/>
      <color rgb="FF64748B"/>
      <name val="Arial"/>
      <family val="0"/>
      <charset val="1"/>
    </font>
    <font>
      <b val="true"/>
      <sz val="13"/>
      <color rgb="FF1F2A44"/>
      <name val="Arial"/>
      <family val="0"/>
      <charset val="1"/>
    </font>
    <font>
      <sz val="10"/>
      <color rgb="FF334155"/>
      <name val="Arial"/>
      <family val="0"/>
      <charset val="1"/>
    </font>
    <font>
      <i val="true"/>
      <sz val="8"/>
      <color rgb="FF64748B"/>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2A44"/>
      <name val="Arial"/>
      <family val="0"/>
      <charset val="1"/>
    </font>
    <font>
      <i val="true"/>
      <sz val="9"/>
      <color rgb="FF64748B"/>
      <name val="Arial"/>
      <family val="0"/>
      <charset val="1"/>
    </font>
    <font>
      <b val="true"/>
      <sz val="12"/>
      <color rgb="FF1F2A44"/>
      <name val="Arial"/>
      <family val="0"/>
      <charset val="1"/>
    </font>
    <font>
      <b val="true"/>
      <sz val="9"/>
      <color rgb="FFFFFFFF"/>
      <name val="Arial"/>
      <family val="0"/>
      <charset val="1"/>
    </font>
    <font>
      <b val="true"/>
      <sz val="10"/>
      <color rgb="FF1F2937"/>
      <name val="Arial"/>
      <family val="0"/>
      <charset val="1"/>
    </font>
    <font>
      <sz val="10"/>
      <color rgb="FF1F2937"/>
      <name val="Arial"/>
      <family val="0"/>
      <charset val="1"/>
    </font>
    <font>
      <b val="true"/>
      <sz val="10"/>
      <color rgb="FFFFFFFF"/>
      <name val="Arial"/>
      <family val="0"/>
      <charset val="1"/>
    </font>
    <font>
      <sz val="9"/>
      <color rgb="FF1F2937"/>
      <name val="Arial"/>
      <family val="0"/>
      <charset val="1"/>
    </font>
  </fonts>
  <fills count="6">
    <fill>
      <patternFill patternType="none"/>
    </fill>
    <fill>
      <patternFill patternType="gray125"/>
    </fill>
    <fill>
      <patternFill patternType="solid">
        <fgColor rgb="FF1F2A44"/>
        <bgColor rgb="FF1F2937"/>
      </patternFill>
    </fill>
    <fill>
      <patternFill patternType="solid">
        <fgColor rgb="FFF4F6FA"/>
        <bgColor rgb="FFFFFFFF"/>
      </patternFill>
    </fill>
    <fill>
      <patternFill patternType="solid">
        <fgColor rgb="FFFFFFFF"/>
        <bgColor rgb="FFF4F6FA"/>
      </patternFill>
    </fill>
    <fill>
      <patternFill patternType="solid">
        <fgColor rgb="FF64748B"/>
        <bgColor rgb="FF4F81BD"/>
      </patternFill>
    </fill>
  </fills>
  <borders count="11">
    <border diagonalUp="false" diagonalDown="false">
      <left/>
      <right/>
      <top/>
      <bottom/>
      <diagonal/>
    </border>
    <border diagonalUp="false" diagonalDown="false">
      <left/>
      <right/>
      <top style="thick">
        <color rgb="FF14B8A6"/>
      </top>
      <bottom/>
      <diagonal/>
    </border>
    <border diagonalUp="false" diagonalDown="false">
      <left/>
      <right/>
      <top style="thick">
        <color rgb="FF38BDF8"/>
      </top>
      <bottom/>
      <diagonal/>
    </border>
    <border diagonalUp="false" diagonalDown="false">
      <left/>
      <right/>
      <top style="thick">
        <color rgb="FF7C3AED"/>
      </top>
      <bottom/>
      <diagonal/>
    </border>
    <border diagonalUp="false" diagonalDown="false">
      <left/>
      <right/>
      <top style="thick">
        <color rgb="FFF97316"/>
      </top>
      <bottom/>
      <diagonal/>
    </border>
    <border diagonalUp="false" diagonalDown="false">
      <left/>
      <right/>
      <top style="thick">
        <color rgb="FF1F2A44"/>
      </top>
      <bottom/>
      <diagonal/>
    </border>
    <border diagonalUp="false" diagonalDown="false">
      <left style="thick">
        <color rgb="FF14B8A6"/>
      </left>
      <right/>
      <top/>
      <bottom/>
      <diagonal/>
    </border>
    <border diagonalUp="false" diagonalDown="false">
      <left style="thick">
        <color rgb="FF38BDF8"/>
      </left>
      <right/>
      <top/>
      <bottom/>
      <diagonal/>
    </border>
    <border diagonalUp="false" diagonalDown="false">
      <left style="thick">
        <color rgb="FF7C3AED"/>
      </left>
      <right/>
      <top/>
      <bottom/>
      <diagonal/>
    </border>
    <border diagonalUp="false" diagonalDown="false">
      <left style="thick">
        <color rgb="FFF97316"/>
      </left>
      <right/>
      <top/>
      <bottom/>
      <diagonal/>
    </border>
    <border diagonalUp="false" diagonalDown="false">
      <left/>
      <right/>
      <top/>
      <bottom style="thin">
        <color rgb="FFE2E8F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6" fillId="4" borderId="3" xfId="0" applyFont="true" applyBorder="true" applyAlignment="true" applyProtection="false">
      <alignment horizontal="center" vertical="center" textRotation="0" wrapText="false" indent="0" shrinkToFit="false"/>
      <protection locked="true" hidden="false"/>
    </xf>
    <xf numFmtId="164" fontId="6" fillId="4" borderId="4" xfId="0" applyFont="true" applyBorder="true" applyAlignment="true" applyProtection="false">
      <alignment horizontal="center" vertical="center" textRotation="0" wrapText="false" indent="0" shrinkToFit="false"/>
      <protection locked="true" hidden="false"/>
    </xf>
    <xf numFmtId="164" fontId="6" fillId="4" borderId="5" xfId="0" applyFont="true" applyBorder="true" applyAlignment="true" applyProtection="false">
      <alignment horizontal="center" vertical="center" textRotation="0" wrapText="false" indent="0" shrinkToFit="false"/>
      <protection locked="true" hidden="false"/>
    </xf>
    <xf numFmtId="165" fontId="7" fillId="4" borderId="0" xfId="0" applyFont="true" applyBorder="true" applyAlignment="true" applyProtection="false">
      <alignment horizontal="center" vertical="center" textRotation="0" wrapText="false" indent="0" shrinkToFit="false"/>
      <protection locked="true" hidden="false"/>
    </xf>
    <xf numFmtId="166" fontId="7" fillId="4" borderId="0" xfId="0" applyFont="true" applyBorder="true" applyAlignment="true" applyProtection="false">
      <alignment horizontal="center" vertical="center" textRotation="0" wrapText="false" indent="0" shrinkToFit="false"/>
      <protection locked="true" hidden="false"/>
    </xf>
    <xf numFmtId="167" fontId="7" fillId="4" borderId="0" xfId="0" applyFont="true" applyBorder="true" applyAlignment="true" applyProtection="false">
      <alignment horizontal="center" vertical="center" textRotation="0" wrapText="false" indent="0" shrinkToFit="false"/>
      <protection locked="true" hidden="false"/>
    </xf>
    <xf numFmtId="168" fontId="7" fillId="4" borderId="0"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0" fillId="4" borderId="6" xfId="0" applyFont="true" applyBorder="true" applyAlignment="true" applyProtection="false">
      <alignment horizontal="general" vertical="center" textRotation="0" wrapText="true" indent="1" shrinkToFit="false"/>
      <protection locked="true" hidden="false"/>
    </xf>
    <xf numFmtId="164" fontId="10" fillId="4" borderId="7" xfId="0" applyFont="true" applyBorder="true" applyAlignment="true" applyProtection="false">
      <alignment horizontal="general" vertical="center" textRotation="0" wrapText="true" indent="1" shrinkToFit="false"/>
      <protection locked="true" hidden="false"/>
    </xf>
    <xf numFmtId="164" fontId="10" fillId="4" borderId="8" xfId="0" applyFont="true" applyBorder="true" applyAlignment="true" applyProtection="false">
      <alignment horizontal="general" vertical="center" textRotation="0" wrapText="true" indent="1" shrinkToFit="false"/>
      <protection locked="true" hidden="false"/>
    </xf>
    <xf numFmtId="164" fontId="10" fillId="4" borderId="9" xfId="0" applyFont="true" applyBorder="true" applyAlignment="true" applyProtection="false">
      <alignment horizontal="general" vertical="center" textRotation="0" wrapText="true" indent="1"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left" vertical="center"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19" fillId="0" borderId="10" xfId="0" applyFont="true" applyBorder="true" applyAlignment="false" applyProtection="false">
      <alignment horizontal="general" vertical="bottom" textRotation="0" wrapText="false" indent="0" shrinkToFit="false"/>
      <protection locked="true" hidden="false"/>
    </xf>
    <xf numFmtId="169" fontId="20" fillId="0" borderId="10" xfId="0" applyFont="true" applyBorder="true" applyAlignment="true" applyProtection="false">
      <alignment horizontal="center" vertical="bottom" textRotation="0" wrapText="false" indent="0" shrinkToFit="false"/>
      <protection locked="true" hidden="false"/>
    </xf>
    <xf numFmtId="168" fontId="20" fillId="0" borderId="10" xfId="0" applyFont="true" applyBorder="true" applyAlignment="true" applyProtection="false">
      <alignment horizontal="center" vertical="bottom" textRotation="0" wrapText="false" indent="0" shrinkToFit="false"/>
      <protection locked="true" hidden="false"/>
    </xf>
    <xf numFmtId="166" fontId="20" fillId="0" borderId="10" xfId="0" applyFont="true" applyBorder="true" applyAlignment="true" applyProtection="false">
      <alignment horizontal="center" vertical="bottom" textRotation="0" wrapText="false" indent="0" shrinkToFit="false"/>
      <protection locked="true" hidden="false"/>
    </xf>
    <xf numFmtId="164" fontId="18" fillId="2" borderId="0" xfId="0" applyFont="true" applyBorder="false" applyAlignment="true" applyProtection="false">
      <alignment horizontal="left" vertical="bottom" textRotation="0" wrapText="false" indent="0" shrinkToFit="false"/>
      <protection locked="true" hidden="false"/>
    </xf>
    <xf numFmtId="164" fontId="18" fillId="2" borderId="0" xfId="0" applyFont="true" applyBorder="false" applyAlignment="true" applyProtection="false">
      <alignment horizontal="center" vertical="bottom" textRotation="0" wrapText="false" indent="0" shrinkToFit="false"/>
      <protection locked="true" hidden="false"/>
    </xf>
    <xf numFmtId="165" fontId="20" fillId="0" borderId="1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0" fontId="20" fillId="0" borderId="10" xfId="0" applyFont="true" applyBorder="true" applyAlignment="true" applyProtection="false">
      <alignment horizontal="center" vertical="bottom" textRotation="0" wrapText="false" indent="0" shrinkToFit="false"/>
      <protection locked="true" hidden="false"/>
    </xf>
    <xf numFmtId="164" fontId="20" fillId="0" borderId="10" xfId="0" applyFont="true" applyBorder="true" applyAlignment="true" applyProtection="false">
      <alignment horizontal="center" vertical="bottom" textRotation="0" wrapText="false" indent="0" shrinkToFit="false"/>
      <protection locked="true" hidden="false"/>
    </xf>
    <xf numFmtId="164" fontId="21" fillId="2" borderId="0" xfId="0" applyFont="true" applyBorder="false" applyAlignment="true" applyProtection="false">
      <alignment horizontal="center" vertical="center"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8" fontId="22" fillId="0" borderId="0" xfId="0" applyFont="true" applyBorder="false" applyAlignment="false" applyProtection="false">
      <alignment horizontal="general" vertical="bottom" textRotation="0" wrapText="false" indent="0" shrinkToFit="false"/>
      <protection locked="true" hidden="false"/>
    </xf>
    <xf numFmtId="171" fontId="22" fillId="0" borderId="0" xfId="0"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true" applyProtection="false">
      <alignment horizontal="center" vertical="bottom" textRotation="0" wrapText="false" indent="0" shrinkToFit="false"/>
      <protection locked="true" hidden="false"/>
    </xf>
    <xf numFmtId="164" fontId="21" fillId="2" borderId="0" xfId="0" applyFont="true" applyBorder="false" applyAlignment="false" applyProtection="false">
      <alignment horizontal="general" vertical="bottom" textRotation="0" wrapText="false" indent="0" shrinkToFit="false"/>
      <protection locked="true" hidden="false"/>
    </xf>
    <xf numFmtId="164" fontId="19" fillId="0" borderId="10" xfId="0" applyFont="true" applyBorder="true" applyAlignment="true" applyProtection="false">
      <alignment horizontal="general" vertical="top" textRotation="0" wrapText="true" indent="0" shrinkToFit="false"/>
      <protection locked="true" hidden="false"/>
    </xf>
    <xf numFmtId="164" fontId="20" fillId="0" borderId="10" xfId="0" applyFont="true" applyBorder="true" applyAlignment="true" applyProtection="false">
      <alignment horizontal="general" vertical="top" textRotation="0" wrapText="true" indent="0" shrinkToFit="false"/>
      <protection locked="true" hidden="false"/>
    </xf>
    <xf numFmtId="164" fontId="20" fillId="0" borderId="10" xfId="0" applyFont="true" applyBorder="true" applyAlignment="true" applyProtection="false">
      <alignment horizontal="center" vertical="top"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2A44"/>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C7F0E8"/>
          <bgColor rgb="FF000000"/>
        </patternFill>
      </fill>
    </dxf>
    <dxf>
      <fill>
        <patternFill patternType="solid">
          <fgColor rgb="FFD5F4EE"/>
          <bgColor rgb="FF000000"/>
        </patternFill>
      </fill>
    </dxf>
    <dxf>
      <fill>
        <patternFill patternType="solid">
          <fgColor rgb="FFE3F8F4"/>
          <bgColor rgb="FF000000"/>
        </patternFill>
      </fill>
    </dxf>
    <dxf>
      <fill>
        <patternFill patternType="solid">
          <fgColor rgb="FFF1FCFA"/>
          <bgColor rgb="FF000000"/>
        </patternFill>
      </fill>
    </dxf>
    <dxf>
      <fill>
        <patternFill patternType="solid">
          <fgColor rgb="FFFDE2E2"/>
          <bgColor rgb="FF000000"/>
        </patternFill>
      </fill>
    </dxf>
    <dxf>
      <fill>
        <patternFill patternType="solid">
          <fgColor rgb="FFFDEBEB"/>
          <bgColor rgb="FF000000"/>
        </patternFill>
      </fill>
    </dxf>
    <dxf>
      <fill>
        <patternFill patternType="solid">
          <fgColor rgb="FFFEF5F5"/>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7C3AED"/>
      <rgbColor rgb="FFF4F6FA"/>
      <rgbColor rgb="FFE2E8F0"/>
      <rgbColor rgb="FF660066"/>
      <rgbColor rgb="FFFF8080"/>
      <rgbColor rgb="FF0066CC"/>
      <rgbColor rgb="FFCBD5E1"/>
      <rgbColor rgb="FF000080"/>
      <rgbColor rgb="FFFF00FF"/>
      <rgbColor rgb="FFFFFF00"/>
      <rgbColor rgb="FF00FFFF"/>
      <rgbColor rgb="FF800080"/>
      <rgbColor rgb="FF800000"/>
      <rgbColor rgb="FF008080"/>
      <rgbColor rgb="FF0000FF"/>
      <rgbColor rgb="FF14B8A6"/>
      <rgbColor rgb="FFCCFFFF"/>
      <rgbColor rgb="FFCCFFCC"/>
      <rgbColor rgb="FFFFFF99"/>
      <rgbColor rgb="FF99CCFF"/>
      <rgbColor rgb="FFFF99CC"/>
      <rgbColor rgb="FFCC99FF"/>
      <rgbColor rgb="FFFFCC99"/>
      <rgbColor rgb="FF4F81BD"/>
      <rgbColor rgb="FF38BDF8"/>
      <rgbColor rgb="FF99CC00"/>
      <rgbColor rgb="FFFBBF24"/>
      <rgbColor rgb="FFFF9900"/>
      <rgbColor rgb="FFF97316"/>
      <rgbColor rgb="FF64748B"/>
      <rgbColor rgb="FF969696"/>
      <rgbColor rgb="FF1F2A44"/>
      <rgbColor rgb="FF339966"/>
      <rgbColor rgb="FF003300"/>
      <rgbColor rgb="FF333300"/>
      <rgbColor rgb="FF993300"/>
      <rgbColor rgb="FF993366"/>
      <rgbColor rgb="FF334155"/>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Which AI tools do people use? (users)</a:t>
            </a:r>
          </a:p>
        </c:rich>
      </c:tx>
      <c:overlay val="0"/>
      <c:spPr>
        <a:noFill/>
        <a:ln w="0">
          <a:noFill/>
        </a:ln>
      </c:spPr>
    </c:title>
    <c:autoTitleDeleted val="0"/>
    <c:plotArea>
      <c:barChart>
        <c:barDir val="bar"/>
        <c:grouping val="clustered"/>
        <c:varyColors val="0"/>
        <c:ser>
          <c:idx val="0"/>
          <c:order val="0"/>
          <c:tx>
            <c:strRef>
              <c:f>Analysis!B5</c:f>
              <c:strCache>
                <c:ptCount val="1"/>
                <c:pt idx="0">
                  <c:v>Users</c:v>
                </c:pt>
              </c:strCache>
            </c:strRef>
          </c:tx>
          <c:spPr>
            <a:solidFill>
              <a:srgbClr val="14b8a6"/>
            </a:solidFill>
            <a:ln w="0">
              <a:solidFill>
                <a:srgbClr val="14b8a6"/>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Analysis!$A$6:$A$13</c:f>
              <c:strCache>
                <c:ptCount val="8"/>
                <c:pt idx="0">
                  <c:v>ChatGPT</c:v>
                </c:pt>
                <c:pt idx="1">
                  <c:v>Google Gemini</c:v>
                </c:pt>
                <c:pt idx="2">
                  <c:v>Microsoft Copilot</c:v>
                </c:pt>
                <c:pt idx="3">
                  <c:v>Claude</c:v>
                </c:pt>
                <c:pt idx="4">
                  <c:v>Perplexity AI</c:v>
                </c:pt>
                <c:pt idx="5">
                  <c:v>Grammarly</c:v>
                </c:pt>
                <c:pt idx="6">
                  <c:v>Meta AI</c:v>
                </c:pt>
                <c:pt idx="7">
                  <c:v>DeepSeek</c:v>
                </c:pt>
              </c:strCache>
            </c:strRef>
          </c:cat>
          <c:val>
            <c:numRef>
              <c:f>Analysis!$B$6:$B$13</c:f>
              <c:numCache>
                <c:formatCode>0</c:formatCode>
                <c:ptCount val="8"/>
                <c:pt idx="0">
                  <c:v>119</c:v>
                </c:pt>
                <c:pt idx="1">
                  <c:v>39</c:v>
                </c:pt>
                <c:pt idx="2">
                  <c:v>33</c:v>
                </c:pt>
                <c:pt idx="3">
                  <c:v>31</c:v>
                </c:pt>
                <c:pt idx="4">
                  <c:v>23</c:v>
                </c:pt>
                <c:pt idx="5">
                  <c:v>14</c:v>
                </c:pt>
                <c:pt idx="6">
                  <c:v>10</c:v>
                </c:pt>
                <c:pt idx="7">
                  <c:v>9</c:v>
                </c:pt>
              </c:numCache>
            </c:numRef>
          </c:val>
        </c:ser>
        <c:gapWidth val="45"/>
        <c:overlap val="0"/>
        <c:axId val="45608625"/>
        <c:axId val="55386644"/>
      </c:barChart>
      <c:catAx>
        <c:axId val="4560862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386644"/>
        <c:crosses val="autoZero"/>
        <c:auto val="1"/>
        <c:lblAlgn val="ctr"/>
        <c:lblOffset val="100"/>
        <c:noMultiLvlLbl val="0"/>
      </c:catAx>
      <c:valAx>
        <c:axId val="55386644"/>
        <c:scaling>
          <c:orientation val="minMax"/>
          <c:min val="0"/>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086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What AI is used for: students vs professionals</a:t>
            </a:r>
          </a:p>
        </c:rich>
      </c:tx>
      <c:overlay val="0"/>
      <c:spPr>
        <a:noFill/>
        <a:ln w="0">
          <a:noFill/>
        </a:ln>
      </c:spPr>
    </c:title>
    <c:autoTitleDeleted val="0"/>
    <c:plotArea>
      <c:barChart>
        <c:barDir val="col"/>
        <c:grouping val="clustered"/>
        <c:varyColors val="0"/>
        <c:ser>
          <c:idx val="0"/>
          <c:order val="0"/>
          <c:tx>
            <c:strRef>
              <c:f>Analysis!C17</c:f>
              <c:strCache>
                <c:ptCount val="1"/>
                <c:pt idx="0">
                  <c:v>Students</c:v>
                </c:pt>
              </c:strCache>
            </c:strRef>
          </c:tx>
          <c:spPr>
            <a:solidFill>
              <a:srgbClr val="38bdf8"/>
            </a:solidFill>
            <a:ln w="0">
              <a:solidFill>
                <a:srgbClr val="38bdf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Analysis!$A$18:$A$25</c:f>
              <c:strCache>
                <c:ptCount val="8"/>
                <c:pt idx="0">
                  <c:v>Coding</c:v>
                </c:pt>
                <c:pt idx="1">
                  <c:v>Writing</c:v>
                </c:pt>
                <c:pt idx="2">
                  <c:v>Studying</c:v>
                </c:pt>
                <c:pt idx="3">
                  <c:v>Research</c:v>
                </c:pt>
                <c:pt idx="4">
                  <c:v>Content Creation</c:v>
                </c:pt>
                <c:pt idx="5">
                  <c:v>Data Analysis</c:v>
                </c:pt>
                <c:pt idx="6">
                  <c:v>Customer Support</c:v>
                </c:pt>
                <c:pt idx="7">
                  <c:v>Office Work</c:v>
                </c:pt>
              </c:strCache>
            </c:strRef>
          </c:cat>
          <c:val>
            <c:numRef>
              <c:f>Analysis!$C$18:$C$25</c:f>
              <c:numCache>
                <c:formatCode>0</c:formatCode>
                <c:ptCount val="8"/>
                <c:pt idx="0">
                  <c:v>28</c:v>
                </c:pt>
                <c:pt idx="1">
                  <c:v>29</c:v>
                </c:pt>
                <c:pt idx="2">
                  <c:v>39</c:v>
                </c:pt>
                <c:pt idx="3">
                  <c:v>27</c:v>
                </c:pt>
                <c:pt idx="4">
                  <c:v>13</c:v>
                </c:pt>
                <c:pt idx="5">
                  <c:v>7</c:v>
                </c:pt>
                <c:pt idx="6">
                  <c:v>0</c:v>
                </c:pt>
                <c:pt idx="7">
                  <c:v>0</c:v>
                </c:pt>
              </c:numCache>
            </c:numRef>
          </c:val>
        </c:ser>
        <c:ser>
          <c:idx val="1"/>
          <c:order val="1"/>
          <c:tx>
            <c:strRef>
              <c:f>Analysis!D17</c:f>
              <c:strCache>
                <c:ptCount val="1"/>
                <c:pt idx="0">
                  <c:v>Professionals</c:v>
                </c:pt>
              </c:strCache>
            </c:strRef>
          </c:tx>
          <c:spPr>
            <a:solidFill>
              <a:srgbClr val="7c3aed"/>
            </a:solidFill>
            <a:ln w="0">
              <a:solidFill>
                <a:srgbClr val="7c3a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Analysis!$A$18:$A$25</c:f>
              <c:strCache>
                <c:ptCount val="8"/>
                <c:pt idx="0">
                  <c:v>Coding</c:v>
                </c:pt>
                <c:pt idx="1">
                  <c:v>Writing</c:v>
                </c:pt>
                <c:pt idx="2">
                  <c:v>Studying</c:v>
                </c:pt>
                <c:pt idx="3">
                  <c:v>Research</c:v>
                </c:pt>
                <c:pt idx="4">
                  <c:v>Content Creation</c:v>
                </c:pt>
                <c:pt idx="5">
                  <c:v>Data Analysis</c:v>
                </c:pt>
                <c:pt idx="6">
                  <c:v>Customer Support</c:v>
                </c:pt>
                <c:pt idx="7">
                  <c:v>Office Work</c:v>
                </c:pt>
              </c:strCache>
            </c:strRef>
          </c:cat>
          <c:val>
            <c:numRef>
              <c:f>Analysis!$D$18:$D$25</c:f>
              <c:numCache>
                <c:formatCode>0</c:formatCode>
                <c:ptCount val="8"/>
                <c:pt idx="0">
                  <c:v>37</c:v>
                </c:pt>
                <c:pt idx="1">
                  <c:v>20</c:v>
                </c:pt>
                <c:pt idx="2">
                  <c:v>0</c:v>
                </c:pt>
                <c:pt idx="3">
                  <c:v>11</c:v>
                </c:pt>
                <c:pt idx="4">
                  <c:v>15</c:v>
                </c:pt>
                <c:pt idx="5">
                  <c:v>18</c:v>
                </c:pt>
                <c:pt idx="6">
                  <c:v>20</c:v>
                </c:pt>
                <c:pt idx="7">
                  <c:v>11</c:v>
                </c:pt>
              </c:numCache>
            </c:numRef>
          </c:val>
        </c:ser>
        <c:gapWidth val="60"/>
        <c:overlap val="0"/>
        <c:axId val="55033867"/>
        <c:axId val="85760523"/>
      </c:barChart>
      <c:catAx>
        <c:axId val="550338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60523"/>
        <c:crosses val="autoZero"/>
        <c:auto val="1"/>
        <c:lblAlgn val="ctr"/>
        <c:lblOffset val="100"/>
        <c:noMultiLvlLbl val="0"/>
      </c:catAx>
      <c:valAx>
        <c:axId val="85760523"/>
        <c:scaling>
          <c:orientation val="minMax"/>
        </c:scaling>
        <c:delete val="0"/>
        <c:axPos val="l"/>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3386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satisfaction by tool (1-10)</a:t>
            </a:r>
          </a:p>
        </c:rich>
      </c:tx>
      <c:overlay val="0"/>
      <c:spPr>
        <a:noFill/>
        <a:ln w="0">
          <a:noFill/>
        </a:ln>
      </c:spPr>
    </c:title>
    <c:autoTitleDeleted val="0"/>
    <c:plotArea>
      <c:barChart>
        <c:barDir val="bar"/>
        <c:grouping val="clustered"/>
        <c:varyColors val="0"/>
        <c:ser>
          <c:idx val="0"/>
          <c:order val="0"/>
          <c:tx>
            <c:strRef>
              <c:f>Analysis!D5</c:f>
              <c:strCache>
                <c:ptCount val="1"/>
                <c:pt idx="0">
                  <c:v>Avg Satisfaction (1-10)</c:v>
                </c:pt>
              </c:strCache>
            </c:strRef>
          </c:tx>
          <c:spPr>
            <a:solidFill>
              <a:srgbClr val="f97316"/>
            </a:solidFill>
            <a:ln w="0">
              <a:solidFill>
                <a:srgbClr val="f97316"/>
              </a:solid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Analysis!$A$6:$A$13</c:f>
              <c:strCache>
                <c:ptCount val="8"/>
                <c:pt idx="0">
                  <c:v>ChatGPT</c:v>
                </c:pt>
                <c:pt idx="1">
                  <c:v>Google Gemini</c:v>
                </c:pt>
                <c:pt idx="2">
                  <c:v>Microsoft Copilot</c:v>
                </c:pt>
                <c:pt idx="3">
                  <c:v>Claude</c:v>
                </c:pt>
                <c:pt idx="4">
                  <c:v>Perplexity AI</c:v>
                </c:pt>
                <c:pt idx="5">
                  <c:v>Grammarly</c:v>
                </c:pt>
                <c:pt idx="6">
                  <c:v>Meta AI</c:v>
                </c:pt>
                <c:pt idx="7">
                  <c:v>DeepSeek</c:v>
                </c:pt>
              </c:strCache>
            </c:strRef>
          </c:cat>
          <c:val>
            <c:numRef>
              <c:f>Analysis!$D$6:$D$13</c:f>
              <c:numCache>
                <c:formatCode>0.0</c:formatCode>
                <c:ptCount val="8"/>
                <c:pt idx="0">
                  <c:v>6.26086956521739</c:v>
                </c:pt>
                <c:pt idx="1">
                  <c:v>5.68421052631579</c:v>
                </c:pt>
                <c:pt idx="2">
                  <c:v>6.3030303030303</c:v>
                </c:pt>
                <c:pt idx="3">
                  <c:v>6.09677419354839</c:v>
                </c:pt>
                <c:pt idx="4">
                  <c:v>5.81818181818182</c:v>
                </c:pt>
                <c:pt idx="5">
                  <c:v>6.28571428571429</c:v>
                </c:pt>
                <c:pt idx="6">
                  <c:v>6.1</c:v>
                </c:pt>
                <c:pt idx="7">
                  <c:v>6.125</c:v>
                </c:pt>
              </c:numCache>
            </c:numRef>
          </c:val>
        </c:ser>
        <c:gapWidth val="45"/>
        <c:overlap val="0"/>
        <c:axId val="88951662"/>
        <c:axId val="65792232"/>
      </c:barChart>
      <c:catAx>
        <c:axId val="8895166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92232"/>
        <c:crosses val="autoZero"/>
        <c:auto val="1"/>
        <c:lblAlgn val="ctr"/>
        <c:lblOffset val="100"/>
        <c:noMultiLvlLbl val="0"/>
      </c:catAx>
      <c:valAx>
        <c:axId val="65792232"/>
        <c:scaling>
          <c:orientation val="minMax"/>
          <c:max val="10"/>
          <c:min val="0"/>
        </c:scaling>
        <c:delete val="0"/>
        <c:axPos val="l"/>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95166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More AI time per day, more time saved per week?</a:t>
            </a:r>
          </a:p>
        </c:rich>
      </c:tx>
      <c:overlay val="0"/>
      <c:spPr>
        <a:noFill/>
        <a:ln w="0">
          <a:noFill/>
        </a:ln>
      </c:spPr>
    </c:title>
    <c:autoTitleDeleted val="0"/>
    <c:plotArea>
      <c:scatterChart>
        <c:scatterStyle val="lineMarker"/>
        <c:varyColors val="0"/>
        <c:ser>
          <c:idx val="0"/>
          <c:order val="0"/>
          <c:tx>
            <c:strRef>
              <c:f>"Users"</c:f>
              <c:strCache>
                <c:ptCount val="1"/>
                <c:pt idx="0">
                  <c:v>Users</c:v>
                </c:pt>
              </c:strCache>
            </c:strRef>
          </c:tx>
          <c:spPr>
            <a:solidFill>
              <a:srgbClr val="14b8a6"/>
            </a:solidFill>
            <a:ln w="47520">
              <a:noFill/>
            </a:ln>
          </c:spPr>
          <c:marker>
            <c:symbol val="circle"/>
            <c:size val="6"/>
            <c:spPr>
              <a:solidFill>
                <a:srgbClr val="14b8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trendline>
            <c:spPr>
              <a:ln w="9360">
                <a:solidFill>
                  <a:srgbClr val="000000"/>
                </a:solidFill>
                <a:round/>
              </a:ln>
            </c:spPr>
            <c:trendlineType val="linear"/>
            <c:forward val="0"/>
            <c:backward val="0"/>
            <c:dispRSqr val="0"/>
            <c:dispEq val="0"/>
          </c:trendline>
          <c:xVal>
            <c:numRef>
              <c:f>Clean_Data!$M$2:$M$289</c:f>
              <c:numCache>
                <c:formatCode>0.0</c:formatCode>
                <c:ptCount val="288"/>
                <c:pt idx="0">
                  <c:v>2</c:v>
                </c:pt>
                <c:pt idx="1">
                  <c:v>5.7</c:v>
                </c:pt>
                <c:pt idx="2">
                  <c:v>1</c:v>
                </c:pt>
                <c:pt idx="3">
                  <c:v>1.7</c:v>
                </c:pt>
                <c:pt idx="4">
                  <c:v>4.1</c:v>
                </c:pt>
                <c:pt idx="5">
                  <c:v>1.5</c:v>
                </c:pt>
                <c:pt idx="6">
                  <c:v>1.2</c:v>
                </c:pt>
                <c:pt idx="7">
                  <c:v>2</c:v>
                </c:pt>
                <c:pt idx="8">
                  <c:v>1.6</c:v>
                </c:pt>
                <c:pt idx="9">
                  <c:v>1.7</c:v>
                </c:pt>
                <c:pt idx="10">
                  <c:v>2.7</c:v>
                </c:pt>
                <c:pt idx="11">
                  <c:v>5</c:v>
                </c:pt>
                <c:pt idx="12">
                  <c:v>0.8</c:v>
                </c:pt>
                <c:pt idx="13">
                  <c:v>5.8</c:v>
                </c:pt>
                <c:pt idx="14">
                  <c:v>3.9</c:v>
                </c:pt>
                <c:pt idx="15">
                  <c:v>7.1</c:v>
                </c:pt>
                <c:pt idx="16">
                  <c:v>1.7</c:v>
                </c:pt>
                <c:pt idx="17">
                  <c:v>1.5</c:v>
                </c:pt>
                <c:pt idx="18">
                  <c:v>9.6</c:v>
                </c:pt>
                <c:pt idx="20">
                  <c:v>0.9</c:v>
                </c:pt>
                <c:pt idx="21">
                  <c:v>1.7</c:v>
                </c:pt>
                <c:pt idx="22">
                  <c:v>1</c:v>
                </c:pt>
                <c:pt idx="23">
                  <c:v>2.6</c:v>
                </c:pt>
                <c:pt idx="24">
                  <c:v>1.2</c:v>
                </c:pt>
                <c:pt idx="25">
                  <c:v>1.6</c:v>
                </c:pt>
                <c:pt idx="26">
                  <c:v>0.6</c:v>
                </c:pt>
                <c:pt idx="27">
                  <c:v>0.7</c:v>
                </c:pt>
                <c:pt idx="28">
                  <c:v>7.4</c:v>
                </c:pt>
                <c:pt idx="29">
                  <c:v>5.4</c:v>
                </c:pt>
                <c:pt idx="30">
                  <c:v>5.2</c:v>
                </c:pt>
                <c:pt idx="31">
                  <c:v>3.7</c:v>
                </c:pt>
                <c:pt idx="32">
                  <c:v>2.3</c:v>
                </c:pt>
                <c:pt idx="33">
                  <c:v>5.4</c:v>
                </c:pt>
                <c:pt idx="34">
                  <c:v>1.9</c:v>
                </c:pt>
                <c:pt idx="35">
                  <c:v>1.6</c:v>
                </c:pt>
                <c:pt idx="36">
                  <c:v>1.9</c:v>
                </c:pt>
                <c:pt idx="37">
                  <c:v>1.5</c:v>
                </c:pt>
                <c:pt idx="38">
                  <c:v>5.5</c:v>
                </c:pt>
                <c:pt idx="39">
                  <c:v>0.6</c:v>
                </c:pt>
                <c:pt idx="40">
                  <c:v>1.6</c:v>
                </c:pt>
                <c:pt idx="41">
                  <c:v>3.7</c:v>
                </c:pt>
                <c:pt idx="42">
                  <c:v>0.6</c:v>
                </c:pt>
                <c:pt idx="43">
                  <c:v>5.1</c:v>
                </c:pt>
                <c:pt idx="44">
                  <c:v>2.4</c:v>
                </c:pt>
                <c:pt idx="45">
                  <c:v>0.9</c:v>
                </c:pt>
                <c:pt idx="46">
                  <c:v>9.1</c:v>
                </c:pt>
                <c:pt idx="47">
                  <c:v>8</c:v>
                </c:pt>
                <c:pt idx="49">
                  <c:v>7.7</c:v>
                </c:pt>
                <c:pt idx="50">
                  <c:v>1.3</c:v>
                </c:pt>
                <c:pt idx="51">
                  <c:v>2.2</c:v>
                </c:pt>
                <c:pt idx="52">
                  <c:v>1.2</c:v>
                </c:pt>
                <c:pt idx="53">
                  <c:v>0.6</c:v>
                </c:pt>
                <c:pt idx="54">
                  <c:v>1.9</c:v>
                </c:pt>
                <c:pt idx="55">
                  <c:v>4.6</c:v>
                </c:pt>
                <c:pt idx="56">
                  <c:v>1.4</c:v>
                </c:pt>
                <c:pt idx="57">
                  <c:v>7.2</c:v>
                </c:pt>
                <c:pt idx="58">
                  <c:v>1.3</c:v>
                </c:pt>
                <c:pt idx="59">
                  <c:v>1</c:v>
                </c:pt>
                <c:pt idx="61">
                  <c:v>3.4</c:v>
                </c:pt>
                <c:pt idx="62">
                  <c:v>0.5</c:v>
                </c:pt>
                <c:pt idx="63">
                  <c:v>3.5</c:v>
                </c:pt>
                <c:pt idx="64">
                  <c:v>1</c:v>
                </c:pt>
                <c:pt idx="65">
                  <c:v>1.7</c:v>
                </c:pt>
                <c:pt idx="66">
                  <c:v>1</c:v>
                </c:pt>
                <c:pt idx="67">
                  <c:v>1.3</c:v>
                </c:pt>
                <c:pt idx="68">
                  <c:v>0.7</c:v>
                </c:pt>
                <c:pt idx="69">
                  <c:v>4.9</c:v>
                </c:pt>
                <c:pt idx="70">
                  <c:v>4.3</c:v>
                </c:pt>
                <c:pt idx="71">
                  <c:v>2.4</c:v>
                </c:pt>
                <c:pt idx="72">
                  <c:v>0.7</c:v>
                </c:pt>
                <c:pt idx="73">
                  <c:v>2.1</c:v>
                </c:pt>
                <c:pt idx="74">
                  <c:v>2.1</c:v>
                </c:pt>
                <c:pt idx="75">
                  <c:v>7</c:v>
                </c:pt>
                <c:pt idx="76">
                  <c:v>2.6</c:v>
                </c:pt>
                <c:pt idx="77">
                  <c:v>9.9</c:v>
                </c:pt>
                <c:pt idx="78">
                  <c:v>4.1</c:v>
                </c:pt>
                <c:pt idx="79">
                  <c:v>1.9</c:v>
                </c:pt>
                <c:pt idx="80">
                  <c:v>4.8</c:v>
                </c:pt>
                <c:pt idx="81">
                  <c:v>0.6</c:v>
                </c:pt>
                <c:pt idx="82">
                  <c:v>1.9</c:v>
                </c:pt>
                <c:pt idx="83">
                  <c:v>1.3</c:v>
                </c:pt>
                <c:pt idx="84">
                  <c:v>3.8</c:v>
                </c:pt>
                <c:pt idx="85">
                  <c:v>1.3</c:v>
                </c:pt>
                <c:pt idx="86">
                  <c:v>2.3</c:v>
                </c:pt>
                <c:pt idx="87">
                  <c:v>1.5</c:v>
                </c:pt>
                <c:pt idx="88">
                  <c:v>0.7</c:v>
                </c:pt>
                <c:pt idx="89">
                  <c:v>3.9</c:v>
                </c:pt>
                <c:pt idx="90">
                  <c:v>1.6</c:v>
                </c:pt>
                <c:pt idx="91">
                  <c:v>0.9</c:v>
                </c:pt>
                <c:pt idx="93">
                  <c:v>0.6</c:v>
                </c:pt>
                <c:pt idx="94">
                  <c:v>5.4</c:v>
                </c:pt>
                <c:pt idx="95">
                  <c:v>3.6</c:v>
                </c:pt>
                <c:pt idx="96">
                  <c:v>5</c:v>
                </c:pt>
                <c:pt idx="97">
                  <c:v>1.9</c:v>
                </c:pt>
                <c:pt idx="98">
                  <c:v>1.3</c:v>
                </c:pt>
                <c:pt idx="99">
                  <c:v>1.6</c:v>
                </c:pt>
                <c:pt idx="100">
                  <c:v>0.9</c:v>
                </c:pt>
                <c:pt idx="101">
                  <c:v>0.9</c:v>
                </c:pt>
                <c:pt idx="102">
                  <c:v>2</c:v>
                </c:pt>
                <c:pt idx="103">
                  <c:v>8.5</c:v>
                </c:pt>
                <c:pt idx="104">
                  <c:v>4.9</c:v>
                </c:pt>
                <c:pt idx="105">
                  <c:v>2.2</c:v>
                </c:pt>
                <c:pt idx="106">
                  <c:v>6</c:v>
                </c:pt>
                <c:pt idx="107">
                  <c:v>1.3</c:v>
                </c:pt>
                <c:pt idx="108">
                  <c:v>0.7</c:v>
                </c:pt>
                <c:pt idx="109">
                  <c:v>5</c:v>
                </c:pt>
                <c:pt idx="110">
                  <c:v>1.4</c:v>
                </c:pt>
                <c:pt idx="111">
                  <c:v>1.8</c:v>
                </c:pt>
                <c:pt idx="112">
                  <c:v>0.5</c:v>
                </c:pt>
                <c:pt idx="113">
                  <c:v>1.6</c:v>
                </c:pt>
                <c:pt idx="114">
                  <c:v>4.6</c:v>
                </c:pt>
                <c:pt idx="115">
                  <c:v>3.4</c:v>
                </c:pt>
                <c:pt idx="116">
                  <c:v>3.3</c:v>
                </c:pt>
                <c:pt idx="117">
                  <c:v>1.9</c:v>
                </c:pt>
                <c:pt idx="118">
                  <c:v>3.8</c:v>
                </c:pt>
                <c:pt idx="119">
                  <c:v>1.4</c:v>
                </c:pt>
                <c:pt idx="120">
                  <c:v>0.7</c:v>
                </c:pt>
                <c:pt idx="121">
                  <c:v>2.3</c:v>
                </c:pt>
                <c:pt idx="122">
                  <c:v>4</c:v>
                </c:pt>
                <c:pt idx="123">
                  <c:v>1.7</c:v>
                </c:pt>
                <c:pt idx="124">
                  <c:v>2.2</c:v>
                </c:pt>
                <c:pt idx="125">
                  <c:v>2.4</c:v>
                </c:pt>
                <c:pt idx="126">
                  <c:v>1.2</c:v>
                </c:pt>
                <c:pt idx="127">
                  <c:v>1.3</c:v>
                </c:pt>
                <c:pt idx="128">
                  <c:v>2.7</c:v>
                </c:pt>
                <c:pt idx="129">
                  <c:v>1.4</c:v>
                </c:pt>
                <c:pt idx="130">
                  <c:v>1.2</c:v>
                </c:pt>
                <c:pt idx="131">
                  <c:v>1.4</c:v>
                </c:pt>
                <c:pt idx="132">
                  <c:v>3</c:v>
                </c:pt>
                <c:pt idx="133">
                  <c:v>0.8</c:v>
                </c:pt>
                <c:pt idx="134">
                  <c:v>2.2</c:v>
                </c:pt>
                <c:pt idx="135">
                  <c:v>2.3</c:v>
                </c:pt>
                <c:pt idx="136">
                  <c:v>2</c:v>
                </c:pt>
                <c:pt idx="137">
                  <c:v>6.5</c:v>
                </c:pt>
                <c:pt idx="138">
                  <c:v>2.2</c:v>
                </c:pt>
                <c:pt idx="139">
                  <c:v>2.1</c:v>
                </c:pt>
                <c:pt idx="140">
                  <c:v>2.9</c:v>
                </c:pt>
                <c:pt idx="141">
                  <c:v>1.9</c:v>
                </c:pt>
                <c:pt idx="142">
                  <c:v>9.5</c:v>
                </c:pt>
                <c:pt idx="143">
                  <c:v>4.9</c:v>
                </c:pt>
                <c:pt idx="144">
                  <c:v>1.9</c:v>
                </c:pt>
                <c:pt idx="145">
                  <c:v>1.5</c:v>
                </c:pt>
                <c:pt idx="146">
                  <c:v>1</c:v>
                </c:pt>
                <c:pt idx="147">
                  <c:v>1.5</c:v>
                </c:pt>
                <c:pt idx="148">
                  <c:v>9.7</c:v>
                </c:pt>
                <c:pt idx="149">
                  <c:v>1.5</c:v>
                </c:pt>
                <c:pt idx="150">
                  <c:v>0.6</c:v>
                </c:pt>
                <c:pt idx="151">
                  <c:v>3.3</c:v>
                </c:pt>
                <c:pt idx="152">
                  <c:v>3</c:v>
                </c:pt>
                <c:pt idx="153">
                  <c:v>1.4</c:v>
                </c:pt>
                <c:pt idx="154">
                  <c:v>2.8</c:v>
                </c:pt>
                <c:pt idx="155">
                  <c:v>2.3</c:v>
                </c:pt>
                <c:pt idx="156">
                  <c:v>2.7</c:v>
                </c:pt>
                <c:pt idx="157">
                  <c:v>4.1</c:v>
                </c:pt>
                <c:pt idx="158">
                  <c:v>3.2</c:v>
                </c:pt>
                <c:pt idx="159">
                  <c:v>1.2</c:v>
                </c:pt>
                <c:pt idx="160">
                  <c:v>5.9</c:v>
                </c:pt>
                <c:pt idx="161">
                  <c:v>1.1</c:v>
                </c:pt>
                <c:pt idx="162">
                  <c:v>1.2</c:v>
                </c:pt>
                <c:pt idx="163">
                  <c:v>0.7</c:v>
                </c:pt>
                <c:pt idx="164">
                  <c:v>0.6</c:v>
                </c:pt>
                <c:pt idx="165">
                  <c:v>3.7</c:v>
                </c:pt>
                <c:pt idx="166">
                  <c:v>1</c:v>
                </c:pt>
                <c:pt idx="167">
                  <c:v>0.8</c:v>
                </c:pt>
                <c:pt idx="168">
                  <c:v>2.5</c:v>
                </c:pt>
                <c:pt idx="170">
                  <c:v>1.5</c:v>
                </c:pt>
                <c:pt idx="171">
                  <c:v>1.5</c:v>
                </c:pt>
                <c:pt idx="172">
                  <c:v>4.4</c:v>
                </c:pt>
                <c:pt idx="173">
                  <c:v>5.8</c:v>
                </c:pt>
                <c:pt idx="174">
                  <c:v>4</c:v>
                </c:pt>
                <c:pt idx="175">
                  <c:v>3.5</c:v>
                </c:pt>
                <c:pt idx="176">
                  <c:v>1.4</c:v>
                </c:pt>
                <c:pt idx="177">
                  <c:v>5.5</c:v>
                </c:pt>
                <c:pt idx="178">
                  <c:v>1.9</c:v>
                </c:pt>
                <c:pt idx="179">
                  <c:v>0.9</c:v>
                </c:pt>
                <c:pt idx="180">
                  <c:v>3.7</c:v>
                </c:pt>
                <c:pt idx="181">
                  <c:v>4.4</c:v>
                </c:pt>
                <c:pt idx="182">
                  <c:v>9.8</c:v>
                </c:pt>
                <c:pt idx="183">
                  <c:v>1.7</c:v>
                </c:pt>
                <c:pt idx="184">
                  <c:v>3.9</c:v>
                </c:pt>
                <c:pt idx="185">
                  <c:v>1.6</c:v>
                </c:pt>
                <c:pt idx="186">
                  <c:v>2.7</c:v>
                </c:pt>
                <c:pt idx="187">
                  <c:v>6.1</c:v>
                </c:pt>
                <c:pt idx="188">
                  <c:v>0.9</c:v>
                </c:pt>
                <c:pt idx="189">
                  <c:v>3</c:v>
                </c:pt>
                <c:pt idx="190">
                  <c:v>5.9</c:v>
                </c:pt>
                <c:pt idx="191">
                  <c:v>1.3</c:v>
                </c:pt>
                <c:pt idx="192">
                  <c:v>1.9</c:v>
                </c:pt>
                <c:pt idx="193">
                  <c:v>0.5</c:v>
                </c:pt>
                <c:pt idx="194">
                  <c:v>3.4</c:v>
                </c:pt>
                <c:pt idx="195">
                  <c:v>1.4</c:v>
                </c:pt>
                <c:pt idx="196">
                  <c:v>0.8</c:v>
                </c:pt>
                <c:pt idx="197">
                  <c:v>1.6</c:v>
                </c:pt>
                <c:pt idx="198">
                  <c:v>1.4</c:v>
                </c:pt>
                <c:pt idx="199">
                  <c:v>2.7</c:v>
                </c:pt>
                <c:pt idx="200">
                  <c:v>1.7</c:v>
                </c:pt>
                <c:pt idx="201">
                  <c:v>3.1</c:v>
                </c:pt>
                <c:pt idx="202">
                  <c:v>1.5</c:v>
                </c:pt>
                <c:pt idx="203">
                  <c:v>5.5</c:v>
                </c:pt>
                <c:pt idx="204">
                  <c:v>0.5</c:v>
                </c:pt>
                <c:pt idx="205">
                  <c:v>2.9</c:v>
                </c:pt>
                <c:pt idx="206">
                  <c:v>1</c:v>
                </c:pt>
                <c:pt idx="207">
                  <c:v>2.1</c:v>
                </c:pt>
                <c:pt idx="208">
                  <c:v>0.6</c:v>
                </c:pt>
                <c:pt idx="209">
                  <c:v>5.3</c:v>
                </c:pt>
                <c:pt idx="210">
                  <c:v>0.8</c:v>
                </c:pt>
                <c:pt idx="211">
                  <c:v>3.4</c:v>
                </c:pt>
                <c:pt idx="212">
                  <c:v>1.7</c:v>
                </c:pt>
                <c:pt idx="213">
                  <c:v>6.8</c:v>
                </c:pt>
                <c:pt idx="214">
                  <c:v>2.8</c:v>
                </c:pt>
                <c:pt idx="215">
                  <c:v>5.9</c:v>
                </c:pt>
                <c:pt idx="216">
                  <c:v>4.5</c:v>
                </c:pt>
                <c:pt idx="217">
                  <c:v>4.2</c:v>
                </c:pt>
                <c:pt idx="218">
                  <c:v>4.9</c:v>
                </c:pt>
                <c:pt idx="219">
                  <c:v>3.4</c:v>
                </c:pt>
                <c:pt idx="220">
                  <c:v>4.4</c:v>
                </c:pt>
                <c:pt idx="221">
                  <c:v>1.8</c:v>
                </c:pt>
                <c:pt idx="222">
                  <c:v>6.3</c:v>
                </c:pt>
                <c:pt idx="223">
                  <c:v>1.6</c:v>
                </c:pt>
                <c:pt idx="224">
                  <c:v>1.5</c:v>
                </c:pt>
                <c:pt idx="225">
                  <c:v>0.7</c:v>
                </c:pt>
                <c:pt idx="226">
                  <c:v>4.4</c:v>
                </c:pt>
                <c:pt idx="227">
                  <c:v>5.7</c:v>
                </c:pt>
                <c:pt idx="228">
                  <c:v>8.1</c:v>
                </c:pt>
                <c:pt idx="229">
                  <c:v>2</c:v>
                </c:pt>
                <c:pt idx="230">
                  <c:v>3.9</c:v>
                </c:pt>
                <c:pt idx="231">
                  <c:v>4.1</c:v>
                </c:pt>
                <c:pt idx="232">
                  <c:v>1.6</c:v>
                </c:pt>
                <c:pt idx="233">
                  <c:v>4.9</c:v>
                </c:pt>
                <c:pt idx="234">
                  <c:v>1.7</c:v>
                </c:pt>
                <c:pt idx="235">
                  <c:v>0.7</c:v>
                </c:pt>
                <c:pt idx="236">
                  <c:v>4.1</c:v>
                </c:pt>
                <c:pt idx="237">
                  <c:v>0.7</c:v>
                </c:pt>
                <c:pt idx="238">
                  <c:v>1.8</c:v>
                </c:pt>
                <c:pt idx="239">
                  <c:v>2</c:v>
                </c:pt>
                <c:pt idx="240">
                  <c:v>8.6</c:v>
                </c:pt>
                <c:pt idx="242">
                  <c:v>9.7</c:v>
                </c:pt>
                <c:pt idx="244">
                  <c:v>1.5</c:v>
                </c:pt>
                <c:pt idx="245">
                  <c:v>7.2</c:v>
                </c:pt>
                <c:pt idx="246">
                  <c:v>0.9</c:v>
                </c:pt>
                <c:pt idx="247">
                  <c:v>6</c:v>
                </c:pt>
                <c:pt idx="248">
                  <c:v>0.6</c:v>
                </c:pt>
                <c:pt idx="249">
                  <c:v>2.9</c:v>
                </c:pt>
                <c:pt idx="250">
                  <c:v>2</c:v>
                </c:pt>
                <c:pt idx="251">
                  <c:v>1.5</c:v>
                </c:pt>
                <c:pt idx="252">
                  <c:v>3.3</c:v>
                </c:pt>
                <c:pt idx="253">
                  <c:v>0.6</c:v>
                </c:pt>
                <c:pt idx="254">
                  <c:v>2.5</c:v>
                </c:pt>
                <c:pt idx="255">
                  <c:v>7.9</c:v>
                </c:pt>
                <c:pt idx="256">
                  <c:v>0.7</c:v>
                </c:pt>
                <c:pt idx="257">
                  <c:v>8</c:v>
                </c:pt>
                <c:pt idx="258">
                  <c:v>5</c:v>
                </c:pt>
                <c:pt idx="260">
                  <c:v>1.2</c:v>
                </c:pt>
                <c:pt idx="261">
                  <c:v>1.7</c:v>
                </c:pt>
                <c:pt idx="262">
                  <c:v>3.3</c:v>
                </c:pt>
                <c:pt idx="263">
                  <c:v>2.8</c:v>
                </c:pt>
                <c:pt idx="264">
                  <c:v>3.4</c:v>
                </c:pt>
                <c:pt idx="265">
                  <c:v>3</c:v>
                </c:pt>
                <c:pt idx="266">
                  <c:v>2.9</c:v>
                </c:pt>
                <c:pt idx="267">
                  <c:v>1.1</c:v>
                </c:pt>
                <c:pt idx="268">
                  <c:v>2</c:v>
                </c:pt>
                <c:pt idx="269">
                  <c:v>2.3</c:v>
                </c:pt>
                <c:pt idx="270">
                  <c:v>1.7</c:v>
                </c:pt>
                <c:pt idx="271">
                  <c:v>5.7</c:v>
                </c:pt>
                <c:pt idx="272">
                  <c:v>0.8</c:v>
                </c:pt>
                <c:pt idx="273">
                  <c:v>1.6</c:v>
                </c:pt>
                <c:pt idx="274">
                  <c:v>3.2</c:v>
                </c:pt>
                <c:pt idx="275">
                  <c:v>4.3</c:v>
                </c:pt>
                <c:pt idx="276">
                  <c:v>0.5</c:v>
                </c:pt>
                <c:pt idx="277">
                  <c:v>4.3</c:v>
                </c:pt>
                <c:pt idx="278">
                  <c:v>2.4</c:v>
                </c:pt>
                <c:pt idx="279">
                  <c:v>2.8</c:v>
                </c:pt>
                <c:pt idx="280">
                  <c:v>1.2</c:v>
                </c:pt>
                <c:pt idx="281">
                  <c:v>0.6</c:v>
                </c:pt>
                <c:pt idx="282">
                  <c:v>3.9</c:v>
                </c:pt>
                <c:pt idx="283">
                  <c:v>1.8</c:v>
                </c:pt>
                <c:pt idx="284">
                  <c:v>1.2</c:v>
                </c:pt>
                <c:pt idx="285">
                  <c:v>5.5</c:v>
                </c:pt>
                <c:pt idx="286">
                  <c:v>0.7</c:v>
                </c:pt>
                <c:pt idx="287">
                  <c:v>2.8</c:v>
                </c:pt>
              </c:numCache>
            </c:numRef>
          </c:xVal>
          <c:yVal>
            <c:numRef>
              <c:f>Clean_Data!$U$2:$U$289</c:f>
              <c:numCache>
                <c:formatCode>0.0</c:formatCode>
                <c:ptCount val="288"/>
                <c:pt idx="0">
                  <c:v>3.9</c:v>
                </c:pt>
                <c:pt idx="1">
                  <c:v>11.4</c:v>
                </c:pt>
                <c:pt idx="2">
                  <c:v>5.2</c:v>
                </c:pt>
                <c:pt idx="3">
                  <c:v>6.4</c:v>
                </c:pt>
                <c:pt idx="4">
                  <c:v>9.2</c:v>
                </c:pt>
                <c:pt idx="5">
                  <c:v>2.9</c:v>
                </c:pt>
                <c:pt idx="6">
                  <c:v>6.6</c:v>
                </c:pt>
                <c:pt idx="7">
                  <c:v>3.2</c:v>
                </c:pt>
                <c:pt idx="8">
                  <c:v>3.8</c:v>
                </c:pt>
                <c:pt idx="9">
                  <c:v>7.5</c:v>
                </c:pt>
                <c:pt idx="10">
                  <c:v>5.7</c:v>
                </c:pt>
                <c:pt idx="11">
                  <c:v>9.8</c:v>
                </c:pt>
                <c:pt idx="12">
                  <c:v>0.5</c:v>
                </c:pt>
                <c:pt idx="13">
                  <c:v>10.2</c:v>
                </c:pt>
                <c:pt idx="14">
                  <c:v>11.8</c:v>
                </c:pt>
                <c:pt idx="15">
                  <c:v>11.6</c:v>
                </c:pt>
                <c:pt idx="16">
                  <c:v>3.4</c:v>
                </c:pt>
                <c:pt idx="17">
                  <c:v>3.7</c:v>
                </c:pt>
                <c:pt idx="18">
                  <c:v>19.4</c:v>
                </c:pt>
                <c:pt idx="19">
                  <c:v>5.4</c:v>
                </c:pt>
                <c:pt idx="20">
                  <c:v>0</c:v>
                </c:pt>
                <c:pt idx="21">
                  <c:v>2.7</c:v>
                </c:pt>
                <c:pt idx="22">
                  <c:v>2.7</c:v>
                </c:pt>
                <c:pt idx="23">
                  <c:v>4.8</c:v>
                </c:pt>
                <c:pt idx="24">
                  <c:v>3</c:v>
                </c:pt>
                <c:pt idx="25">
                  <c:v>4.5</c:v>
                </c:pt>
                <c:pt idx="26">
                  <c:v>0</c:v>
                </c:pt>
                <c:pt idx="27">
                  <c:v>4.4</c:v>
                </c:pt>
                <c:pt idx="28">
                  <c:v>12.3</c:v>
                </c:pt>
                <c:pt idx="29">
                  <c:v>10.7</c:v>
                </c:pt>
                <c:pt idx="30">
                  <c:v>12.1</c:v>
                </c:pt>
                <c:pt idx="31">
                  <c:v>5.7</c:v>
                </c:pt>
                <c:pt idx="32">
                  <c:v>2.5</c:v>
                </c:pt>
                <c:pt idx="33">
                  <c:v>6.8</c:v>
                </c:pt>
                <c:pt idx="34">
                  <c:v>2</c:v>
                </c:pt>
                <c:pt idx="35">
                  <c:v>4.3</c:v>
                </c:pt>
                <c:pt idx="36">
                  <c:v>3</c:v>
                </c:pt>
                <c:pt idx="37">
                  <c:v>5.3</c:v>
                </c:pt>
                <c:pt idx="38">
                  <c:v>6.5</c:v>
                </c:pt>
                <c:pt idx="39">
                  <c:v>0</c:v>
                </c:pt>
                <c:pt idx="40">
                  <c:v>5.2</c:v>
                </c:pt>
                <c:pt idx="41">
                  <c:v>5.8</c:v>
                </c:pt>
                <c:pt idx="42">
                  <c:v>1.6</c:v>
                </c:pt>
                <c:pt idx="43">
                  <c:v>11.4</c:v>
                </c:pt>
                <c:pt idx="44">
                  <c:v>7.3</c:v>
                </c:pt>
                <c:pt idx="45">
                  <c:v>1.2</c:v>
                </c:pt>
                <c:pt idx="46">
                  <c:v>14.9</c:v>
                </c:pt>
                <c:pt idx="47">
                  <c:v>16.3</c:v>
                </c:pt>
                <c:pt idx="48">
                  <c:v>7.2</c:v>
                </c:pt>
                <c:pt idx="49">
                  <c:v>13.6</c:v>
                </c:pt>
                <c:pt idx="50">
                  <c:v>3.2</c:v>
                </c:pt>
                <c:pt idx="51">
                  <c:v>2.8</c:v>
                </c:pt>
                <c:pt idx="53">
                  <c:v>2.2</c:v>
                </c:pt>
                <c:pt idx="54">
                  <c:v>6</c:v>
                </c:pt>
                <c:pt idx="55">
                  <c:v>11.5</c:v>
                </c:pt>
                <c:pt idx="56">
                  <c:v>1.7</c:v>
                </c:pt>
                <c:pt idx="57">
                  <c:v>13.2</c:v>
                </c:pt>
                <c:pt idx="58">
                  <c:v>2.9</c:v>
                </c:pt>
                <c:pt idx="59">
                  <c:v>4.2</c:v>
                </c:pt>
                <c:pt idx="60">
                  <c:v>12.4</c:v>
                </c:pt>
                <c:pt idx="61">
                  <c:v>7.4</c:v>
                </c:pt>
                <c:pt idx="62">
                  <c:v>0.1</c:v>
                </c:pt>
                <c:pt idx="63">
                  <c:v>8.3</c:v>
                </c:pt>
                <c:pt idx="64">
                  <c:v>0.7</c:v>
                </c:pt>
                <c:pt idx="65">
                  <c:v>3.4</c:v>
                </c:pt>
                <c:pt idx="66">
                  <c:v>2.6</c:v>
                </c:pt>
                <c:pt idx="67">
                  <c:v>2.9</c:v>
                </c:pt>
                <c:pt idx="68">
                  <c:v>0.8</c:v>
                </c:pt>
                <c:pt idx="69">
                  <c:v>11.5</c:v>
                </c:pt>
                <c:pt idx="70">
                  <c:v>6.7</c:v>
                </c:pt>
                <c:pt idx="71">
                  <c:v>2.6</c:v>
                </c:pt>
                <c:pt idx="72">
                  <c:v>2.1</c:v>
                </c:pt>
                <c:pt idx="74">
                  <c:v>2.8</c:v>
                </c:pt>
                <c:pt idx="75">
                  <c:v>12.8</c:v>
                </c:pt>
                <c:pt idx="76">
                  <c:v>3.6</c:v>
                </c:pt>
                <c:pt idx="77">
                  <c:v>16.2</c:v>
                </c:pt>
                <c:pt idx="78">
                  <c:v>7.2</c:v>
                </c:pt>
                <c:pt idx="79">
                  <c:v>4.1</c:v>
                </c:pt>
                <c:pt idx="80">
                  <c:v>5.7</c:v>
                </c:pt>
                <c:pt idx="81">
                  <c:v>4.2</c:v>
                </c:pt>
                <c:pt idx="82">
                  <c:v>2.9</c:v>
                </c:pt>
                <c:pt idx="83">
                  <c:v>2.6</c:v>
                </c:pt>
                <c:pt idx="84">
                  <c:v>9.4</c:v>
                </c:pt>
                <c:pt idx="85">
                  <c:v>2.7</c:v>
                </c:pt>
                <c:pt idx="86">
                  <c:v>2.4</c:v>
                </c:pt>
                <c:pt idx="87">
                  <c:v>1.8</c:v>
                </c:pt>
                <c:pt idx="88">
                  <c:v>0.6</c:v>
                </c:pt>
                <c:pt idx="89">
                  <c:v>6.8</c:v>
                </c:pt>
                <c:pt idx="90">
                  <c:v>4.7</c:v>
                </c:pt>
                <c:pt idx="91">
                  <c:v>0</c:v>
                </c:pt>
                <c:pt idx="92">
                  <c:v>15.1</c:v>
                </c:pt>
                <c:pt idx="93">
                  <c:v>3</c:v>
                </c:pt>
                <c:pt idx="94">
                  <c:v>13.1</c:v>
                </c:pt>
                <c:pt idx="95">
                  <c:v>5.2</c:v>
                </c:pt>
                <c:pt idx="96">
                  <c:v>12</c:v>
                </c:pt>
                <c:pt idx="97">
                  <c:v>4.8</c:v>
                </c:pt>
                <c:pt idx="98">
                  <c:v>4.3</c:v>
                </c:pt>
                <c:pt idx="99">
                  <c:v>4.2</c:v>
                </c:pt>
                <c:pt idx="100">
                  <c:v>1.8</c:v>
                </c:pt>
                <c:pt idx="101">
                  <c:v>1.5</c:v>
                </c:pt>
                <c:pt idx="102">
                  <c:v>3</c:v>
                </c:pt>
                <c:pt idx="103">
                  <c:v>15.6</c:v>
                </c:pt>
                <c:pt idx="104">
                  <c:v>10.7</c:v>
                </c:pt>
                <c:pt idx="105">
                  <c:v>5.2</c:v>
                </c:pt>
                <c:pt idx="106">
                  <c:v>13.1</c:v>
                </c:pt>
                <c:pt idx="107">
                  <c:v>4.9</c:v>
                </c:pt>
                <c:pt idx="108">
                  <c:v>0.6</c:v>
                </c:pt>
                <c:pt idx="109">
                  <c:v>11.4</c:v>
                </c:pt>
                <c:pt idx="110">
                  <c:v>2.3</c:v>
                </c:pt>
                <c:pt idx="111">
                  <c:v>4.1</c:v>
                </c:pt>
                <c:pt idx="112">
                  <c:v>2.7</c:v>
                </c:pt>
                <c:pt idx="113">
                  <c:v>4.9</c:v>
                </c:pt>
                <c:pt idx="114">
                  <c:v>7.9</c:v>
                </c:pt>
                <c:pt idx="115">
                  <c:v>7.2</c:v>
                </c:pt>
                <c:pt idx="116">
                  <c:v>7.7</c:v>
                </c:pt>
                <c:pt idx="117">
                  <c:v>0.8</c:v>
                </c:pt>
                <c:pt idx="118">
                  <c:v>7</c:v>
                </c:pt>
                <c:pt idx="119">
                  <c:v>1.2</c:v>
                </c:pt>
                <c:pt idx="120">
                  <c:v>3.6</c:v>
                </c:pt>
                <c:pt idx="121">
                  <c:v>2.3</c:v>
                </c:pt>
                <c:pt idx="122">
                  <c:v>7.9</c:v>
                </c:pt>
                <c:pt idx="123">
                  <c:v>7.1</c:v>
                </c:pt>
                <c:pt idx="124">
                  <c:v>1.3</c:v>
                </c:pt>
                <c:pt idx="125">
                  <c:v>4.7</c:v>
                </c:pt>
                <c:pt idx="126">
                  <c:v>0.4</c:v>
                </c:pt>
                <c:pt idx="127">
                  <c:v>3.8</c:v>
                </c:pt>
                <c:pt idx="128">
                  <c:v>8.4</c:v>
                </c:pt>
                <c:pt idx="129">
                  <c:v>0.8</c:v>
                </c:pt>
                <c:pt idx="130">
                  <c:v>1.7</c:v>
                </c:pt>
                <c:pt idx="131">
                  <c:v>4.6</c:v>
                </c:pt>
                <c:pt idx="132">
                  <c:v>10.5</c:v>
                </c:pt>
                <c:pt idx="133">
                  <c:v>0</c:v>
                </c:pt>
                <c:pt idx="134">
                  <c:v>5.6</c:v>
                </c:pt>
                <c:pt idx="135">
                  <c:v>4.9</c:v>
                </c:pt>
                <c:pt idx="136">
                  <c:v>5.7</c:v>
                </c:pt>
                <c:pt idx="137">
                  <c:v>14.2</c:v>
                </c:pt>
                <c:pt idx="138">
                  <c:v>2</c:v>
                </c:pt>
                <c:pt idx="139">
                  <c:v>2</c:v>
                </c:pt>
                <c:pt idx="141">
                  <c:v>4.9</c:v>
                </c:pt>
                <c:pt idx="142">
                  <c:v>15.2</c:v>
                </c:pt>
                <c:pt idx="143">
                  <c:v>8.2</c:v>
                </c:pt>
                <c:pt idx="144">
                  <c:v>1.4</c:v>
                </c:pt>
                <c:pt idx="145">
                  <c:v>7.1</c:v>
                </c:pt>
                <c:pt idx="146">
                  <c:v>0</c:v>
                </c:pt>
                <c:pt idx="147">
                  <c:v>2.2</c:v>
                </c:pt>
                <c:pt idx="149">
                  <c:v>1.8</c:v>
                </c:pt>
                <c:pt idx="150">
                  <c:v>0.1</c:v>
                </c:pt>
                <c:pt idx="151">
                  <c:v>6.5</c:v>
                </c:pt>
                <c:pt idx="152">
                  <c:v>4.9</c:v>
                </c:pt>
                <c:pt idx="153">
                  <c:v>1.6</c:v>
                </c:pt>
                <c:pt idx="154">
                  <c:v>9.4</c:v>
                </c:pt>
                <c:pt idx="155">
                  <c:v>2</c:v>
                </c:pt>
                <c:pt idx="156">
                  <c:v>5</c:v>
                </c:pt>
                <c:pt idx="157">
                  <c:v>4.3</c:v>
                </c:pt>
                <c:pt idx="158">
                  <c:v>4.8</c:v>
                </c:pt>
                <c:pt idx="159">
                  <c:v>2.9</c:v>
                </c:pt>
                <c:pt idx="160">
                  <c:v>12.1</c:v>
                </c:pt>
                <c:pt idx="161">
                  <c:v>5.6</c:v>
                </c:pt>
                <c:pt idx="162">
                  <c:v>5.3</c:v>
                </c:pt>
                <c:pt idx="163">
                  <c:v>0</c:v>
                </c:pt>
                <c:pt idx="164">
                  <c:v>0</c:v>
                </c:pt>
                <c:pt idx="165">
                  <c:v>9.9</c:v>
                </c:pt>
                <c:pt idx="166">
                  <c:v>2.7</c:v>
                </c:pt>
                <c:pt idx="167">
                  <c:v>2.9</c:v>
                </c:pt>
                <c:pt idx="168">
                  <c:v>4.4</c:v>
                </c:pt>
                <c:pt idx="169">
                  <c:v>2.1</c:v>
                </c:pt>
                <c:pt idx="171">
                  <c:v>7.5</c:v>
                </c:pt>
                <c:pt idx="172">
                  <c:v>7.1</c:v>
                </c:pt>
                <c:pt idx="173">
                  <c:v>13.5</c:v>
                </c:pt>
                <c:pt idx="174">
                  <c:v>5.7</c:v>
                </c:pt>
                <c:pt idx="175">
                  <c:v>7</c:v>
                </c:pt>
                <c:pt idx="176">
                  <c:v>3.8</c:v>
                </c:pt>
                <c:pt idx="177">
                  <c:v>10.9</c:v>
                </c:pt>
                <c:pt idx="178">
                  <c:v>8</c:v>
                </c:pt>
                <c:pt idx="179">
                  <c:v>3.9</c:v>
                </c:pt>
                <c:pt idx="180">
                  <c:v>7.5</c:v>
                </c:pt>
                <c:pt idx="181">
                  <c:v>7.7</c:v>
                </c:pt>
                <c:pt idx="182">
                  <c:v>15.8</c:v>
                </c:pt>
                <c:pt idx="183">
                  <c:v>3.5</c:v>
                </c:pt>
                <c:pt idx="184">
                  <c:v>6.7</c:v>
                </c:pt>
                <c:pt idx="185">
                  <c:v>3.5</c:v>
                </c:pt>
                <c:pt idx="186">
                  <c:v>6.4</c:v>
                </c:pt>
                <c:pt idx="187">
                  <c:v>8.9</c:v>
                </c:pt>
                <c:pt idx="188">
                  <c:v>0.1</c:v>
                </c:pt>
                <c:pt idx="189">
                  <c:v>3.1</c:v>
                </c:pt>
                <c:pt idx="190">
                  <c:v>9</c:v>
                </c:pt>
                <c:pt idx="191">
                  <c:v>0.5</c:v>
                </c:pt>
                <c:pt idx="192">
                  <c:v>2.1</c:v>
                </c:pt>
                <c:pt idx="193">
                  <c:v>0.5</c:v>
                </c:pt>
                <c:pt idx="194">
                  <c:v>7.2</c:v>
                </c:pt>
                <c:pt idx="195">
                  <c:v>3.6</c:v>
                </c:pt>
                <c:pt idx="196">
                  <c:v>1.2</c:v>
                </c:pt>
                <c:pt idx="197">
                  <c:v>6.5</c:v>
                </c:pt>
                <c:pt idx="198">
                  <c:v>2.5</c:v>
                </c:pt>
                <c:pt idx="200">
                  <c:v>5</c:v>
                </c:pt>
                <c:pt idx="201">
                  <c:v>5.2</c:v>
                </c:pt>
                <c:pt idx="202">
                  <c:v>5.5</c:v>
                </c:pt>
                <c:pt idx="203">
                  <c:v>9.3</c:v>
                </c:pt>
                <c:pt idx="204">
                  <c:v>2.7</c:v>
                </c:pt>
                <c:pt idx="205">
                  <c:v>6.6</c:v>
                </c:pt>
                <c:pt idx="207">
                  <c:v>5.4</c:v>
                </c:pt>
                <c:pt idx="208">
                  <c:v>3</c:v>
                </c:pt>
                <c:pt idx="209">
                  <c:v>10.7</c:v>
                </c:pt>
                <c:pt idx="210">
                  <c:v>1.3</c:v>
                </c:pt>
                <c:pt idx="211">
                  <c:v>7.4</c:v>
                </c:pt>
                <c:pt idx="212">
                  <c:v>2.9</c:v>
                </c:pt>
                <c:pt idx="213">
                  <c:v>14.1</c:v>
                </c:pt>
                <c:pt idx="214">
                  <c:v>6.8</c:v>
                </c:pt>
                <c:pt idx="215">
                  <c:v>12.4</c:v>
                </c:pt>
                <c:pt idx="216">
                  <c:v>5.5</c:v>
                </c:pt>
                <c:pt idx="217">
                  <c:v>5.6</c:v>
                </c:pt>
                <c:pt idx="218">
                  <c:v>6.5</c:v>
                </c:pt>
                <c:pt idx="219">
                  <c:v>6</c:v>
                </c:pt>
                <c:pt idx="220">
                  <c:v>5.7</c:v>
                </c:pt>
                <c:pt idx="221">
                  <c:v>5.1</c:v>
                </c:pt>
                <c:pt idx="222">
                  <c:v>10</c:v>
                </c:pt>
                <c:pt idx="223">
                  <c:v>5.9</c:v>
                </c:pt>
                <c:pt idx="224">
                  <c:v>4.2</c:v>
                </c:pt>
                <c:pt idx="225">
                  <c:v>5.9</c:v>
                </c:pt>
                <c:pt idx="226">
                  <c:v>11.3</c:v>
                </c:pt>
                <c:pt idx="227">
                  <c:v>13</c:v>
                </c:pt>
                <c:pt idx="228">
                  <c:v>16.5</c:v>
                </c:pt>
                <c:pt idx="229">
                  <c:v>3.6</c:v>
                </c:pt>
                <c:pt idx="230">
                  <c:v>9.8</c:v>
                </c:pt>
                <c:pt idx="231">
                  <c:v>8.4</c:v>
                </c:pt>
                <c:pt idx="232">
                  <c:v>5.9</c:v>
                </c:pt>
                <c:pt idx="233">
                  <c:v>9</c:v>
                </c:pt>
                <c:pt idx="234">
                  <c:v>1.9</c:v>
                </c:pt>
                <c:pt idx="235">
                  <c:v>1</c:v>
                </c:pt>
                <c:pt idx="236">
                  <c:v>10.5</c:v>
                </c:pt>
                <c:pt idx="237">
                  <c:v>3</c:v>
                </c:pt>
                <c:pt idx="238">
                  <c:v>2.7</c:v>
                </c:pt>
                <c:pt idx="239">
                  <c:v>4.3</c:v>
                </c:pt>
                <c:pt idx="240">
                  <c:v>17.7</c:v>
                </c:pt>
                <c:pt idx="241">
                  <c:v>1.5</c:v>
                </c:pt>
                <c:pt idx="242">
                  <c:v>17.2</c:v>
                </c:pt>
                <c:pt idx="243">
                  <c:v>1.5</c:v>
                </c:pt>
                <c:pt idx="244">
                  <c:v>5.5</c:v>
                </c:pt>
                <c:pt idx="245">
                  <c:v>11.7</c:v>
                </c:pt>
                <c:pt idx="246">
                  <c:v>2.5</c:v>
                </c:pt>
                <c:pt idx="248">
                  <c:v>4</c:v>
                </c:pt>
                <c:pt idx="249">
                  <c:v>8.4</c:v>
                </c:pt>
                <c:pt idx="250">
                  <c:v>5.8</c:v>
                </c:pt>
                <c:pt idx="251">
                  <c:v>1.9</c:v>
                </c:pt>
                <c:pt idx="252">
                  <c:v>5.9</c:v>
                </c:pt>
                <c:pt idx="253">
                  <c:v>2.2</c:v>
                </c:pt>
                <c:pt idx="254">
                  <c:v>5.6</c:v>
                </c:pt>
                <c:pt idx="255">
                  <c:v>14.2</c:v>
                </c:pt>
                <c:pt idx="256">
                  <c:v>4.8</c:v>
                </c:pt>
                <c:pt idx="257">
                  <c:v>15.8</c:v>
                </c:pt>
                <c:pt idx="259">
                  <c:v>0.1</c:v>
                </c:pt>
                <c:pt idx="260">
                  <c:v>3.7</c:v>
                </c:pt>
                <c:pt idx="261">
                  <c:v>6.2</c:v>
                </c:pt>
                <c:pt idx="262">
                  <c:v>6.4</c:v>
                </c:pt>
                <c:pt idx="263">
                  <c:v>6.9</c:v>
                </c:pt>
                <c:pt idx="264">
                  <c:v>7.7</c:v>
                </c:pt>
                <c:pt idx="265">
                  <c:v>7.1</c:v>
                </c:pt>
                <c:pt idx="266">
                  <c:v>8.3</c:v>
                </c:pt>
                <c:pt idx="267">
                  <c:v>5.1</c:v>
                </c:pt>
                <c:pt idx="268">
                  <c:v>3.8</c:v>
                </c:pt>
                <c:pt idx="269">
                  <c:v>3.4</c:v>
                </c:pt>
                <c:pt idx="270">
                  <c:v>3.7</c:v>
                </c:pt>
                <c:pt idx="271">
                  <c:v>13.4</c:v>
                </c:pt>
                <c:pt idx="272">
                  <c:v>4.3</c:v>
                </c:pt>
                <c:pt idx="273">
                  <c:v>5.3</c:v>
                </c:pt>
                <c:pt idx="274">
                  <c:v>10</c:v>
                </c:pt>
                <c:pt idx="275">
                  <c:v>8.1</c:v>
                </c:pt>
                <c:pt idx="276">
                  <c:v>3.1</c:v>
                </c:pt>
                <c:pt idx="277">
                  <c:v>4.8</c:v>
                </c:pt>
                <c:pt idx="278">
                  <c:v>4.8</c:v>
                </c:pt>
                <c:pt idx="279">
                  <c:v>3.9</c:v>
                </c:pt>
                <c:pt idx="280">
                  <c:v>1.1</c:v>
                </c:pt>
                <c:pt idx="281">
                  <c:v>3.6</c:v>
                </c:pt>
                <c:pt idx="282">
                  <c:v>7.3</c:v>
                </c:pt>
                <c:pt idx="284">
                  <c:v>1</c:v>
                </c:pt>
                <c:pt idx="285">
                  <c:v>11.5</c:v>
                </c:pt>
                <c:pt idx="286">
                  <c:v>1.7</c:v>
                </c:pt>
                <c:pt idx="287">
                  <c:v>6.2</c:v>
                </c:pt>
              </c:numCache>
            </c:numRef>
          </c:yVal>
          <c:smooth val="1"/>
        </c:ser>
        <c:axId val="73816981"/>
        <c:axId val="91246102"/>
      </c:scatterChart>
      <c:valAx>
        <c:axId val="73816981"/>
        <c:scaling>
          <c:orientation val="minMax"/>
          <c:max val="12"/>
          <c:min val="0"/>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AI hours per day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46102"/>
        <c:crosses val="autoZero"/>
        <c:crossBetween val="midCat"/>
      </c:valAx>
      <c:valAx>
        <c:axId val="912461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 saved per week</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816981"/>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Would they recommend their AI tool?</a:t>
            </a:r>
          </a:p>
        </c:rich>
      </c:tx>
      <c:overlay val="0"/>
      <c:spPr>
        <a:noFill/>
        <a:ln w="0">
          <a:noFill/>
        </a:ln>
      </c:spPr>
    </c:title>
    <c:autoTitleDeleted val="0"/>
    <c:plotArea>
      <c:doughnutChart>
        <c:varyColors val="1"/>
        <c:ser>
          <c:idx val="0"/>
          <c:order val="0"/>
          <c:tx>
            <c:strRef>
              <c:f>Analysis!B73</c:f>
              <c:strCache>
                <c:ptCount val="1"/>
                <c:pt idx="0">
                  <c:v>Users</c:v>
                </c:pt>
              </c:strCache>
            </c:strRef>
          </c:tx>
          <c:spPr>
            <a:solidFill>
              <a:srgbClr val="4f81bd"/>
            </a:solidFill>
            <a:ln w="0">
              <a:noFill/>
            </a:ln>
          </c:spPr>
          <c:explosion val="0"/>
          <c:dPt>
            <c:idx val="0"/>
            <c:spPr>
              <a:solidFill>
                <a:srgbClr val="14b8a6"/>
              </a:solidFill>
              <a:ln w="0">
                <a:noFill/>
              </a:ln>
            </c:spPr>
          </c:dPt>
          <c:dPt>
            <c:idx val="1"/>
            <c:spPr>
              <a:solidFill>
                <a:srgbClr val="fbbf24"/>
              </a:solidFill>
              <a:ln w="0">
                <a:noFill/>
              </a:ln>
            </c:spPr>
          </c:dPt>
          <c:dPt>
            <c:idx val="2"/>
            <c:spPr>
              <a:solidFill>
                <a:srgbClr val="f97316"/>
              </a:solidFill>
              <a:ln w="0">
                <a:noFill/>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1"/>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1"/>
            <c:separator>
</c:separator>
            <c:showLeaderLines val="1"/>
          </c:dLbls>
          <c:cat>
            <c:strRef>
              <c:f>Analysis!$A$74:$A$76</c:f>
              <c:strCache>
                <c:ptCount val="3"/>
                <c:pt idx="0">
                  <c:v>Yes</c:v>
                </c:pt>
                <c:pt idx="1">
                  <c:v>Maybe</c:v>
                </c:pt>
                <c:pt idx="2">
                  <c:v>No</c:v>
                </c:pt>
              </c:strCache>
            </c:strRef>
          </c:cat>
          <c:val>
            <c:numRef>
              <c:f>Analysis!$B$74:$B$76</c:f>
              <c:numCache>
                <c:formatCode>0</c:formatCode>
                <c:ptCount val="3"/>
                <c:pt idx="0">
                  <c:v>170</c:v>
                </c:pt>
                <c:pt idx="1">
                  <c:v>42</c:v>
                </c:pt>
                <c:pt idx="2">
                  <c:v>71</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Hours saved per week by job or field</a:t>
            </a:r>
          </a:p>
        </c:rich>
      </c:tx>
      <c:overlay val="0"/>
      <c:spPr>
        <a:noFill/>
        <a:ln w="0">
          <a:noFill/>
        </a:ln>
      </c:spPr>
    </c:title>
    <c:autoTitleDeleted val="0"/>
    <c:plotArea>
      <c:barChart>
        <c:barDir val="bar"/>
        <c:grouping val="clustered"/>
        <c:varyColors val="0"/>
        <c:ser>
          <c:idx val="0"/>
          <c:order val="0"/>
          <c:tx>
            <c:strRef>
              <c:f>Analysis!D80</c:f>
              <c:strCache>
                <c:ptCount val="1"/>
                <c:pt idx="0">
                  <c:v>Avg Hrs Saved / Week</c:v>
                </c:pt>
              </c:strCache>
            </c:strRef>
          </c:tx>
          <c:spPr>
            <a:solidFill>
              <a:srgbClr val="7c3aed"/>
            </a:solidFill>
            <a:ln w="0">
              <a:solidFill>
                <a:srgbClr val="7c3aed"/>
              </a:solid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Analysis!$A$81:$A$87</c:f>
              <c:strCache>
                <c:ptCount val="7"/>
                <c:pt idx="0">
                  <c:v>Content, Media &amp; Writing</c:v>
                </c:pt>
                <c:pt idx="1">
                  <c:v>Software &amp; IT</c:v>
                </c:pt>
                <c:pt idx="2">
                  <c:v>Data &amp; Analytics</c:v>
                </c:pt>
                <c:pt idx="3">
                  <c:v>Science &amp; Research</c:v>
                </c:pt>
                <c:pt idx="4">
                  <c:v>Customer Support</c:v>
                </c:pt>
                <c:pt idx="5">
                  <c:v>Engineering</c:v>
                </c:pt>
                <c:pt idx="6">
                  <c:v>Business &amp; Admin</c:v>
                </c:pt>
              </c:strCache>
            </c:strRef>
          </c:cat>
          <c:val>
            <c:numRef>
              <c:f>Analysis!$D$81:$D$87</c:f>
              <c:numCache>
                <c:formatCode>0.0</c:formatCode>
                <c:ptCount val="7"/>
                <c:pt idx="0">
                  <c:v>6.41066666666667</c:v>
                </c:pt>
                <c:pt idx="1">
                  <c:v>5.46164383561644</c:v>
                </c:pt>
                <c:pt idx="2">
                  <c:v>5.01714285714286</c:v>
                </c:pt>
                <c:pt idx="3">
                  <c:v>5.80263157894737</c:v>
                </c:pt>
                <c:pt idx="4">
                  <c:v>4.90555555555556</c:v>
                </c:pt>
                <c:pt idx="5">
                  <c:v>5.48461538461539</c:v>
                </c:pt>
                <c:pt idx="6">
                  <c:v>7.60769230769231</c:v>
                </c:pt>
              </c:numCache>
            </c:numRef>
          </c:val>
        </c:ser>
        <c:gapWidth val="45"/>
        <c:overlap val="0"/>
        <c:axId val="1622772"/>
        <c:axId val="41130934"/>
      </c:barChart>
      <c:catAx>
        <c:axId val="162277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30934"/>
        <c:crosses val="autoZero"/>
        <c:auto val="1"/>
        <c:lblAlgn val="ctr"/>
        <c:lblOffset val="100"/>
        <c:noMultiLvlLbl val="0"/>
      </c:catAx>
      <c:valAx>
        <c:axId val="41130934"/>
        <c:scaling>
          <c:orientation val="minMax"/>
          <c:min val="0"/>
        </c:scaling>
        <c:delete val="0"/>
        <c:axPos val="l"/>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227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14</xdr:row>
      <xdr:rowOff>109440</xdr:rowOff>
    </xdr:from>
    <xdr:to>
      <xdr:col>11</xdr:col>
      <xdr:colOff>262440</xdr:colOff>
      <xdr:row>30</xdr:row>
      <xdr:rowOff>79560</xdr:rowOff>
    </xdr:to>
    <xdr:graphicFrame>
      <xdr:nvGraphicFramePr>
        <xdr:cNvPr id="0" name="Chart 1"/>
        <xdr:cNvGraphicFramePr/>
      </xdr:nvGraphicFramePr>
      <xdr:xfrm>
        <a:off x="0" y="3362400"/>
        <a:ext cx="7631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14</xdr:row>
      <xdr:rowOff>109440</xdr:rowOff>
    </xdr:from>
    <xdr:to>
      <xdr:col>23</xdr:col>
      <xdr:colOff>262440</xdr:colOff>
      <xdr:row>30</xdr:row>
      <xdr:rowOff>79560</xdr:rowOff>
    </xdr:to>
    <xdr:graphicFrame>
      <xdr:nvGraphicFramePr>
        <xdr:cNvPr id="1" name="Chart 2"/>
        <xdr:cNvGraphicFramePr/>
      </xdr:nvGraphicFramePr>
      <xdr:xfrm>
        <a:off x="8039160" y="3362400"/>
        <a:ext cx="7631640" cy="295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31</xdr:row>
      <xdr:rowOff>176040</xdr:rowOff>
    </xdr:from>
    <xdr:to>
      <xdr:col>11</xdr:col>
      <xdr:colOff>262440</xdr:colOff>
      <xdr:row>47</xdr:row>
      <xdr:rowOff>79560</xdr:rowOff>
    </xdr:to>
    <xdr:graphicFrame>
      <xdr:nvGraphicFramePr>
        <xdr:cNvPr id="2" name="Chart 3"/>
        <xdr:cNvGraphicFramePr/>
      </xdr:nvGraphicFramePr>
      <xdr:xfrm>
        <a:off x="0" y="6600960"/>
        <a:ext cx="7631640" cy="2951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31</xdr:row>
      <xdr:rowOff>176040</xdr:rowOff>
    </xdr:from>
    <xdr:to>
      <xdr:col>23</xdr:col>
      <xdr:colOff>262440</xdr:colOff>
      <xdr:row>47</xdr:row>
      <xdr:rowOff>79560</xdr:rowOff>
    </xdr:to>
    <xdr:graphicFrame>
      <xdr:nvGraphicFramePr>
        <xdr:cNvPr id="3" name="Chart 4"/>
        <xdr:cNvGraphicFramePr/>
      </xdr:nvGraphicFramePr>
      <xdr:xfrm>
        <a:off x="8039160" y="6600960"/>
        <a:ext cx="7631640" cy="2951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48</xdr:row>
      <xdr:rowOff>175680</xdr:rowOff>
    </xdr:from>
    <xdr:to>
      <xdr:col>11</xdr:col>
      <xdr:colOff>262440</xdr:colOff>
      <xdr:row>64</xdr:row>
      <xdr:rowOff>79200</xdr:rowOff>
    </xdr:to>
    <xdr:graphicFrame>
      <xdr:nvGraphicFramePr>
        <xdr:cNvPr id="4" name="Chart 5"/>
        <xdr:cNvGraphicFramePr/>
      </xdr:nvGraphicFramePr>
      <xdr:xfrm>
        <a:off x="0" y="9839160"/>
        <a:ext cx="7631640" cy="2951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0</xdr:colOff>
      <xdr:row>48</xdr:row>
      <xdr:rowOff>175680</xdr:rowOff>
    </xdr:from>
    <xdr:to>
      <xdr:col>23</xdr:col>
      <xdr:colOff>262440</xdr:colOff>
      <xdr:row>64</xdr:row>
      <xdr:rowOff>79200</xdr:rowOff>
    </xdr:to>
    <xdr:graphicFrame>
      <xdr:nvGraphicFramePr>
        <xdr:cNvPr id="5" name="Chart 6"/>
        <xdr:cNvGraphicFramePr/>
      </xdr:nvGraphicFramePr>
      <xdr:xfrm>
        <a:off x="8039160" y="9839160"/>
        <a:ext cx="7631640" cy="2951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id="1" name="CleanData" displayName="CleanData" ref="A1:Y289" headerRowCount="1" totalsRowCount="0" totalsRowShown="0">
  <autoFilter ref="A1:Y289"/>
  <tableColumns count="25">
    <tableColumn id="1" name="User_ID"/>
    <tableColumn id="2" name="Age"/>
    <tableColumn id="3" name="Age_Group"/>
    <tableColumn id="4" name="Gender"/>
    <tableColumn id="5" name="Country"/>
    <tableColumn id="6" name="User_Type"/>
    <tableColumn id="7" name="Education_Level"/>
    <tableColumn id="8" name="Profession"/>
    <tableColumn id="9" name="Profession_Group"/>
    <tableColumn id="10" name="Monthly_Income"/>
    <tableColumn id="11" name="AI_Tool"/>
    <tableColumn id="12" name="AI_Purpose"/>
    <tableColumn id="13" name="AI_Hours_Per_Day"/>
    <tableColumn id="14" name="Work_Study_Hours_Per_Day"/>
    <tableColumn id="15" name="AI_Share_of_Day"/>
    <tableColumn id="16" name="Monthly_AI_Cost"/>
    <tableColumn id="17" name="Plan_Type"/>
    <tableColumn id="18" name="Productivity_Score"/>
    <tableColumn id="19" name="Accuracy_Rating"/>
    <tableColumn id="20" name="Satisfaction_Score"/>
    <tableColumn id="21" name="Time_Saved_Hours_Per_Week"/>
    <tableColumn id="22" name="Hours_Saved_per_AI_Hour"/>
    <tableColumn id="23" name="Would_Recommend"/>
    <tableColumn id="24" name="Data_Flags"/>
    <tableColumn id="25" name="Tasks_Performe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X79"/>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0" width="9.51"/>
  </cols>
  <sheetData>
    <row r="1" customFormat="false" ht="21.7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row>
    <row r="2" customFormat="false" ht="21.75" hidden="false" customHeight="true" outlineLevel="0" collapsed="false">
      <c r="A2" s="1"/>
      <c r="B2" s="1"/>
      <c r="C2" s="1"/>
      <c r="D2" s="1"/>
      <c r="E2" s="1"/>
      <c r="F2" s="1"/>
      <c r="G2" s="1"/>
      <c r="H2" s="1"/>
      <c r="I2" s="1"/>
      <c r="J2" s="1"/>
      <c r="K2" s="1"/>
      <c r="L2" s="1"/>
      <c r="M2" s="1"/>
      <c r="N2" s="1"/>
      <c r="O2" s="1"/>
      <c r="P2" s="1"/>
      <c r="Q2" s="1"/>
      <c r="R2" s="1"/>
      <c r="S2" s="1"/>
      <c r="T2" s="1"/>
      <c r="U2" s="1"/>
      <c r="V2" s="1"/>
      <c r="W2" s="1"/>
      <c r="X2" s="1"/>
    </row>
    <row r="3" customFormat="false" ht="18" hidden="false" customHeight="true" outlineLevel="0" collapsed="false">
      <c r="A3" s="2" t="s">
        <v>1</v>
      </c>
      <c r="B3" s="3"/>
      <c r="C3" s="3"/>
      <c r="D3" s="3"/>
      <c r="E3" s="3"/>
      <c r="F3" s="3"/>
      <c r="G3" s="3"/>
      <c r="H3" s="3"/>
      <c r="I3" s="3"/>
      <c r="J3" s="3"/>
      <c r="K3" s="3"/>
      <c r="L3" s="3"/>
      <c r="M3" s="3"/>
      <c r="N3" s="3"/>
      <c r="O3" s="3"/>
      <c r="P3" s="3"/>
      <c r="Q3" s="3"/>
      <c r="R3" s="3"/>
      <c r="S3" s="3"/>
      <c r="T3" s="3"/>
      <c r="U3" s="3"/>
      <c r="V3" s="3"/>
      <c r="W3" s="3"/>
      <c r="X3" s="3"/>
    </row>
    <row r="4" customFormat="false" ht="7.5" hidden="false" customHeight="true" outlineLevel="0" collapsed="false">
      <c r="A4" s="4"/>
      <c r="B4" s="4"/>
      <c r="C4" s="4"/>
      <c r="D4" s="4"/>
      <c r="E4" s="4"/>
      <c r="F4" s="4"/>
      <c r="G4" s="4"/>
      <c r="H4" s="4"/>
      <c r="I4" s="4"/>
      <c r="J4" s="4"/>
      <c r="K4" s="4"/>
      <c r="L4" s="4"/>
      <c r="M4" s="4"/>
      <c r="N4" s="4"/>
      <c r="O4" s="4"/>
      <c r="P4" s="4"/>
      <c r="Q4" s="4"/>
      <c r="R4" s="4"/>
      <c r="S4" s="4"/>
      <c r="T4" s="4"/>
      <c r="U4" s="4"/>
      <c r="V4" s="4"/>
      <c r="W4" s="4"/>
      <c r="X4" s="4"/>
    </row>
    <row r="5" customFormat="false" ht="19.5" hidden="false" customHeight="true" outlineLevel="0" collapsed="false">
      <c r="A5" s="5" t="s">
        <v>2</v>
      </c>
      <c r="B5" s="5"/>
      <c r="C5" s="5"/>
      <c r="D5" s="5"/>
      <c r="E5" s="6" t="s">
        <v>3</v>
      </c>
      <c r="F5" s="6"/>
      <c r="G5" s="6"/>
      <c r="H5" s="6"/>
      <c r="I5" s="7" t="s">
        <v>4</v>
      </c>
      <c r="J5" s="7"/>
      <c r="K5" s="7"/>
      <c r="L5" s="7"/>
      <c r="M5" s="8" t="s">
        <v>5</v>
      </c>
      <c r="N5" s="8"/>
      <c r="O5" s="8"/>
      <c r="P5" s="8"/>
      <c r="Q5" s="5" t="s">
        <v>6</v>
      </c>
      <c r="R5" s="5"/>
      <c r="S5" s="5"/>
      <c r="T5" s="5"/>
      <c r="U5" s="9" t="s">
        <v>7</v>
      </c>
      <c r="V5" s="9"/>
      <c r="W5" s="9"/>
      <c r="X5" s="9"/>
    </row>
    <row r="6" customFormat="false" ht="19.5" hidden="false" customHeight="true" outlineLevel="0" collapsed="false">
      <c r="A6" s="10" t="n">
        <f aca="false">COUNTA(Clean_Data!$A$2:$A$289)</f>
        <v>288</v>
      </c>
      <c r="B6" s="10"/>
      <c r="C6" s="10"/>
      <c r="D6" s="10"/>
      <c r="E6" s="11" t="n">
        <f aca="false">AVERAGE(Clean_Data!$M$2:$M$289)</f>
        <v>2.87</v>
      </c>
      <c r="F6" s="11"/>
      <c r="G6" s="11"/>
      <c r="H6" s="11"/>
      <c r="I6" s="11" t="n">
        <f aca="false">AVERAGE(Clean_Data!$U$2:$U$289)</f>
        <v>5.81007194244604</v>
      </c>
      <c r="J6" s="11"/>
      <c r="K6" s="11"/>
      <c r="L6" s="11"/>
      <c r="M6" s="12" t="n">
        <f aca="false">AVERAGE(Clean_Data!$T$2:$T$289)</f>
        <v>6.13167259786477</v>
      </c>
      <c r="N6" s="12"/>
      <c r="O6" s="12"/>
      <c r="P6" s="12"/>
      <c r="Q6" s="13" t="n">
        <f aca="false">COUNTIFS(Clean_Data!$W$2:$W$289,"Yes")/(COUNTIFS(Clean_Data!$W$2:$W$289,"Yes")+COUNTIFS(Clean_Data!$W$2:$W$289,"Maybe")+COUNTIFS(Clean_Data!$W$2:$W$289,"No"))</f>
        <v>0.600706713780919</v>
      </c>
      <c r="R6" s="13"/>
      <c r="S6" s="13"/>
      <c r="T6" s="13"/>
      <c r="U6" s="13" t="n">
        <f aca="false">COUNTIFS(Clean_Data!$Q$2:$Q$289,"Paid")/(COUNTIFS(Clean_Data!$Q$2:$Q$289,"Paid")+COUNTIFS(Clean_Data!$Q$2:$Q$289,"Free"))</f>
        <v>0.467391304347826</v>
      </c>
      <c r="V6" s="13"/>
      <c r="W6" s="13"/>
      <c r="X6" s="13"/>
    </row>
    <row r="7" customFormat="false" ht="19.5" hidden="false" customHeight="true" outlineLevel="0" collapsed="false">
      <c r="A7" s="10"/>
      <c r="B7" s="10"/>
      <c r="C7" s="10"/>
      <c r="D7" s="10"/>
      <c r="E7" s="11"/>
      <c r="F7" s="11"/>
      <c r="G7" s="11"/>
      <c r="H7" s="11"/>
      <c r="I7" s="11"/>
      <c r="J7" s="11"/>
      <c r="K7" s="11"/>
      <c r="L7" s="11"/>
      <c r="M7" s="12"/>
      <c r="N7" s="12"/>
      <c r="O7" s="12"/>
      <c r="P7" s="12"/>
      <c r="Q7" s="13"/>
      <c r="R7" s="13"/>
      <c r="S7" s="13"/>
      <c r="T7" s="13"/>
      <c r="U7" s="13"/>
      <c r="V7" s="13"/>
      <c r="W7" s="13"/>
      <c r="X7" s="13"/>
    </row>
    <row r="8" customFormat="false" ht="15.75" hidden="false" customHeight="true" outlineLevel="0" collapsed="false">
      <c r="A8" s="14" t="str">
        <f aca="false">TEXT(COUNTIFS(Clean_Data!$F$2:$F$289,"Student")/COUNTA(Clean_Data!$A$2:$A$289),"0%")&amp;" students, "&amp;TEXT(COUNTIFS(Clean_Data!$F$2:$F$289,"Professional")/COUNTA(Clean_Data!$A$2:$A$289),"0%")&amp;" professionals"</f>
        <v>52% students, 48% professionals</v>
      </c>
      <c r="B8" s="14"/>
      <c r="C8" s="14"/>
      <c r="D8" s="14"/>
      <c r="E8" s="14" t="s">
        <v>8</v>
      </c>
      <c r="F8" s="14"/>
      <c r="G8" s="14"/>
      <c r="H8" s="14"/>
      <c r="I8" s="14" t="s">
        <v>8</v>
      </c>
      <c r="J8" s="14"/>
      <c r="K8" s="14"/>
      <c r="L8" s="14"/>
      <c r="M8" s="14" t="s">
        <v>9</v>
      </c>
      <c r="N8" s="14"/>
      <c r="O8" s="14"/>
      <c r="P8" s="14"/>
      <c r="Q8" s="14" t="s">
        <v>10</v>
      </c>
      <c r="R8" s="14"/>
      <c r="S8" s="14"/>
      <c r="T8" s="14"/>
      <c r="U8" s="14" t="s">
        <v>11</v>
      </c>
      <c r="V8" s="14"/>
      <c r="W8" s="14"/>
      <c r="X8" s="14"/>
    </row>
    <row r="9" customFormat="false" ht="9.75" hidden="false" customHeight="true" outlineLevel="0" collapsed="false">
      <c r="A9" s="4"/>
      <c r="B9" s="4"/>
      <c r="C9" s="4"/>
      <c r="D9" s="4"/>
      <c r="E9" s="4"/>
      <c r="F9" s="4"/>
      <c r="G9" s="4"/>
      <c r="H9" s="4"/>
      <c r="I9" s="4"/>
      <c r="J9" s="4"/>
      <c r="K9" s="4"/>
      <c r="L9" s="4"/>
      <c r="M9" s="4"/>
      <c r="N9" s="4"/>
      <c r="O9" s="4"/>
      <c r="P9" s="4"/>
      <c r="Q9" s="4"/>
      <c r="R9" s="4"/>
      <c r="S9" s="4"/>
      <c r="T9" s="4"/>
      <c r="U9" s="4"/>
      <c r="V9" s="4"/>
      <c r="W9" s="4"/>
      <c r="X9" s="4"/>
    </row>
    <row r="10" customFormat="false" ht="16.15" hidden="false" customHeight="false" outlineLevel="0" collapsed="false">
      <c r="A10" s="15" t="s">
        <v>12</v>
      </c>
      <c r="B10" s="4"/>
      <c r="C10" s="4"/>
      <c r="D10" s="4"/>
      <c r="E10" s="4"/>
      <c r="F10" s="4"/>
      <c r="G10" s="4"/>
      <c r="H10" s="4"/>
      <c r="I10" s="4"/>
      <c r="J10" s="4"/>
      <c r="K10" s="4"/>
      <c r="L10" s="4"/>
      <c r="M10" s="4"/>
      <c r="N10" s="4"/>
      <c r="O10" s="4"/>
      <c r="P10" s="4"/>
      <c r="Q10" s="4"/>
      <c r="R10" s="4"/>
      <c r="S10" s="4"/>
      <c r="T10" s="4"/>
      <c r="U10" s="4"/>
      <c r="V10" s="4"/>
      <c r="W10" s="4"/>
      <c r="X10" s="4"/>
    </row>
    <row r="11" customFormat="false" ht="21.75" hidden="false" customHeight="true" outlineLevel="0" collapsed="false">
      <c r="A11" s="16" t="str">
        <f aca="false">"Tool race: "&amp;INDEX(Analysis!$A$6:$A$13,MATCH(MAX(Analysis!$B$6:$B$13),Analysis!$B$6:$B$13,0))&amp;" is used by "&amp;TEXT(MAX(Analysis!$B$6:$B$13)/SUM(Analysis!$B$6:$B$13),"0%")&amp;" of people. Highest satisfaction among tools with 15+ users: "&amp;INDEX(Analysis!$A$6:$A$13,MATCH(1,INDEX((Analysis!$B$6:$B$13&gt;=15)*(Analysis!$D$6:$D$13=MAX(INDEX((Analysis!$B$6:$B$13&gt;=15)*Analysis!$D$6:$D$13,0))),0),0))&amp;"."</f>
        <v>Tool race: ChatGPT is used by 43% of people. Highest satisfaction among tools with 15+ users: Microsoft Copilot.</v>
      </c>
      <c r="B11" s="16"/>
      <c r="C11" s="16"/>
      <c r="D11" s="16"/>
      <c r="E11" s="16"/>
      <c r="F11" s="16"/>
      <c r="G11" s="16"/>
      <c r="H11" s="16"/>
      <c r="I11" s="16"/>
      <c r="J11" s="16"/>
      <c r="K11" s="16"/>
      <c r="L11" s="16"/>
      <c r="M11" s="16"/>
      <c r="N11" s="16"/>
      <c r="O11" s="16"/>
      <c r="P11" s="16"/>
      <c r="Q11" s="16"/>
      <c r="R11" s="16"/>
      <c r="S11" s="16"/>
      <c r="T11" s="16"/>
      <c r="U11" s="16"/>
      <c r="V11" s="16"/>
      <c r="W11" s="16"/>
      <c r="X11" s="16"/>
    </row>
    <row r="12" customFormat="false" ht="21.75" hidden="false" customHeight="true" outlineLevel="0" collapsed="false">
      <c r="A12" s="17" t="str">
        <f aca="false">"Students vs professionals: professionals report "&amp;TEXT(Analysis!$C$38,"0.0")&amp;" hrs saved per week, students "&amp;TEXT(Analysis!$B$38,"0.0")&amp;". Average AI use per day: "&amp;TEXT(Analysis!$C$33,"0.0")&amp;" hrs (professionals) vs "&amp;TEXT(Analysis!$B$33,"0.0")&amp;" hrs (students)."</f>
        <v>Students vs professionals: professionals report 5.6 hrs saved per week, students 6.0. Average AI use per day: 2.7 hrs (professionals) vs 3.0 hrs (students).</v>
      </c>
      <c r="B12" s="17"/>
      <c r="C12" s="17"/>
      <c r="D12" s="17"/>
      <c r="E12" s="17"/>
      <c r="F12" s="17"/>
      <c r="G12" s="17"/>
      <c r="H12" s="17"/>
      <c r="I12" s="17"/>
      <c r="J12" s="17"/>
      <c r="K12" s="17"/>
      <c r="L12" s="17"/>
      <c r="M12" s="17"/>
      <c r="N12" s="17"/>
      <c r="O12" s="17"/>
      <c r="P12" s="17"/>
      <c r="Q12" s="17"/>
      <c r="R12" s="17"/>
      <c r="S12" s="17"/>
      <c r="T12" s="17"/>
      <c r="U12" s="17"/>
      <c r="V12" s="17"/>
      <c r="W12" s="17"/>
      <c r="X12" s="17"/>
    </row>
    <row r="13" customFormat="false" ht="21.75" hidden="false" customHeight="true" outlineLevel="0" collapsed="false">
      <c r="A13" s="18" t="str">
        <f aca="false">"Money: "&amp;TEXT(Analysis!$B$68/(Analysis!$B$68+Analysis!$B$69),"0%")&amp;" of users pay nothing. Paid-plan satisfaction averages "&amp;TEXT(Analysis!$D$69,"0.0")&amp;" vs "&amp;TEXT(Analysis!$D$68,"0.0")&amp;" on free plans."</f>
        <v>Money: 53% of users pay nothing. Paid-plan satisfaction averages 6.0 vs 6.2 on free plans.</v>
      </c>
      <c r="B13" s="18"/>
      <c r="C13" s="18"/>
      <c r="D13" s="18"/>
      <c r="E13" s="18"/>
      <c r="F13" s="18"/>
      <c r="G13" s="18"/>
      <c r="H13" s="18"/>
      <c r="I13" s="18"/>
      <c r="J13" s="18"/>
      <c r="K13" s="18"/>
      <c r="L13" s="18"/>
      <c r="M13" s="18"/>
      <c r="N13" s="18"/>
      <c r="O13" s="18"/>
      <c r="P13" s="18"/>
      <c r="Q13" s="18"/>
      <c r="R13" s="18"/>
      <c r="S13" s="18"/>
      <c r="T13" s="18"/>
      <c r="U13" s="18"/>
      <c r="V13" s="18"/>
      <c r="W13" s="18"/>
      <c r="X13" s="18"/>
    </row>
    <row r="14" customFormat="false" ht="21.75" hidden="false" customHeight="true" outlineLevel="0" collapsed="false">
      <c r="A14" s="19" t="str">
        <f aca="false">"Time vs payoff: AI hours per day and hours saved per week have a "&amp;LOWER(Analysis!$C$92)&amp;" link (r = "&amp;TEXT(Analysis!$B$92,"0.00")&amp;"). Productivity and satisfaction: "&amp;LOWER(Analysis!$C$94)&amp;" (r = "&amp;TEXT(Analysis!$B$94,"0.00")&amp;")."</f>
        <v>Time vs payoff: AI hours per day and hours saved per week have a strong positive link (r = 0.90). Productivity and satisfaction: strong positive (r = 0.66).</v>
      </c>
      <c r="B14" s="19"/>
      <c r="C14" s="19"/>
      <c r="D14" s="19"/>
      <c r="E14" s="19"/>
      <c r="F14" s="19"/>
      <c r="G14" s="19"/>
      <c r="H14" s="19"/>
      <c r="I14" s="19"/>
      <c r="J14" s="19"/>
      <c r="K14" s="19"/>
      <c r="L14" s="19"/>
      <c r="M14" s="19"/>
      <c r="N14" s="19"/>
      <c r="O14" s="19"/>
      <c r="P14" s="19"/>
      <c r="Q14" s="19"/>
      <c r="R14" s="19"/>
      <c r="S14" s="19"/>
      <c r="T14" s="19"/>
      <c r="U14" s="19"/>
      <c r="V14" s="19"/>
      <c r="W14" s="19"/>
      <c r="X14" s="19"/>
    </row>
    <row r="15" customFormat="false" ht="9.75" hidden="false" customHeight="true" outlineLevel="0" collapsed="false">
      <c r="A15" s="4"/>
      <c r="B15" s="4"/>
      <c r="C15" s="4"/>
      <c r="D15" s="4"/>
      <c r="E15" s="4"/>
      <c r="F15" s="4"/>
      <c r="G15" s="4"/>
      <c r="H15" s="4"/>
      <c r="I15" s="4"/>
      <c r="J15" s="4"/>
      <c r="K15" s="4"/>
      <c r="L15" s="4"/>
      <c r="M15" s="4"/>
      <c r="N15" s="4"/>
      <c r="O15" s="4"/>
      <c r="P15" s="4"/>
      <c r="Q15" s="4"/>
      <c r="R15" s="4"/>
      <c r="S15" s="4"/>
      <c r="T15" s="4"/>
      <c r="U15" s="4"/>
      <c r="V15" s="4"/>
      <c r="W15" s="4"/>
      <c r="X15" s="4"/>
    </row>
    <row r="16" customFormat="false" ht="15" hidden="false" customHeight="false" outlineLevel="0" collapsed="false">
      <c r="A16" s="4"/>
      <c r="B16" s="4"/>
      <c r="C16" s="4"/>
      <c r="D16" s="4"/>
      <c r="E16" s="4"/>
      <c r="F16" s="4"/>
      <c r="G16" s="4"/>
      <c r="H16" s="4"/>
      <c r="I16" s="4"/>
      <c r="J16" s="4"/>
      <c r="K16" s="4"/>
      <c r="L16" s="4"/>
      <c r="M16" s="4"/>
      <c r="N16" s="4"/>
      <c r="O16" s="4"/>
      <c r="P16" s="4"/>
      <c r="Q16" s="4"/>
      <c r="R16" s="4"/>
      <c r="S16" s="4"/>
      <c r="T16" s="4"/>
      <c r="U16" s="4"/>
      <c r="V16" s="4"/>
      <c r="W16" s="4"/>
      <c r="X16" s="4"/>
    </row>
    <row r="17" customFormat="false" ht="15" hidden="false" customHeight="false" outlineLevel="0" collapsed="false">
      <c r="A17" s="4"/>
      <c r="B17" s="4"/>
      <c r="C17" s="4"/>
      <c r="D17" s="4"/>
      <c r="E17" s="4"/>
      <c r="F17" s="4"/>
      <c r="G17" s="4"/>
      <c r="H17" s="4"/>
      <c r="I17" s="4"/>
      <c r="J17" s="4"/>
      <c r="K17" s="4"/>
      <c r="L17" s="4"/>
      <c r="M17" s="4"/>
      <c r="N17" s="4"/>
      <c r="O17" s="4"/>
      <c r="P17" s="4"/>
      <c r="Q17" s="4"/>
      <c r="R17" s="4"/>
      <c r="S17" s="4"/>
      <c r="T17" s="4"/>
      <c r="U17" s="4"/>
      <c r="V17" s="4"/>
      <c r="W17" s="4"/>
      <c r="X17" s="4"/>
    </row>
    <row r="18" customFormat="false" ht="15" hidden="false" customHeight="false" outlineLevel="0" collapsed="false">
      <c r="A18" s="4"/>
      <c r="B18" s="4"/>
      <c r="C18" s="4"/>
      <c r="D18" s="4"/>
      <c r="E18" s="4"/>
      <c r="F18" s="4"/>
      <c r="G18" s="4"/>
      <c r="H18" s="4"/>
      <c r="I18" s="4"/>
      <c r="J18" s="4"/>
      <c r="K18" s="4"/>
      <c r="L18" s="4"/>
      <c r="M18" s="4"/>
      <c r="N18" s="4"/>
      <c r="O18" s="4"/>
      <c r="P18" s="4"/>
      <c r="Q18" s="4"/>
      <c r="R18" s="4"/>
      <c r="S18" s="4"/>
      <c r="T18" s="4"/>
      <c r="U18" s="4"/>
      <c r="V18" s="4"/>
      <c r="W18" s="4"/>
      <c r="X18" s="4"/>
    </row>
    <row r="19" customFormat="false" ht="15" hidden="false" customHeight="false" outlineLevel="0" collapsed="false">
      <c r="A19" s="4"/>
      <c r="B19" s="4"/>
      <c r="C19" s="4"/>
      <c r="D19" s="4"/>
      <c r="E19" s="4"/>
      <c r="F19" s="4"/>
      <c r="G19" s="4"/>
      <c r="H19" s="4"/>
      <c r="I19" s="4"/>
      <c r="J19" s="4"/>
      <c r="K19" s="4"/>
      <c r="L19" s="4"/>
      <c r="M19" s="4"/>
      <c r="N19" s="4"/>
      <c r="O19" s="4"/>
      <c r="P19" s="4"/>
      <c r="Q19" s="4"/>
      <c r="R19" s="4"/>
      <c r="S19" s="4"/>
      <c r="T19" s="4"/>
      <c r="U19" s="4"/>
      <c r="V19" s="4"/>
      <c r="W19" s="4"/>
      <c r="X19" s="4"/>
    </row>
    <row r="20" customFormat="false" ht="15" hidden="false" customHeight="false" outlineLevel="0" collapsed="false">
      <c r="A20" s="4"/>
      <c r="B20" s="4"/>
      <c r="C20" s="4"/>
      <c r="D20" s="4"/>
      <c r="E20" s="4"/>
      <c r="F20" s="4"/>
      <c r="G20" s="4"/>
      <c r="H20" s="4"/>
      <c r="I20" s="4"/>
      <c r="J20" s="4"/>
      <c r="K20" s="4"/>
      <c r="L20" s="4"/>
      <c r="M20" s="4"/>
      <c r="N20" s="4"/>
      <c r="O20" s="4"/>
      <c r="P20" s="4"/>
      <c r="Q20" s="4"/>
      <c r="R20" s="4"/>
      <c r="S20" s="4"/>
      <c r="T20" s="4"/>
      <c r="U20" s="4"/>
      <c r="V20" s="4"/>
      <c r="W20" s="4"/>
      <c r="X20" s="4"/>
    </row>
    <row r="21" customFormat="false" ht="15" hidden="false" customHeight="false" outlineLevel="0" collapsed="false">
      <c r="A21" s="4"/>
      <c r="B21" s="4"/>
      <c r="C21" s="4"/>
      <c r="D21" s="4"/>
      <c r="E21" s="4"/>
      <c r="F21" s="4"/>
      <c r="G21" s="4"/>
      <c r="H21" s="4"/>
      <c r="I21" s="4"/>
      <c r="J21" s="4"/>
      <c r="K21" s="4"/>
      <c r="L21" s="4"/>
      <c r="M21" s="4"/>
      <c r="N21" s="4"/>
      <c r="O21" s="4"/>
      <c r="P21" s="4"/>
      <c r="Q21" s="4"/>
      <c r="R21" s="4"/>
      <c r="S21" s="4"/>
      <c r="T21" s="4"/>
      <c r="U21" s="4"/>
      <c r="V21" s="4"/>
      <c r="W21" s="4"/>
      <c r="X21" s="4"/>
    </row>
    <row r="22" customFormat="false" ht="15" hidden="false" customHeight="false" outlineLevel="0" collapsed="false">
      <c r="A22" s="4"/>
      <c r="B22" s="4"/>
      <c r="C22" s="4"/>
      <c r="D22" s="4"/>
      <c r="E22" s="4"/>
      <c r="F22" s="4"/>
      <c r="G22" s="4"/>
      <c r="H22" s="4"/>
      <c r="I22" s="4"/>
      <c r="J22" s="4"/>
      <c r="K22" s="4"/>
      <c r="L22" s="4"/>
      <c r="M22" s="4"/>
      <c r="N22" s="4"/>
      <c r="O22" s="4"/>
      <c r="P22" s="4"/>
      <c r="Q22" s="4"/>
      <c r="R22" s="4"/>
      <c r="S22" s="4"/>
      <c r="T22" s="4"/>
      <c r="U22" s="4"/>
      <c r="V22" s="4"/>
      <c r="W22" s="4"/>
      <c r="X22" s="4"/>
    </row>
    <row r="23" customFormat="false" ht="15" hidden="false" customHeight="false" outlineLevel="0" collapsed="false">
      <c r="A23" s="4"/>
      <c r="B23" s="4"/>
      <c r="C23" s="4"/>
      <c r="D23" s="4"/>
      <c r="E23" s="4"/>
      <c r="F23" s="4"/>
      <c r="G23" s="4"/>
      <c r="H23" s="4"/>
      <c r="I23" s="4"/>
      <c r="J23" s="4"/>
      <c r="K23" s="4"/>
      <c r="L23" s="4"/>
      <c r="M23" s="4"/>
      <c r="N23" s="4"/>
      <c r="O23" s="4"/>
      <c r="P23" s="4"/>
      <c r="Q23" s="4"/>
      <c r="R23" s="4"/>
      <c r="S23" s="4"/>
      <c r="T23" s="4"/>
      <c r="U23" s="4"/>
      <c r="V23" s="4"/>
      <c r="W23" s="4"/>
      <c r="X23" s="4"/>
    </row>
    <row r="24" customFormat="false" ht="15" hidden="false" customHeight="false" outlineLevel="0" collapsed="false">
      <c r="A24" s="4"/>
      <c r="B24" s="4"/>
      <c r="C24" s="4"/>
      <c r="D24" s="4"/>
      <c r="E24" s="4"/>
      <c r="F24" s="4"/>
      <c r="G24" s="4"/>
      <c r="H24" s="4"/>
      <c r="I24" s="4"/>
      <c r="J24" s="4"/>
      <c r="K24" s="4"/>
      <c r="L24" s="4"/>
      <c r="M24" s="4"/>
      <c r="N24" s="4"/>
      <c r="O24" s="4"/>
      <c r="P24" s="4"/>
      <c r="Q24" s="4"/>
      <c r="R24" s="4"/>
      <c r="S24" s="4"/>
      <c r="T24" s="4"/>
      <c r="U24" s="4"/>
      <c r="V24" s="4"/>
      <c r="W24" s="4"/>
      <c r="X24" s="4"/>
    </row>
    <row r="25" customFormat="false" ht="15" hidden="false" customHeight="false" outlineLevel="0" collapsed="false">
      <c r="A25" s="4"/>
      <c r="B25" s="4"/>
      <c r="C25" s="4"/>
      <c r="D25" s="4"/>
      <c r="E25" s="4"/>
      <c r="F25" s="4"/>
      <c r="G25" s="4"/>
      <c r="H25" s="4"/>
      <c r="I25" s="4"/>
      <c r="J25" s="4"/>
      <c r="K25" s="4"/>
      <c r="L25" s="4"/>
      <c r="M25" s="4"/>
      <c r="N25" s="4"/>
      <c r="O25" s="4"/>
      <c r="P25" s="4"/>
      <c r="Q25" s="4"/>
      <c r="R25" s="4"/>
      <c r="S25" s="4"/>
      <c r="T25" s="4"/>
      <c r="U25" s="4"/>
      <c r="V25" s="4"/>
      <c r="W25" s="4"/>
      <c r="X25" s="4"/>
    </row>
    <row r="26" customFormat="false" ht="15" hidden="false" customHeight="false" outlineLevel="0" collapsed="false">
      <c r="A26" s="4"/>
      <c r="B26" s="4"/>
      <c r="C26" s="4"/>
      <c r="D26" s="4"/>
      <c r="E26" s="4"/>
      <c r="F26" s="4"/>
      <c r="G26" s="4"/>
      <c r="H26" s="4"/>
      <c r="I26" s="4"/>
      <c r="J26" s="4"/>
      <c r="K26" s="4"/>
      <c r="L26" s="4"/>
      <c r="M26" s="4"/>
      <c r="N26" s="4"/>
      <c r="O26" s="4"/>
      <c r="P26" s="4"/>
      <c r="Q26" s="4"/>
      <c r="R26" s="4"/>
      <c r="S26" s="4"/>
      <c r="T26" s="4"/>
      <c r="U26" s="4"/>
      <c r="V26" s="4"/>
      <c r="W26" s="4"/>
      <c r="X26" s="4"/>
    </row>
    <row r="27" customFormat="false" ht="15" hidden="false" customHeight="false" outlineLevel="0" collapsed="false">
      <c r="A27" s="4"/>
      <c r="B27" s="4"/>
      <c r="C27" s="4"/>
      <c r="D27" s="4"/>
      <c r="E27" s="4"/>
      <c r="F27" s="4"/>
      <c r="G27" s="4"/>
      <c r="H27" s="4"/>
      <c r="I27" s="4"/>
      <c r="J27" s="4"/>
      <c r="K27" s="4"/>
      <c r="L27" s="4"/>
      <c r="M27" s="4"/>
      <c r="N27" s="4"/>
      <c r="O27" s="4"/>
      <c r="P27" s="4"/>
      <c r="Q27" s="4"/>
      <c r="R27" s="4"/>
      <c r="S27" s="4"/>
      <c r="T27" s="4"/>
      <c r="U27" s="4"/>
      <c r="V27" s="4"/>
      <c r="W27" s="4"/>
      <c r="X27" s="4"/>
    </row>
    <row r="28" customFormat="false" ht="15" hidden="false" customHeight="false" outlineLevel="0" collapsed="false">
      <c r="A28" s="4"/>
      <c r="B28" s="4"/>
      <c r="C28" s="4"/>
      <c r="D28" s="4"/>
      <c r="E28" s="4"/>
      <c r="F28" s="4"/>
      <c r="G28" s="4"/>
      <c r="H28" s="4"/>
      <c r="I28" s="4"/>
      <c r="J28" s="4"/>
      <c r="K28" s="4"/>
      <c r="L28" s="4"/>
      <c r="M28" s="4"/>
      <c r="N28" s="4"/>
      <c r="O28" s="4"/>
      <c r="P28" s="4"/>
      <c r="Q28" s="4"/>
      <c r="R28" s="4"/>
      <c r="S28" s="4"/>
      <c r="T28" s="4"/>
      <c r="U28" s="4"/>
      <c r="V28" s="4"/>
      <c r="W28" s="4"/>
      <c r="X28" s="4"/>
    </row>
    <row r="29" customFormat="false" ht="15" hidden="false" customHeight="false" outlineLevel="0" collapsed="false">
      <c r="A29" s="4"/>
      <c r="B29" s="4"/>
      <c r="C29" s="4"/>
      <c r="D29" s="4"/>
      <c r="E29" s="4"/>
      <c r="F29" s="4"/>
      <c r="G29" s="4"/>
      <c r="H29" s="4"/>
      <c r="I29" s="4"/>
      <c r="J29" s="4"/>
      <c r="K29" s="4"/>
      <c r="L29" s="4"/>
      <c r="M29" s="4"/>
      <c r="N29" s="4"/>
      <c r="O29" s="4"/>
      <c r="P29" s="4"/>
      <c r="Q29" s="4"/>
      <c r="R29" s="4"/>
      <c r="S29" s="4"/>
      <c r="T29" s="4"/>
      <c r="U29" s="4"/>
      <c r="V29" s="4"/>
      <c r="W29" s="4"/>
      <c r="X29" s="4"/>
    </row>
    <row r="30" customFormat="false" ht="15" hidden="false" customHeight="false" outlineLevel="0" collapsed="false">
      <c r="A30" s="4"/>
      <c r="B30" s="4"/>
      <c r="C30" s="4"/>
      <c r="D30" s="4"/>
      <c r="E30" s="4"/>
      <c r="F30" s="4"/>
      <c r="G30" s="4"/>
      <c r="H30" s="4"/>
      <c r="I30" s="4"/>
      <c r="J30" s="4"/>
      <c r="K30" s="4"/>
      <c r="L30" s="4"/>
      <c r="M30" s="4"/>
      <c r="N30" s="4"/>
      <c r="O30" s="4"/>
      <c r="P30" s="4"/>
      <c r="Q30" s="4"/>
      <c r="R30" s="4"/>
      <c r="S30" s="4"/>
      <c r="T30" s="4"/>
      <c r="U30" s="4"/>
      <c r="V30" s="4"/>
      <c r="W30" s="4"/>
      <c r="X30" s="4"/>
    </row>
    <row r="31" customFormat="false" ht="15" hidden="false" customHeight="false" outlineLevel="0" collapsed="false">
      <c r="A31" s="4"/>
      <c r="B31" s="4"/>
      <c r="C31" s="4"/>
      <c r="D31" s="4"/>
      <c r="E31" s="4"/>
      <c r="F31" s="4"/>
      <c r="G31" s="4"/>
      <c r="H31" s="4"/>
      <c r="I31" s="4"/>
      <c r="J31" s="4"/>
      <c r="K31" s="4"/>
      <c r="L31" s="4"/>
      <c r="M31" s="4"/>
      <c r="N31" s="4"/>
      <c r="O31" s="4"/>
      <c r="P31" s="4"/>
      <c r="Q31" s="4"/>
      <c r="R31" s="4"/>
      <c r="S31" s="4"/>
      <c r="T31" s="4"/>
      <c r="U31" s="4"/>
      <c r="V31" s="4"/>
      <c r="W31" s="4"/>
      <c r="X31" s="4"/>
    </row>
    <row r="32" customFormat="false" ht="15" hidden="false" customHeight="false" outlineLevel="0" collapsed="false">
      <c r="A32" s="4"/>
      <c r="B32" s="4"/>
      <c r="C32" s="4"/>
      <c r="D32" s="4"/>
      <c r="E32" s="4"/>
      <c r="F32" s="4"/>
      <c r="G32" s="4"/>
      <c r="H32" s="4"/>
      <c r="I32" s="4"/>
      <c r="J32" s="4"/>
      <c r="K32" s="4"/>
      <c r="L32" s="4"/>
      <c r="M32" s="4"/>
      <c r="N32" s="4"/>
      <c r="O32" s="4"/>
      <c r="P32" s="4"/>
      <c r="Q32" s="4"/>
      <c r="R32" s="4"/>
      <c r="S32" s="4"/>
      <c r="T32" s="4"/>
      <c r="U32" s="4"/>
      <c r="V32" s="4"/>
      <c r="W32" s="4"/>
      <c r="X32" s="4"/>
    </row>
    <row r="33" customFormat="false" ht="15" hidden="false" customHeight="false" outlineLevel="0" collapsed="false">
      <c r="A33" s="4"/>
      <c r="B33" s="4"/>
      <c r="C33" s="4"/>
      <c r="D33" s="4"/>
      <c r="E33" s="4"/>
      <c r="F33" s="4"/>
      <c r="G33" s="4"/>
      <c r="H33" s="4"/>
      <c r="I33" s="4"/>
      <c r="J33" s="4"/>
      <c r="K33" s="4"/>
      <c r="L33" s="4"/>
      <c r="M33" s="4"/>
      <c r="N33" s="4"/>
      <c r="O33" s="4"/>
      <c r="P33" s="4"/>
      <c r="Q33" s="4"/>
      <c r="R33" s="4"/>
      <c r="S33" s="4"/>
      <c r="T33" s="4"/>
      <c r="U33" s="4"/>
      <c r="V33" s="4"/>
      <c r="W33" s="4"/>
      <c r="X33" s="4"/>
    </row>
    <row r="34" customFormat="false" ht="15" hidden="false" customHeight="false" outlineLevel="0" collapsed="false">
      <c r="A34" s="4"/>
      <c r="B34" s="4"/>
      <c r="C34" s="4"/>
      <c r="D34" s="4"/>
      <c r="E34" s="4"/>
      <c r="F34" s="4"/>
      <c r="G34" s="4"/>
      <c r="H34" s="4"/>
      <c r="I34" s="4"/>
      <c r="J34" s="4"/>
      <c r="K34" s="4"/>
      <c r="L34" s="4"/>
      <c r="M34" s="4"/>
      <c r="N34" s="4"/>
      <c r="O34" s="4"/>
      <c r="P34" s="4"/>
      <c r="Q34" s="4"/>
      <c r="R34" s="4"/>
      <c r="S34" s="4"/>
      <c r="T34" s="4"/>
      <c r="U34" s="4"/>
      <c r="V34" s="4"/>
      <c r="W34" s="4"/>
      <c r="X34" s="4"/>
    </row>
    <row r="35" customFormat="false" ht="15" hidden="false" customHeight="false" outlineLevel="0" collapsed="false">
      <c r="A35" s="4"/>
      <c r="B35" s="4"/>
      <c r="C35" s="4"/>
      <c r="D35" s="4"/>
      <c r="E35" s="4"/>
      <c r="F35" s="4"/>
      <c r="G35" s="4"/>
      <c r="H35" s="4"/>
      <c r="I35" s="4"/>
      <c r="J35" s="4"/>
      <c r="K35" s="4"/>
      <c r="L35" s="4"/>
      <c r="M35" s="4"/>
      <c r="N35" s="4"/>
      <c r="O35" s="4"/>
      <c r="P35" s="4"/>
      <c r="Q35" s="4"/>
      <c r="R35" s="4"/>
      <c r="S35" s="4"/>
      <c r="T35" s="4"/>
      <c r="U35" s="4"/>
      <c r="V35" s="4"/>
      <c r="W35" s="4"/>
      <c r="X35" s="4"/>
    </row>
    <row r="36" customFormat="false" ht="15" hidden="false" customHeight="false" outlineLevel="0" collapsed="false">
      <c r="A36" s="4"/>
      <c r="B36" s="4"/>
      <c r="C36" s="4"/>
      <c r="D36" s="4"/>
      <c r="E36" s="4"/>
      <c r="F36" s="4"/>
      <c r="G36" s="4"/>
      <c r="H36" s="4"/>
      <c r="I36" s="4"/>
      <c r="J36" s="4"/>
      <c r="K36" s="4"/>
      <c r="L36" s="4"/>
      <c r="M36" s="4"/>
      <c r="N36" s="4"/>
      <c r="O36" s="4"/>
      <c r="P36" s="4"/>
      <c r="Q36" s="4"/>
      <c r="R36" s="4"/>
      <c r="S36" s="4"/>
      <c r="T36" s="4"/>
      <c r="U36" s="4"/>
      <c r="V36" s="4"/>
      <c r="W36" s="4"/>
      <c r="X36" s="4"/>
    </row>
    <row r="37" customFormat="false" ht="15" hidden="false" customHeight="false" outlineLevel="0" collapsed="false">
      <c r="A37" s="4"/>
      <c r="B37" s="4"/>
      <c r="C37" s="4"/>
      <c r="D37" s="4"/>
      <c r="E37" s="4"/>
      <c r="F37" s="4"/>
      <c r="G37" s="4"/>
      <c r="H37" s="4"/>
      <c r="I37" s="4"/>
      <c r="J37" s="4"/>
      <c r="K37" s="4"/>
      <c r="L37" s="4"/>
      <c r="M37" s="4"/>
      <c r="N37" s="4"/>
      <c r="O37" s="4"/>
      <c r="P37" s="4"/>
      <c r="Q37" s="4"/>
      <c r="R37" s="4"/>
      <c r="S37" s="4"/>
      <c r="T37" s="4"/>
      <c r="U37" s="4"/>
      <c r="V37" s="4"/>
      <c r="W37" s="4"/>
      <c r="X37" s="4"/>
    </row>
    <row r="38" customFormat="false" ht="15" hidden="false" customHeight="false" outlineLevel="0" collapsed="false">
      <c r="A38" s="4"/>
      <c r="B38" s="4"/>
      <c r="C38" s="4"/>
      <c r="D38" s="4"/>
      <c r="E38" s="4"/>
      <c r="F38" s="4"/>
      <c r="G38" s="4"/>
      <c r="H38" s="4"/>
      <c r="I38" s="4"/>
      <c r="J38" s="4"/>
      <c r="K38" s="4"/>
      <c r="L38" s="4"/>
      <c r="M38" s="4"/>
      <c r="N38" s="4"/>
      <c r="O38" s="4"/>
      <c r="P38" s="4"/>
      <c r="Q38" s="4"/>
      <c r="R38" s="4"/>
      <c r="S38" s="4"/>
      <c r="T38" s="4"/>
      <c r="U38" s="4"/>
      <c r="V38" s="4"/>
      <c r="W38" s="4"/>
      <c r="X38" s="4"/>
    </row>
    <row r="39" customFormat="false" ht="15" hidden="false" customHeight="false" outlineLevel="0" collapsed="false">
      <c r="A39" s="4"/>
      <c r="B39" s="4"/>
      <c r="C39" s="4"/>
      <c r="D39" s="4"/>
      <c r="E39" s="4"/>
      <c r="F39" s="4"/>
      <c r="G39" s="4"/>
      <c r="H39" s="4"/>
      <c r="I39" s="4"/>
      <c r="J39" s="4"/>
      <c r="K39" s="4"/>
      <c r="L39" s="4"/>
      <c r="M39" s="4"/>
      <c r="N39" s="4"/>
      <c r="O39" s="4"/>
      <c r="P39" s="4"/>
      <c r="Q39" s="4"/>
      <c r="R39" s="4"/>
      <c r="S39" s="4"/>
      <c r="T39" s="4"/>
      <c r="U39" s="4"/>
      <c r="V39" s="4"/>
      <c r="W39" s="4"/>
      <c r="X39" s="4"/>
    </row>
    <row r="40" customFormat="false" ht="15" hidden="false" customHeight="false" outlineLevel="0" collapsed="false">
      <c r="A40" s="4"/>
      <c r="B40" s="4"/>
      <c r="C40" s="4"/>
      <c r="D40" s="4"/>
      <c r="E40" s="4"/>
      <c r="F40" s="4"/>
      <c r="G40" s="4"/>
      <c r="H40" s="4"/>
      <c r="I40" s="4"/>
      <c r="J40" s="4"/>
      <c r="K40" s="4"/>
      <c r="L40" s="4"/>
      <c r="M40" s="4"/>
      <c r="N40" s="4"/>
      <c r="O40" s="4"/>
      <c r="P40" s="4"/>
      <c r="Q40" s="4"/>
      <c r="R40" s="4"/>
      <c r="S40" s="4"/>
      <c r="T40" s="4"/>
      <c r="U40" s="4"/>
      <c r="V40" s="4"/>
      <c r="W40" s="4"/>
      <c r="X40" s="4"/>
    </row>
    <row r="41" customFormat="false" ht="15" hidden="false" customHeight="false" outlineLevel="0" collapsed="false">
      <c r="A41" s="4"/>
      <c r="B41" s="4"/>
      <c r="C41" s="4"/>
      <c r="D41" s="4"/>
      <c r="E41" s="4"/>
      <c r="F41" s="4"/>
      <c r="G41" s="4"/>
      <c r="H41" s="4"/>
      <c r="I41" s="4"/>
      <c r="J41" s="4"/>
      <c r="K41" s="4"/>
      <c r="L41" s="4"/>
      <c r="M41" s="4"/>
      <c r="N41" s="4"/>
      <c r="O41" s="4"/>
      <c r="P41" s="4"/>
      <c r="Q41" s="4"/>
      <c r="R41" s="4"/>
      <c r="S41" s="4"/>
      <c r="T41" s="4"/>
      <c r="U41" s="4"/>
      <c r="V41" s="4"/>
      <c r="W41" s="4"/>
      <c r="X41" s="4"/>
    </row>
    <row r="42" customFormat="false" ht="15" hidden="false" customHeight="false" outlineLevel="0" collapsed="false">
      <c r="A42" s="4"/>
      <c r="B42" s="4"/>
      <c r="C42" s="4"/>
      <c r="D42" s="4"/>
      <c r="E42" s="4"/>
      <c r="F42" s="4"/>
      <c r="G42" s="4"/>
      <c r="H42" s="4"/>
      <c r="I42" s="4"/>
      <c r="J42" s="4"/>
      <c r="K42" s="4"/>
      <c r="L42" s="4"/>
      <c r="M42" s="4"/>
      <c r="N42" s="4"/>
      <c r="O42" s="4"/>
      <c r="P42" s="4"/>
      <c r="Q42" s="4"/>
      <c r="R42" s="4"/>
      <c r="S42" s="4"/>
      <c r="T42" s="4"/>
      <c r="U42" s="4"/>
      <c r="V42" s="4"/>
      <c r="W42" s="4"/>
      <c r="X42" s="4"/>
    </row>
    <row r="43" customFormat="false" ht="15" hidden="false" customHeight="false" outlineLevel="0" collapsed="false">
      <c r="A43" s="4"/>
      <c r="B43" s="4"/>
      <c r="C43" s="4"/>
      <c r="D43" s="4"/>
      <c r="E43" s="4"/>
      <c r="F43" s="4"/>
      <c r="G43" s="4"/>
      <c r="H43" s="4"/>
      <c r="I43" s="4"/>
      <c r="J43" s="4"/>
      <c r="K43" s="4"/>
      <c r="L43" s="4"/>
      <c r="M43" s="4"/>
      <c r="N43" s="4"/>
      <c r="O43" s="4"/>
      <c r="P43" s="4"/>
      <c r="Q43" s="4"/>
      <c r="R43" s="4"/>
      <c r="S43" s="4"/>
      <c r="T43" s="4"/>
      <c r="U43" s="4"/>
      <c r="V43" s="4"/>
      <c r="W43" s="4"/>
      <c r="X43" s="4"/>
    </row>
    <row r="44" customFormat="false" ht="15" hidden="false" customHeight="false" outlineLevel="0" collapsed="false">
      <c r="A44" s="4"/>
      <c r="B44" s="4"/>
      <c r="C44" s="4"/>
      <c r="D44" s="4"/>
      <c r="E44" s="4"/>
      <c r="F44" s="4"/>
      <c r="G44" s="4"/>
      <c r="H44" s="4"/>
      <c r="I44" s="4"/>
      <c r="J44" s="4"/>
      <c r="K44" s="4"/>
      <c r="L44" s="4"/>
      <c r="M44" s="4"/>
      <c r="N44" s="4"/>
      <c r="O44" s="4"/>
      <c r="P44" s="4"/>
      <c r="Q44" s="4"/>
      <c r="R44" s="4"/>
      <c r="S44" s="4"/>
      <c r="T44" s="4"/>
      <c r="U44" s="4"/>
      <c r="V44" s="4"/>
      <c r="W44" s="4"/>
      <c r="X44" s="4"/>
    </row>
    <row r="45" customFormat="false" ht="15" hidden="false" customHeight="false" outlineLevel="0" collapsed="false">
      <c r="A45" s="4"/>
      <c r="B45" s="4"/>
      <c r="C45" s="4"/>
      <c r="D45" s="4"/>
      <c r="E45" s="4"/>
      <c r="F45" s="4"/>
      <c r="G45" s="4"/>
      <c r="H45" s="4"/>
      <c r="I45" s="4"/>
      <c r="J45" s="4"/>
      <c r="K45" s="4"/>
      <c r="L45" s="4"/>
      <c r="M45" s="4"/>
      <c r="N45" s="4"/>
      <c r="O45" s="4"/>
      <c r="P45" s="4"/>
      <c r="Q45" s="4"/>
      <c r="R45" s="4"/>
      <c r="S45" s="4"/>
      <c r="T45" s="4"/>
      <c r="U45" s="4"/>
      <c r="V45" s="4"/>
      <c r="W45" s="4"/>
      <c r="X45" s="4"/>
    </row>
    <row r="46" customFormat="false" ht="15" hidden="false" customHeight="false" outlineLevel="0" collapsed="false">
      <c r="A46" s="4"/>
      <c r="B46" s="4"/>
      <c r="C46" s="4"/>
      <c r="D46" s="4"/>
      <c r="E46" s="4"/>
      <c r="F46" s="4"/>
      <c r="G46" s="4"/>
      <c r="H46" s="4"/>
      <c r="I46" s="4"/>
      <c r="J46" s="4"/>
      <c r="K46" s="4"/>
      <c r="L46" s="4"/>
      <c r="M46" s="4"/>
      <c r="N46" s="4"/>
      <c r="O46" s="4"/>
      <c r="P46" s="4"/>
      <c r="Q46" s="4"/>
      <c r="R46" s="4"/>
      <c r="S46" s="4"/>
      <c r="T46" s="4"/>
      <c r="U46" s="4"/>
      <c r="V46" s="4"/>
      <c r="W46" s="4"/>
      <c r="X46" s="4"/>
    </row>
    <row r="47" customFormat="false" ht="15" hidden="false" customHeight="false" outlineLevel="0" collapsed="false">
      <c r="A47" s="4"/>
      <c r="B47" s="4"/>
      <c r="C47" s="4"/>
      <c r="D47" s="4"/>
      <c r="E47" s="4"/>
      <c r="F47" s="4"/>
      <c r="G47" s="4"/>
      <c r="H47" s="4"/>
      <c r="I47" s="4"/>
      <c r="J47" s="4"/>
      <c r="K47" s="4"/>
      <c r="L47" s="4"/>
      <c r="M47" s="4"/>
      <c r="N47" s="4"/>
      <c r="O47" s="4"/>
      <c r="P47" s="4"/>
      <c r="Q47" s="4"/>
      <c r="R47" s="4"/>
      <c r="S47" s="4"/>
      <c r="T47" s="4"/>
      <c r="U47" s="4"/>
      <c r="V47" s="4"/>
      <c r="W47" s="4"/>
      <c r="X47" s="4"/>
    </row>
    <row r="48" customFormat="false" ht="15" hidden="false" customHeight="false" outlineLevel="0" collapsed="false">
      <c r="A48" s="4"/>
      <c r="B48" s="4"/>
      <c r="C48" s="4"/>
      <c r="D48" s="4"/>
      <c r="E48" s="4"/>
      <c r="F48" s="4"/>
      <c r="G48" s="4"/>
      <c r="H48" s="4"/>
      <c r="I48" s="4"/>
      <c r="J48" s="4"/>
      <c r="K48" s="4"/>
      <c r="L48" s="4"/>
      <c r="M48" s="4"/>
      <c r="N48" s="4"/>
      <c r="O48" s="4"/>
      <c r="P48" s="4"/>
      <c r="Q48" s="4"/>
      <c r="R48" s="4"/>
      <c r="S48" s="4"/>
      <c r="T48" s="4"/>
      <c r="U48" s="4"/>
      <c r="V48" s="4"/>
      <c r="W48" s="4"/>
      <c r="X48" s="4"/>
    </row>
    <row r="49" customFormat="false" ht="15" hidden="false" customHeight="false" outlineLevel="0" collapsed="false">
      <c r="A49" s="4"/>
      <c r="B49" s="4"/>
      <c r="C49" s="4"/>
      <c r="D49" s="4"/>
      <c r="E49" s="4"/>
      <c r="F49" s="4"/>
      <c r="G49" s="4"/>
      <c r="H49" s="4"/>
      <c r="I49" s="4"/>
      <c r="J49" s="4"/>
      <c r="K49" s="4"/>
      <c r="L49" s="4"/>
      <c r="M49" s="4"/>
      <c r="N49" s="4"/>
      <c r="O49" s="4"/>
      <c r="P49" s="4"/>
      <c r="Q49" s="4"/>
      <c r="R49" s="4"/>
      <c r="S49" s="4"/>
      <c r="T49" s="4"/>
      <c r="U49" s="4"/>
      <c r="V49" s="4"/>
      <c r="W49" s="4"/>
      <c r="X49" s="4"/>
    </row>
    <row r="50" customFormat="false" ht="15" hidden="false" customHeight="false" outlineLevel="0" collapsed="false">
      <c r="A50" s="4"/>
      <c r="B50" s="4"/>
      <c r="C50" s="4"/>
      <c r="D50" s="4"/>
      <c r="E50" s="4"/>
      <c r="F50" s="4"/>
      <c r="G50" s="4"/>
      <c r="H50" s="4"/>
      <c r="I50" s="4"/>
      <c r="J50" s="4"/>
      <c r="K50" s="4"/>
      <c r="L50" s="4"/>
      <c r="M50" s="4"/>
      <c r="N50" s="4"/>
      <c r="O50" s="4"/>
      <c r="P50" s="4"/>
      <c r="Q50" s="4"/>
      <c r="R50" s="4"/>
      <c r="S50" s="4"/>
      <c r="T50" s="4"/>
      <c r="U50" s="4"/>
      <c r="V50" s="4"/>
      <c r="W50" s="4"/>
      <c r="X50" s="4"/>
    </row>
    <row r="51" customFormat="false" ht="15" hidden="false" customHeight="false" outlineLevel="0" collapsed="false">
      <c r="A51" s="4"/>
      <c r="B51" s="4"/>
      <c r="C51" s="4"/>
      <c r="D51" s="4"/>
      <c r="E51" s="4"/>
      <c r="F51" s="4"/>
      <c r="G51" s="4"/>
      <c r="H51" s="4"/>
      <c r="I51" s="4"/>
      <c r="J51" s="4"/>
      <c r="K51" s="4"/>
      <c r="L51" s="4"/>
      <c r="M51" s="4"/>
      <c r="N51" s="4"/>
      <c r="O51" s="4"/>
      <c r="P51" s="4"/>
      <c r="Q51" s="4"/>
      <c r="R51" s="4"/>
      <c r="S51" s="4"/>
      <c r="T51" s="4"/>
      <c r="U51" s="4"/>
      <c r="V51" s="4"/>
      <c r="W51" s="4"/>
      <c r="X51" s="4"/>
    </row>
    <row r="52" customFormat="false" ht="15" hidden="false" customHeight="false" outlineLevel="0" collapsed="false">
      <c r="A52" s="4"/>
      <c r="B52" s="4"/>
      <c r="C52" s="4"/>
      <c r="D52" s="4"/>
      <c r="E52" s="4"/>
      <c r="F52" s="4"/>
      <c r="G52" s="4"/>
      <c r="H52" s="4"/>
      <c r="I52" s="4"/>
      <c r="J52" s="4"/>
      <c r="K52" s="4"/>
      <c r="L52" s="4"/>
      <c r="M52" s="4"/>
      <c r="N52" s="4"/>
      <c r="O52" s="4"/>
      <c r="P52" s="4"/>
      <c r="Q52" s="4"/>
      <c r="R52" s="4"/>
      <c r="S52" s="4"/>
      <c r="T52" s="4"/>
      <c r="U52" s="4"/>
      <c r="V52" s="4"/>
      <c r="W52" s="4"/>
      <c r="X52" s="4"/>
    </row>
    <row r="53" customFormat="false" ht="15" hidden="false" customHeight="false" outlineLevel="0" collapsed="false">
      <c r="A53" s="4"/>
      <c r="B53" s="4"/>
      <c r="C53" s="4"/>
      <c r="D53" s="4"/>
      <c r="E53" s="4"/>
      <c r="F53" s="4"/>
      <c r="G53" s="4"/>
      <c r="H53" s="4"/>
      <c r="I53" s="4"/>
      <c r="J53" s="4"/>
      <c r="K53" s="4"/>
      <c r="L53" s="4"/>
      <c r="M53" s="4"/>
      <c r="N53" s="4"/>
      <c r="O53" s="4"/>
      <c r="P53" s="4"/>
      <c r="Q53" s="4"/>
      <c r="R53" s="4"/>
      <c r="S53" s="4"/>
      <c r="T53" s="4"/>
      <c r="U53" s="4"/>
      <c r="V53" s="4"/>
      <c r="W53" s="4"/>
      <c r="X53" s="4"/>
    </row>
    <row r="54" customFormat="false" ht="15" hidden="false" customHeight="false" outlineLevel="0" collapsed="false">
      <c r="A54" s="4"/>
      <c r="B54" s="4"/>
      <c r="C54" s="4"/>
      <c r="D54" s="4"/>
      <c r="E54" s="4"/>
      <c r="F54" s="4"/>
      <c r="G54" s="4"/>
      <c r="H54" s="4"/>
      <c r="I54" s="4"/>
      <c r="J54" s="4"/>
      <c r="K54" s="4"/>
      <c r="L54" s="4"/>
      <c r="M54" s="4"/>
      <c r="N54" s="4"/>
      <c r="O54" s="4"/>
      <c r="P54" s="4"/>
      <c r="Q54" s="4"/>
      <c r="R54" s="4"/>
      <c r="S54" s="4"/>
      <c r="T54" s="4"/>
      <c r="U54" s="4"/>
      <c r="V54" s="4"/>
      <c r="W54" s="4"/>
      <c r="X54" s="4"/>
    </row>
    <row r="55" customFormat="false" ht="15" hidden="false" customHeight="false" outlineLevel="0" collapsed="false">
      <c r="A55" s="4"/>
      <c r="B55" s="4"/>
      <c r="C55" s="4"/>
      <c r="D55" s="4"/>
      <c r="E55" s="4"/>
      <c r="F55" s="4"/>
      <c r="G55" s="4"/>
      <c r="H55" s="4"/>
      <c r="I55" s="4"/>
      <c r="J55" s="4"/>
      <c r="K55" s="4"/>
      <c r="L55" s="4"/>
      <c r="M55" s="4"/>
      <c r="N55" s="4"/>
      <c r="O55" s="4"/>
      <c r="P55" s="4"/>
      <c r="Q55" s="4"/>
      <c r="R55" s="4"/>
      <c r="S55" s="4"/>
      <c r="T55" s="4"/>
      <c r="U55" s="4"/>
      <c r="V55" s="4"/>
      <c r="W55" s="4"/>
      <c r="X55" s="4"/>
    </row>
    <row r="56" customFormat="false" ht="15" hidden="false" customHeight="false" outlineLevel="0" collapsed="false">
      <c r="A56" s="4"/>
      <c r="B56" s="4"/>
      <c r="C56" s="4"/>
      <c r="D56" s="4"/>
      <c r="E56" s="4"/>
      <c r="F56" s="4"/>
      <c r="G56" s="4"/>
      <c r="H56" s="4"/>
      <c r="I56" s="4"/>
      <c r="J56" s="4"/>
      <c r="K56" s="4"/>
      <c r="L56" s="4"/>
      <c r="M56" s="4"/>
      <c r="N56" s="4"/>
      <c r="O56" s="4"/>
      <c r="P56" s="4"/>
      <c r="Q56" s="4"/>
      <c r="R56" s="4"/>
      <c r="S56" s="4"/>
      <c r="T56" s="4"/>
      <c r="U56" s="4"/>
      <c r="V56" s="4"/>
      <c r="W56" s="4"/>
      <c r="X56" s="4"/>
    </row>
    <row r="57" customFormat="false" ht="15" hidden="false" customHeight="false" outlineLevel="0" collapsed="false">
      <c r="A57" s="4"/>
      <c r="B57" s="4"/>
      <c r="C57" s="4"/>
      <c r="D57" s="4"/>
      <c r="E57" s="4"/>
      <c r="F57" s="4"/>
      <c r="G57" s="4"/>
      <c r="H57" s="4"/>
      <c r="I57" s="4"/>
      <c r="J57" s="4"/>
      <c r="K57" s="4"/>
      <c r="L57" s="4"/>
      <c r="M57" s="4"/>
      <c r="N57" s="4"/>
      <c r="O57" s="4"/>
      <c r="P57" s="4"/>
      <c r="Q57" s="4"/>
      <c r="R57" s="4"/>
      <c r="S57" s="4"/>
      <c r="T57" s="4"/>
      <c r="U57" s="4"/>
      <c r="V57" s="4"/>
      <c r="W57" s="4"/>
      <c r="X57" s="4"/>
    </row>
    <row r="58" customFormat="false" ht="15" hidden="false" customHeight="false" outlineLevel="0" collapsed="false">
      <c r="A58" s="4"/>
      <c r="B58" s="4"/>
      <c r="C58" s="4"/>
      <c r="D58" s="4"/>
      <c r="E58" s="4"/>
      <c r="F58" s="4"/>
      <c r="G58" s="4"/>
      <c r="H58" s="4"/>
      <c r="I58" s="4"/>
      <c r="J58" s="4"/>
      <c r="K58" s="4"/>
      <c r="L58" s="4"/>
      <c r="M58" s="4"/>
      <c r="N58" s="4"/>
      <c r="O58" s="4"/>
      <c r="P58" s="4"/>
      <c r="Q58" s="4"/>
      <c r="R58" s="4"/>
      <c r="S58" s="4"/>
      <c r="T58" s="4"/>
      <c r="U58" s="4"/>
      <c r="V58" s="4"/>
      <c r="W58" s="4"/>
      <c r="X58" s="4"/>
    </row>
    <row r="59" customFormat="false" ht="15" hidden="false" customHeight="false" outlineLevel="0" collapsed="false">
      <c r="A59" s="4"/>
      <c r="B59" s="4"/>
      <c r="C59" s="4"/>
      <c r="D59" s="4"/>
      <c r="E59" s="4"/>
      <c r="F59" s="4"/>
      <c r="G59" s="4"/>
      <c r="H59" s="4"/>
      <c r="I59" s="4"/>
      <c r="J59" s="4"/>
      <c r="K59" s="4"/>
      <c r="L59" s="4"/>
      <c r="M59" s="4"/>
      <c r="N59" s="4"/>
      <c r="O59" s="4"/>
      <c r="P59" s="4"/>
      <c r="Q59" s="4"/>
      <c r="R59" s="4"/>
      <c r="S59" s="4"/>
      <c r="T59" s="4"/>
      <c r="U59" s="4"/>
      <c r="V59" s="4"/>
      <c r="W59" s="4"/>
      <c r="X59" s="4"/>
    </row>
    <row r="60" customFormat="false" ht="15" hidden="false" customHeight="false" outlineLevel="0" collapsed="false">
      <c r="A60" s="4"/>
      <c r="B60" s="4"/>
      <c r="C60" s="4"/>
      <c r="D60" s="4"/>
      <c r="E60" s="4"/>
      <c r="F60" s="4"/>
      <c r="G60" s="4"/>
      <c r="H60" s="4"/>
      <c r="I60" s="4"/>
      <c r="J60" s="4"/>
      <c r="K60" s="4"/>
      <c r="L60" s="4"/>
      <c r="M60" s="4"/>
      <c r="N60" s="4"/>
      <c r="O60" s="4"/>
      <c r="P60" s="4"/>
      <c r="Q60" s="4"/>
      <c r="R60" s="4"/>
      <c r="S60" s="4"/>
      <c r="T60" s="4"/>
      <c r="U60" s="4"/>
      <c r="V60" s="4"/>
      <c r="W60" s="4"/>
      <c r="X60" s="4"/>
    </row>
    <row r="61" customFormat="false" ht="15" hidden="false" customHeight="false" outlineLevel="0" collapsed="false">
      <c r="A61" s="4"/>
      <c r="B61" s="4"/>
      <c r="C61" s="4"/>
      <c r="D61" s="4"/>
      <c r="E61" s="4"/>
      <c r="F61" s="4"/>
      <c r="G61" s="4"/>
      <c r="H61" s="4"/>
      <c r="I61" s="4"/>
      <c r="J61" s="4"/>
      <c r="K61" s="4"/>
      <c r="L61" s="4"/>
      <c r="M61" s="4"/>
      <c r="N61" s="4"/>
      <c r="O61" s="4"/>
      <c r="P61" s="4"/>
      <c r="Q61" s="4"/>
      <c r="R61" s="4"/>
      <c r="S61" s="4"/>
      <c r="T61" s="4"/>
      <c r="U61" s="4"/>
      <c r="V61" s="4"/>
      <c r="W61" s="4"/>
      <c r="X61" s="4"/>
    </row>
    <row r="62" customFormat="false" ht="15" hidden="false" customHeight="false" outlineLevel="0" collapsed="false">
      <c r="A62" s="4"/>
      <c r="B62" s="4"/>
      <c r="C62" s="4"/>
      <c r="D62" s="4"/>
      <c r="E62" s="4"/>
      <c r="F62" s="4"/>
      <c r="G62" s="4"/>
      <c r="H62" s="4"/>
      <c r="I62" s="4"/>
      <c r="J62" s="4"/>
      <c r="K62" s="4"/>
      <c r="L62" s="4"/>
      <c r="M62" s="4"/>
      <c r="N62" s="4"/>
      <c r="O62" s="4"/>
      <c r="P62" s="4"/>
      <c r="Q62" s="4"/>
      <c r="R62" s="4"/>
      <c r="S62" s="4"/>
      <c r="T62" s="4"/>
      <c r="U62" s="4"/>
      <c r="V62" s="4"/>
      <c r="W62" s="4"/>
      <c r="X62" s="4"/>
    </row>
    <row r="63" customFormat="false" ht="15" hidden="false" customHeight="false" outlineLevel="0" collapsed="false">
      <c r="A63" s="4"/>
      <c r="B63" s="4"/>
      <c r="C63" s="4"/>
      <c r="D63" s="4"/>
      <c r="E63" s="4"/>
      <c r="F63" s="4"/>
      <c r="G63" s="4"/>
      <c r="H63" s="4"/>
      <c r="I63" s="4"/>
      <c r="J63" s="4"/>
      <c r="K63" s="4"/>
      <c r="L63" s="4"/>
      <c r="M63" s="4"/>
      <c r="N63" s="4"/>
      <c r="O63" s="4"/>
      <c r="P63" s="4"/>
      <c r="Q63" s="4"/>
      <c r="R63" s="4"/>
      <c r="S63" s="4"/>
      <c r="T63" s="4"/>
      <c r="U63" s="4"/>
      <c r="V63" s="4"/>
      <c r="W63" s="4"/>
      <c r="X63" s="4"/>
    </row>
    <row r="64" customFormat="false" ht="15" hidden="false" customHeight="false" outlineLevel="0" collapsed="false">
      <c r="A64" s="4"/>
      <c r="B64" s="4"/>
      <c r="C64" s="4"/>
      <c r="D64" s="4"/>
      <c r="E64" s="4"/>
      <c r="F64" s="4"/>
      <c r="G64" s="4"/>
      <c r="H64" s="4"/>
      <c r="I64" s="4"/>
      <c r="J64" s="4"/>
      <c r="K64" s="4"/>
      <c r="L64" s="4"/>
      <c r="M64" s="4"/>
      <c r="N64" s="4"/>
      <c r="O64" s="4"/>
      <c r="P64" s="4"/>
      <c r="Q64" s="4"/>
      <c r="R64" s="4"/>
      <c r="S64" s="4"/>
      <c r="T64" s="4"/>
      <c r="U64" s="4"/>
      <c r="V64" s="4"/>
      <c r="W64" s="4"/>
      <c r="X64" s="4"/>
    </row>
    <row r="65" customFormat="false" ht="15" hidden="false" customHeight="false" outlineLevel="0" collapsed="false">
      <c r="A65" s="4"/>
      <c r="B65" s="4"/>
      <c r="C65" s="4"/>
      <c r="D65" s="4"/>
      <c r="E65" s="4"/>
      <c r="F65" s="4"/>
      <c r="G65" s="4"/>
      <c r="H65" s="4"/>
      <c r="I65" s="4"/>
      <c r="J65" s="4"/>
      <c r="K65" s="4"/>
      <c r="L65" s="4"/>
      <c r="M65" s="4"/>
      <c r="N65" s="4"/>
      <c r="O65" s="4"/>
      <c r="P65" s="4"/>
      <c r="Q65" s="4"/>
      <c r="R65" s="4"/>
      <c r="S65" s="4"/>
      <c r="T65" s="4"/>
      <c r="U65" s="4"/>
      <c r="V65" s="4"/>
      <c r="W65" s="4"/>
      <c r="X65" s="4"/>
    </row>
    <row r="66" customFormat="false" ht="15" hidden="false" customHeight="false" outlineLevel="0" collapsed="false">
      <c r="A66" s="4"/>
      <c r="B66" s="4"/>
      <c r="C66" s="4"/>
      <c r="D66" s="4"/>
      <c r="E66" s="4"/>
      <c r="F66" s="4"/>
      <c r="G66" s="4"/>
      <c r="H66" s="4"/>
      <c r="I66" s="4"/>
      <c r="J66" s="4"/>
      <c r="K66" s="4"/>
      <c r="L66" s="4"/>
      <c r="M66" s="4"/>
      <c r="N66" s="4"/>
      <c r="O66" s="4"/>
      <c r="P66" s="4"/>
      <c r="Q66" s="4"/>
      <c r="R66" s="4"/>
      <c r="S66" s="4"/>
      <c r="T66" s="4"/>
      <c r="U66" s="4"/>
      <c r="V66" s="4"/>
      <c r="W66" s="4"/>
      <c r="X66" s="4"/>
    </row>
    <row r="67" customFormat="false" ht="15" hidden="false" customHeight="false" outlineLevel="0" collapsed="false">
      <c r="A67" s="20" t="s">
        <v>13</v>
      </c>
      <c r="B67" s="4"/>
      <c r="C67" s="4"/>
      <c r="D67" s="4"/>
      <c r="E67" s="4"/>
      <c r="F67" s="4"/>
      <c r="G67" s="4"/>
      <c r="H67" s="4"/>
      <c r="I67" s="4"/>
      <c r="J67" s="4"/>
      <c r="K67" s="4"/>
      <c r="L67" s="4"/>
      <c r="M67" s="4"/>
      <c r="N67" s="4"/>
      <c r="O67" s="4"/>
      <c r="P67" s="4"/>
      <c r="Q67" s="4"/>
      <c r="R67" s="4"/>
      <c r="S67" s="4"/>
      <c r="T67" s="4"/>
      <c r="U67" s="4"/>
      <c r="V67" s="4"/>
      <c r="W67" s="4"/>
      <c r="X67" s="4"/>
    </row>
    <row r="68" customFormat="false" ht="15" hidden="false" customHeight="false" outlineLevel="0" collapsed="false">
      <c r="A68" s="4"/>
      <c r="B68" s="4"/>
      <c r="C68" s="4"/>
      <c r="D68" s="4"/>
      <c r="E68" s="4"/>
      <c r="F68" s="4"/>
      <c r="G68" s="4"/>
      <c r="H68" s="4"/>
      <c r="I68" s="4"/>
      <c r="J68" s="4"/>
      <c r="K68" s="4"/>
      <c r="L68" s="4"/>
      <c r="M68" s="4"/>
      <c r="N68" s="4"/>
      <c r="O68" s="4"/>
      <c r="P68" s="4"/>
      <c r="Q68" s="4"/>
      <c r="R68" s="4"/>
      <c r="S68" s="4"/>
      <c r="T68" s="4"/>
      <c r="U68" s="4"/>
      <c r="V68" s="4"/>
      <c r="W68" s="4"/>
      <c r="X68" s="4"/>
    </row>
    <row r="69" customFormat="false" ht="15" hidden="false" customHeight="false" outlineLevel="0" collapsed="false">
      <c r="A69" s="4"/>
      <c r="B69" s="4"/>
      <c r="C69" s="4"/>
      <c r="D69" s="4"/>
      <c r="E69" s="4"/>
      <c r="F69" s="4"/>
      <c r="G69" s="4"/>
      <c r="H69" s="4"/>
      <c r="I69" s="4"/>
      <c r="J69" s="4"/>
      <c r="K69" s="4"/>
      <c r="L69" s="4"/>
      <c r="M69" s="4"/>
      <c r="N69" s="4"/>
      <c r="O69" s="4"/>
      <c r="P69" s="4"/>
      <c r="Q69" s="4"/>
      <c r="R69" s="4"/>
      <c r="S69" s="4"/>
      <c r="T69" s="4"/>
      <c r="U69" s="4"/>
      <c r="V69" s="4"/>
      <c r="W69" s="4"/>
      <c r="X69" s="4"/>
    </row>
    <row r="70" customFormat="false" ht="15" hidden="false" customHeight="false" outlineLevel="0" collapsed="false">
      <c r="A70" s="4"/>
      <c r="B70" s="4"/>
      <c r="C70" s="4"/>
      <c r="D70" s="4"/>
      <c r="E70" s="4"/>
      <c r="F70" s="4"/>
      <c r="G70" s="4"/>
      <c r="H70" s="4"/>
      <c r="I70" s="4"/>
      <c r="J70" s="4"/>
      <c r="K70" s="4"/>
      <c r="L70" s="4"/>
      <c r="M70" s="4"/>
      <c r="N70" s="4"/>
      <c r="O70" s="4"/>
      <c r="P70" s="4"/>
      <c r="Q70" s="4"/>
      <c r="R70" s="4"/>
      <c r="S70" s="4"/>
      <c r="T70" s="4"/>
      <c r="U70" s="4"/>
      <c r="V70" s="4"/>
      <c r="W70" s="4"/>
      <c r="X70" s="4"/>
    </row>
    <row r="71" customFormat="false" ht="15" hidden="false" customHeight="false" outlineLevel="0" collapsed="false">
      <c r="A71" s="4"/>
      <c r="B71" s="4"/>
      <c r="C71" s="4"/>
      <c r="D71" s="4"/>
      <c r="E71" s="4"/>
      <c r="F71" s="4"/>
      <c r="G71" s="4"/>
      <c r="H71" s="4"/>
      <c r="I71" s="4"/>
      <c r="J71" s="4"/>
      <c r="K71" s="4"/>
      <c r="L71" s="4"/>
      <c r="M71" s="4"/>
      <c r="N71" s="4"/>
      <c r="O71" s="4"/>
      <c r="P71" s="4"/>
      <c r="Q71" s="4"/>
      <c r="R71" s="4"/>
      <c r="S71" s="4"/>
      <c r="T71" s="4"/>
      <c r="U71" s="4"/>
      <c r="V71" s="4"/>
      <c r="W71" s="4"/>
      <c r="X71" s="4"/>
    </row>
    <row r="72" customFormat="false" ht="15" hidden="false" customHeight="false" outlineLevel="0" collapsed="false">
      <c r="A72" s="4"/>
      <c r="B72" s="4"/>
      <c r="C72" s="4"/>
      <c r="D72" s="4"/>
      <c r="E72" s="4"/>
      <c r="F72" s="4"/>
      <c r="G72" s="4"/>
      <c r="H72" s="4"/>
      <c r="I72" s="4"/>
      <c r="J72" s="4"/>
      <c r="K72" s="4"/>
      <c r="L72" s="4"/>
      <c r="M72" s="4"/>
      <c r="N72" s="4"/>
      <c r="O72" s="4"/>
      <c r="P72" s="4"/>
      <c r="Q72" s="4"/>
      <c r="R72" s="4"/>
      <c r="S72" s="4"/>
      <c r="T72" s="4"/>
      <c r="U72" s="4"/>
      <c r="V72" s="4"/>
      <c r="W72" s="4"/>
      <c r="X72" s="4"/>
    </row>
    <row r="73" customFormat="false" ht="15" hidden="false" customHeight="false" outlineLevel="0" collapsed="false">
      <c r="A73" s="4"/>
      <c r="B73" s="4"/>
      <c r="C73" s="4"/>
      <c r="D73" s="4"/>
      <c r="E73" s="4"/>
      <c r="F73" s="4"/>
      <c r="G73" s="4"/>
      <c r="H73" s="4"/>
      <c r="I73" s="4"/>
      <c r="J73" s="4"/>
      <c r="K73" s="4"/>
      <c r="L73" s="4"/>
      <c r="M73" s="4"/>
      <c r="N73" s="4"/>
      <c r="O73" s="4"/>
      <c r="P73" s="4"/>
      <c r="Q73" s="4"/>
      <c r="R73" s="4"/>
      <c r="S73" s="4"/>
      <c r="T73" s="4"/>
      <c r="U73" s="4"/>
      <c r="V73" s="4"/>
      <c r="W73" s="4"/>
      <c r="X73" s="4"/>
    </row>
    <row r="74" customFormat="false" ht="15" hidden="false" customHeight="false" outlineLevel="0" collapsed="false">
      <c r="A74" s="4"/>
      <c r="B74" s="4"/>
      <c r="C74" s="4"/>
      <c r="D74" s="4"/>
      <c r="E74" s="4"/>
      <c r="F74" s="4"/>
      <c r="G74" s="4"/>
      <c r="H74" s="4"/>
      <c r="I74" s="4"/>
      <c r="J74" s="4"/>
      <c r="K74" s="4"/>
      <c r="L74" s="4"/>
      <c r="M74" s="4"/>
      <c r="N74" s="4"/>
      <c r="O74" s="4"/>
      <c r="P74" s="4"/>
      <c r="Q74" s="4"/>
      <c r="R74" s="4"/>
      <c r="S74" s="4"/>
      <c r="T74" s="4"/>
      <c r="U74" s="4"/>
      <c r="V74" s="4"/>
      <c r="W74" s="4"/>
      <c r="X74" s="4"/>
    </row>
    <row r="75" customFormat="false" ht="15" hidden="false" customHeight="false" outlineLevel="0" collapsed="false">
      <c r="A75" s="4"/>
      <c r="B75" s="4"/>
      <c r="C75" s="4"/>
      <c r="D75" s="4"/>
      <c r="E75" s="4"/>
      <c r="F75" s="4"/>
      <c r="G75" s="4"/>
      <c r="H75" s="4"/>
      <c r="I75" s="4"/>
      <c r="J75" s="4"/>
      <c r="K75" s="4"/>
      <c r="L75" s="4"/>
      <c r="M75" s="4"/>
      <c r="N75" s="4"/>
      <c r="O75" s="4"/>
      <c r="P75" s="4"/>
      <c r="Q75" s="4"/>
      <c r="R75" s="4"/>
      <c r="S75" s="4"/>
      <c r="T75" s="4"/>
      <c r="U75" s="4"/>
      <c r="V75" s="4"/>
      <c r="W75" s="4"/>
      <c r="X75" s="4"/>
    </row>
    <row r="76" customFormat="false" ht="15" hidden="false" customHeight="false" outlineLevel="0" collapsed="false">
      <c r="A76" s="4"/>
      <c r="B76" s="4"/>
      <c r="C76" s="4"/>
      <c r="D76" s="4"/>
      <c r="E76" s="4"/>
      <c r="F76" s="4"/>
      <c r="G76" s="4"/>
      <c r="H76" s="4"/>
      <c r="I76" s="4"/>
      <c r="J76" s="4"/>
      <c r="K76" s="4"/>
      <c r="L76" s="4"/>
      <c r="M76" s="4"/>
      <c r="N76" s="4"/>
      <c r="O76" s="4"/>
      <c r="P76" s="4"/>
      <c r="Q76" s="4"/>
      <c r="R76" s="4"/>
      <c r="S76" s="4"/>
      <c r="T76" s="4"/>
      <c r="U76" s="4"/>
      <c r="V76" s="4"/>
      <c r="W76" s="4"/>
      <c r="X76" s="4"/>
    </row>
    <row r="77" customFormat="false" ht="15" hidden="false" customHeight="false" outlineLevel="0" collapsed="false">
      <c r="A77" s="4"/>
      <c r="B77" s="4"/>
      <c r="C77" s="4"/>
      <c r="D77" s="4"/>
      <c r="E77" s="4"/>
      <c r="F77" s="4"/>
      <c r="G77" s="4"/>
      <c r="H77" s="4"/>
      <c r="I77" s="4"/>
      <c r="J77" s="4"/>
      <c r="K77" s="4"/>
      <c r="L77" s="4"/>
      <c r="M77" s="4"/>
      <c r="N77" s="4"/>
      <c r="O77" s="4"/>
      <c r="P77" s="4"/>
      <c r="Q77" s="4"/>
      <c r="R77" s="4"/>
      <c r="S77" s="4"/>
      <c r="T77" s="4"/>
      <c r="U77" s="4"/>
      <c r="V77" s="4"/>
      <c r="W77" s="4"/>
      <c r="X77" s="4"/>
    </row>
    <row r="78" customFormat="false" ht="15" hidden="false" customHeight="false" outlineLevel="0" collapsed="false">
      <c r="A78" s="4"/>
      <c r="B78" s="4"/>
      <c r="C78" s="4"/>
      <c r="D78" s="4"/>
      <c r="E78" s="4"/>
      <c r="F78" s="4"/>
      <c r="G78" s="4"/>
      <c r="H78" s="4"/>
      <c r="I78" s="4"/>
      <c r="J78" s="4"/>
      <c r="K78" s="4"/>
      <c r="L78" s="4"/>
      <c r="M78" s="4"/>
      <c r="N78" s="4"/>
      <c r="O78" s="4"/>
      <c r="P78" s="4"/>
      <c r="Q78" s="4"/>
      <c r="R78" s="4"/>
      <c r="S78" s="4"/>
      <c r="T78" s="4"/>
      <c r="U78" s="4"/>
      <c r="V78" s="4"/>
      <c r="W78" s="4"/>
      <c r="X78" s="4"/>
    </row>
    <row r="79" customFormat="false" ht="15" hidden="false" customHeight="false" outlineLevel="0" collapsed="false">
      <c r="A79" s="4"/>
      <c r="B79" s="4"/>
      <c r="C79" s="4"/>
      <c r="D79" s="4"/>
      <c r="E79" s="4"/>
      <c r="F79" s="4"/>
      <c r="G79" s="4"/>
      <c r="H79" s="4"/>
      <c r="I79" s="4"/>
      <c r="J79" s="4"/>
      <c r="K79" s="4"/>
      <c r="L79" s="4"/>
      <c r="M79" s="4"/>
      <c r="N79" s="4"/>
      <c r="O79" s="4"/>
      <c r="P79" s="4"/>
      <c r="Q79" s="4"/>
      <c r="R79" s="4"/>
      <c r="S79" s="4"/>
      <c r="T79" s="4"/>
      <c r="U79" s="4"/>
      <c r="V79" s="4"/>
      <c r="W79" s="4"/>
      <c r="X79" s="4"/>
    </row>
  </sheetData>
  <mergeCells count="23">
    <mergeCell ref="A1:X2"/>
    <mergeCell ref="A5:D5"/>
    <mergeCell ref="E5:H5"/>
    <mergeCell ref="I5:L5"/>
    <mergeCell ref="M5:P5"/>
    <mergeCell ref="Q5:T5"/>
    <mergeCell ref="U5:X5"/>
    <mergeCell ref="A6:D7"/>
    <mergeCell ref="E6:H7"/>
    <mergeCell ref="I6:L7"/>
    <mergeCell ref="M6:P7"/>
    <mergeCell ref="Q6:T7"/>
    <mergeCell ref="U6:X7"/>
    <mergeCell ref="A8:D8"/>
    <mergeCell ref="E8:H8"/>
    <mergeCell ref="I8:L8"/>
    <mergeCell ref="M8:P8"/>
    <mergeCell ref="Q8:T8"/>
    <mergeCell ref="U8:X8"/>
    <mergeCell ref="A11:X11"/>
    <mergeCell ref="A12:X12"/>
    <mergeCell ref="A13:X13"/>
    <mergeCell ref="A14:X1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B8A6"/>
    <pageSetUpPr fitToPage="false"/>
  </sheetPr>
  <dimension ref="A1:H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7"/>
    <col collapsed="false" customWidth="true" hidden="false" outlineLevel="0" max="3" min="3" style="0" width="20"/>
    <col collapsed="false" customWidth="true" hidden="false" outlineLevel="0" max="8" min="4" style="0" width="17"/>
  </cols>
  <sheetData>
    <row r="1" customFormat="false" ht="22.05" hidden="false" customHeight="false" outlineLevel="0" collapsed="false">
      <c r="A1" s="21" t="s">
        <v>14</v>
      </c>
    </row>
    <row r="2" customFormat="false" ht="15" hidden="false" customHeight="false" outlineLevel="0" collapsed="false">
      <c r="A2" s="22" t="s">
        <v>15</v>
      </c>
    </row>
    <row r="4" customFormat="false" ht="15" hidden="false" customHeight="false" outlineLevel="0" collapsed="false">
      <c r="A4" s="23" t="s">
        <v>16</v>
      </c>
    </row>
    <row r="5" customFormat="false" ht="30" hidden="false" customHeight="true" outlineLevel="0" collapsed="false">
      <c r="A5" s="24" t="s">
        <v>17</v>
      </c>
      <c r="B5" s="25" t="s">
        <v>18</v>
      </c>
      <c r="C5" s="25" t="s">
        <v>19</v>
      </c>
      <c r="D5" s="25" t="s">
        <v>20</v>
      </c>
      <c r="E5" s="25" t="s">
        <v>21</v>
      </c>
      <c r="F5" s="25" t="s">
        <v>22</v>
      </c>
      <c r="G5" s="25" t="s">
        <v>23</v>
      </c>
      <c r="H5" s="25" t="s">
        <v>24</v>
      </c>
    </row>
    <row r="6" customFormat="false" ht="15" hidden="false" customHeight="false" outlineLevel="0" collapsed="false">
      <c r="A6" s="26" t="s">
        <v>25</v>
      </c>
      <c r="B6" s="27" t="n">
        <f aca="false">COUNTIFS(Clean_Data!$K$2:$K$289,$A6)</f>
        <v>119</v>
      </c>
      <c r="C6" s="28" t="n">
        <f aca="false">B6/SUM(B$6:B$13)</f>
        <v>0.428057553956835</v>
      </c>
      <c r="D6" s="29" t="n">
        <f aca="false">IFERROR(AVERAGEIFS(Clean_Data!$T$2:$T$289,Clean_Data!$K$2:$K$289,$A6),"")</f>
        <v>6.26086956521739</v>
      </c>
      <c r="E6" s="29" t="n">
        <f aca="false">IFERROR(AVERAGEIFS(Clean_Data!$R$2:$R$289,Clean_Data!$K$2:$K$289,$A6),"")</f>
        <v>5.23185840707965</v>
      </c>
      <c r="F6" s="29" t="n">
        <f aca="false">IFERROR(AVERAGEIFS(Clean_Data!$S$2:$S$289,Clean_Data!$K$2:$K$289,$A6),"")</f>
        <v>3.35964912280702</v>
      </c>
      <c r="G6" s="28" t="n">
        <f aca="false">IFERROR(COUNTIFS(Clean_Data!$K$2:$K$289,$A6,Clean_Data!$W$2:$W$289,"Yes")/(COUNTIFS(Clean_Data!$K$2:$K$289,$A6,Clean_Data!$W$2:$W$289,"Yes")+COUNTIFS(Clean_Data!$K$2:$K$289,$A6,Clean_Data!$W$2:$W$289,"Maybe")+COUNTIFS(Clean_Data!$K$2:$K$289,$A6,Clean_Data!$W$2:$W$289,"No")),"")</f>
        <v>0.58974358974359</v>
      </c>
      <c r="H6" s="29" t="n">
        <f aca="false">IFERROR(AVERAGEIFS(Clean_Data!$U$2:$U$289,Clean_Data!$K$2:$K$289,$A6),"")</f>
        <v>5.94827586206897</v>
      </c>
    </row>
    <row r="7" customFormat="false" ht="15" hidden="false" customHeight="false" outlineLevel="0" collapsed="false">
      <c r="A7" s="26" t="s">
        <v>26</v>
      </c>
      <c r="B7" s="27" t="n">
        <f aca="false">COUNTIFS(Clean_Data!$K$2:$K$289,$A7)</f>
        <v>39</v>
      </c>
      <c r="C7" s="28" t="n">
        <f aca="false">B7/SUM(B$6:B$13)</f>
        <v>0.140287769784173</v>
      </c>
      <c r="D7" s="29" t="n">
        <f aca="false">IFERROR(AVERAGEIFS(Clean_Data!$T$2:$T$289,Clean_Data!$K$2:$K$289,$A7),"")</f>
        <v>5.68421052631579</v>
      </c>
      <c r="E7" s="29" t="n">
        <f aca="false">IFERROR(AVERAGEIFS(Clean_Data!$R$2:$R$289,Clean_Data!$K$2:$K$289,$A7),"")</f>
        <v>5.06052631578947</v>
      </c>
      <c r="F7" s="29" t="n">
        <f aca="false">IFERROR(AVERAGEIFS(Clean_Data!$S$2:$S$289,Clean_Data!$K$2:$K$289,$A7),"")</f>
        <v>3.36111111111111</v>
      </c>
      <c r="G7" s="28" t="n">
        <f aca="false">IFERROR(COUNTIFS(Clean_Data!$K$2:$K$289,$A7,Clean_Data!$W$2:$W$289,"Yes")/(COUNTIFS(Clean_Data!$K$2:$K$289,$A7,Clean_Data!$W$2:$W$289,"Yes")+COUNTIFS(Clean_Data!$K$2:$K$289,$A7,Clean_Data!$W$2:$W$289,"Maybe")+COUNTIFS(Clean_Data!$K$2:$K$289,$A7,Clean_Data!$W$2:$W$289,"No")),"")</f>
        <v>0.666666666666667</v>
      </c>
      <c r="H7" s="29" t="n">
        <f aca="false">IFERROR(AVERAGEIFS(Clean_Data!$U$2:$U$289,Clean_Data!$K$2:$K$289,$A7),"")</f>
        <v>5.39473684210526</v>
      </c>
    </row>
    <row r="8" customFormat="false" ht="15" hidden="false" customHeight="false" outlineLevel="0" collapsed="false">
      <c r="A8" s="26" t="s">
        <v>27</v>
      </c>
      <c r="B8" s="27" t="n">
        <f aca="false">COUNTIFS(Clean_Data!$K$2:$K$289,$A8)</f>
        <v>33</v>
      </c>
      <c r="C8" s="28" t="n">
        <f aca="false">B8/SUM(B$6:B$13)</f>
        <v>0.118705035971223</v>
      </c>
      <c r="D8" s="29" t="n">
        <f aca="false">IFERROR(AVERAGEIFS(Clean_Data!$T$2:$T$289,Clean_Data!$K$2:$K$289,$A8),"")</f>
        <v>6.3030303030303</v>
      </c>
      <c r="E8" s="29" t="n">
        <f aca="false">IFERROR(AVERAGEIFS(Clean_Data!$R$2:$R$289,Clean_Data!$K$2:$K$289,$A8),"")</f>
        <v>5.51290322580645</v>
      </c>
      <c r="F8" s="29" t="n">
        <f aca="false">IFERROR(AVERAGEIFS(Clean_Data!$S$2:$S$289,Clean_Data!$K$2:$K$289,$A8),"")</f>
        <v>3.39393939393939</v>
      </c>
      <c r="G8" s="28" t="n">
        <f aca="false">IFERROR(COUNTIFS(Clean_Data!$K$2:$K$289,$A8,Clean_Data!$W$2:$W$289,"Yes")/(COUNTIFS(Clean_Data!$K$2:$K$289,$A8,Clean_Data!$W$2:$W$289,"Yes")+COUNTIFS(Clean_Data!$K$2:$K$289,$A8,Clean_Data!$W$2:$W$289,"Maybe")+COUNTIFS(Clean_Data!$K$2:$K$289,$A8,Clean_Data!$W$2:$W$289,"No")),"")</f>
        <v>0.5625</v>
      </c>
      <c r="H8" s="29" t="n">
        <f aca="false">IFERROR(AVERAGEIFS(Clean_Data!$U$2:$U$289,Clean_Data!$K$2:$K$289,$A8),"")</f>
        <v>6.575</v>
      </c>
    </row>
    <row r="9" customFormat="false" ht="15" hidden="false" customHeight="false" outlineLevel="0" collapsed="false">
      <c r="A9" s="26" t="s">
        <v>28</v>
      </c>
      <c r="B9" s="27" t="n">
        <f aca="false">COUNTIFS(Clean_Data!$K$2:$K$289,$A9)</f>
        <v>31</v>
      </c>
      <c r="C9" s="28" t="n">
        <f aca="false">B9/SUM(B$6:B$13)</f>
        <v>0.111510791366906</v>
      </c>
      <c r="D9" s="29" t="n">
        <f aca="false">IFERROR(AVERAGEIFS(Clean_Data!$T$2:$T$289,Clean_Data!$K$2:$K$289,$A9),"")</f>
        <v>6.09677419354839</v>
      </c>
      <c r="E9" s="29" t="n">
        <f aca="false">IFERROR(AVERAGEIFS(Clean_Data!$R$2:$R$289,Clean_Data!$K$2:$K$289,$A9),"")</f>
        <v>5.29310344827586</v>
      </c>
      <c r="F9" s="29" t="n">
        <f aca="false">IFERROR(AVERAGEIFS(Clean_Data!$S$2:$S$289,Clean_Data!$K$2:$K$289,$A9),"")</f>
        <v>3.37037037037037</v>
      </c>
      <c r="G9" s="28" t="n">
        <f aca="false">IFERROR(COUNTIFS(Clean_Data!$K$2:$K$289,$A9,Clean_Data!$W$2:$W$289,"Yes")/(COUNTIFS(Clean_Data!$K$2:$K$289,$A9,Clean_Data!$W$2:$W$289,"Yes")+COUNTIFS(Clean_Data!$K$2:$K$289,$A9,Clean_Data!$W$2:$W$289,"Maybe")+COUNTIFS(Clean_Data!$K$2:$K$289,$A9,Clean_Data!$W$2:$W$289,"No")),"")</f>
        <v>0.612903225806452</v>
      </c>
      <c r="H9" s="29" t="n">
        <f aca="false">IFERROR(AVERAGEIFS(Clean_Data!$U$2:$U$289,Clean_Data!$K$2:$K$289,$A9),"")</f>
        <v>5.61379310344828</v>
      </c>
    </row>
    <row r="10" customFormat="false" ht="15" hidden="false" customHeight="false" outlineLevel="0" collapsed="false">
      <c r="A10" s="26" t="s">
        <v>29</v>
      </c>
      <c r="B10" s="27" t="n">
        <f aca="false">COUNTIFS(Clean_Data!$K$2:$K$289,$A10)</f>
        <v>23</v>
      </c>
      <c r="C10" s="28" t="n">
        <f aca="false">B10/SUM(B$6:B$13)</f>
        <v>0.0827338129496403</v>
      </c>
      <c r="D10" s="29" t="n">
        <f aca="false">IFERROR(AVERAGEIFS(Clean_Data!$T$2:$T$289,Clean_Data!$K$2:$K$289,$A10),"")</f>
        <v>5.81818181818182</v>
      </c>
      <c r="E10" s="29" t="n">
        <f aca="false">IFERROR(AVERAGEIFS(Clean_Data!$R$2:$R$289,Clean_Data!$K$2:$K$289,$A10),"")</f>
        <v>4.64</v>
      </c>
      <c r="F10" s="29" t="n">
        <f aca="false">IFERROR(AVERAGEIFS(Clean_Data!$S$2:$S$289,Clean_Data!$K$2:$K$289,$A10),"")</f>
        <v>3.40909090909091</v>
      </c>
      <c r="G10" s="28" t="n">
        <f aca="false">IFERROR(COUNTIFS(Clean_Data!$K$2:$K$289,$A10,Clean_Data!$W$2:$W$289,"Yes")/(COUNTIFS(Clean_Data!$K$2:$K$289,$A10,Clean_Data!$W$2:$W$289,"Yes")+COUNTIFS(Clean_Data!$K$2:$K$289,$A10,Clean_Data!$W$2:$W$289,"Maybe")+COUNTIFS(Clean_Data!$K$2:$K$289,$A10,Clean_Data!$W$2:$W$289,"No")),"")</f>
        <v>0.545454545454545</v>
      </c>
      <c r="H10" s="29" t="n">
        <f aca="false">IFERROR(AVERAGEIFS(Clean_Data!$U$2:$U$289,Clean_Data!$K$2:$K$289,$A10),"")</f>
        <v>5.63636363636364</v>
      </c>
    </row>
    <row r="11" customFormat="false" ht="15" hidden="false" customHeight="false" outlineLevel="0" collapsed="false">
      <c r="A11" s="26" t="s">
        <v>30</v>
      </c>
      <c r="B11" s="27" t="n">
        <f aca="false">COUNTIFS(Clean_Data!$K$2:$K$289,$A11)</f>
        <v>14</v>
      </c>
      <c r="C11" s="28" t="n">
        <f aca="false">B11/SUM(B$6:B$13)</f>
        <v>0.0503597122302158</v>
      </c>
      <c r="D11" s="29" t="n">
        <f aca="false">IFERROR(AVERAGEIFS(Clean_Data!$T$2:$T$289,Clean_Data!$K$2:$K$289,$A11),"")</f>
        <v>6.28571428571429</v>
      </c>
      <c r="E11" s="29" t="n">
        <f aca="false">IFERROR(AVERAGEIFS(Clean_Data!$R$2:$R$289,Clean_Data!$K$2:$K$289,$A11),"")</f>
        <v>5.11428571428571</v>
      </c>
      <c r="F11" s="29" t="n">
        <f aca="false">IFERROR(AVERAGEIFS(Clean_Data!$S$2:$S$289,Clean_Data!$K$2:$K$289,$A11),"")</f>
        <v>3.85714285714286</v>
      </c>
      <c r="G11" s="28" t="n">
        <f aca="false">IFERROR(COUNTIFS(Clean_Data!$K$2:$K$289,$A11,Clean_Data!$W$2:$W$289,"Yes")/(COUNTIFS(Clean_Data!$K$2:$K$289,$A11,Clean_Data!$W$2:$W$289,"Yes")+COUNTIFS(Clean_Data!$K$2:$K$289,$A11,Clean_Data!$W$2:$W$289,"Maybe")+COUNTIFS(Clean_Data!$K$2:$K$289,$A11,Clean_Data!$W$2:$W$289,"No")),"")</f>
        <v>0.642857142857143</v>
      </c>
      <c r="H11" s="29" t="n">
        <f aca="false">IFERROR(AVERAGEIFS(Clean_Data!$U$2:$U$289,Clean_Data!$K$2:$K$289,$A11),"")</f>
        <v>5.48571428571429</v>
      </c>
    </row>
    <row r="12" customFormat="false" ht="15" hidden="false" customHeight="false" outlineLevel="0" collapsed="false">
      <c r="A12" s="26" t="s">
        <v>31</v>
      </c>
      <c r="B12" s="27" t="n">
        <f aca="false">COUNTIFS(Clean_Data!$K$2:$K$289,$A12)</f>
        <v>10</v>
      </c>
      <c r="C12" s="28" t="n">
        <f aca="false">B12/SUM(B$6:B$13)</f>
        <v>0.0359712230215827</v>
      </c>
      <c r="D12" s="29" t="n">
        <f aca="false">IFERROR(AVERAGEIFS(Clean_Data!$T$2:$T$289,Clean_Data!$K$2:$K$289,$A12),"")</f>
        <v>6.1</v>
      </c>
      <c r="E12" s="29" t="n">
        <f aca="false">IFERROR(AVERAGEIFS(Clean_Data!$R$2:$R$289,Clean_Data!$K$2:$K$289,$A12),"")</f>
        <v>5.15</v>
      </c>
      <c r="F12" s="29" t="n">
        <f aca="false">IFERROR(AVERAGEIFS(Clean_Data!$S$2:$S$289,Clean_Data!$K$2:$K$289,$A12),"")</f>
        <v>3.5</v>
      </c>
      <c r="G12" s="28" t="n">
        <f aca="false">IFERROR(COUNTIFS(Clean_Data!$K$2:$K$289,$A12,Clean_Data!$W$2:$W$289,"Yes")/(COUNTIFS(Clean_Data!$K$2:$K$289,$A12,Clean_Data!$W$2:$W$289,"Yes")+COUNTIFS(Clean_Data!$K$2:$K$289,$A12,Clean_Data!$W$2:$W$289,"Maybe")+COUNTIFS(Clean_Data!$K$2:$K$289,$A12,Clean_Data!$W$2:$W$289,"No")),"")</f>
        <v>0.4</v>
      </c>
      <c r="H12" s="29" t="n">
        <f aca="false">IFERROR(AVERAGEIFS(Clean_Data!$U$2:$U$289,Clean_Data!$K$2:$K$289,$A12),"")</f>
        <v>4.79</v>
      </c>
    </row>
    <row r="13" customFormat="false" ht="15" hidden="false" customHeight="false" outlineLevel="0" collapsed="false">
      <c r="A13" s="26" t="s">
        <v>32</v>
      </c>
      <c r="B13" s="27" t="n">
        <f aca="false">COUNTIFS(Clean_Data!$K$2:$K$289,$A13)</f>
        <v>9</v>
      </c>
      <c r="C13" s="28" t="n">
        <f aca="false">B13/SUM(B$6:B$13)</f>
        <v>0.0323741007194245</v>
      </c>
      <c r="D13" s="29" t="n">
        <f aca="false">IFERROR(AVERAGEIFS(Clean_Data!$T$2:$T$289,Clean_Data!$K$2:$K$289,$A13),"")</f>
        <v>6.125</v>
      </c>
      <c r="E13" s="29" t="n">
        <f aca="false">IFERROR(AVERAGEIFS(Clean_Data!$R$2:$R$289,Clean_Data!$K$2:$K$289,$A13),"")</f>
        <v>5.53333333333333</v>
      </c>
      <c r="F13" s="29" t="n">
        <f aca="false">IFERROR(AVERAGEIFS(Clean_Data!$S$2:$S$289,Clean_Data!$K$2:$K$289,$A13),"")</f>
        <v>3.75</v>
      </c>
      <c r="G13" s="28" t="n">
        <f aca="false">IFERROR(COUNTIFS(Clean_Data!$K$2:$K$289,$A13,Clean_Data!$W$2:$W$289,"Yes")/(COUNTIFS(Clean_Data!$K$2:$K$289,$A13,Clean_Data!$W$2:$W$289,"Yes")+COUNTIFS(Clean_Data!$K$2:$K$289,$A13,Clean_Data!$W$2:$W$289,"Maybe")+COUNTIFS(Clean_Data!$K$2:$K$289,$A13,Clean_Data!$W$2:$W$289,"No")),"")</f>
        <v>0.625</v>
      </c>
      <c r="H13" s="29" t="n">
        <f aca="false">IFERROR(AVERAGEIFS(Clean_Data!$U$2:$U$289,Clean_Data!$K$2:$K$289,$A13),"")</f>
        <v>6.55714285714286</v>
      </c>
    </row>
    <row r="16" customFormat="false" ht="15" hidden="false" customHeight="false" outlineLevel="0" collapsed="false">
      <c r="A16" s="23" t="s">
        <v>33</v>
      </c>
    </row>
    <row r="17" customFormat="false" ht="30" hidden="false" customHeight="true" outlineLevel="0" collapsed="false">
      <c r="A17" s="24" t="s">
        <v>34</v>
      </c>
      <c r="B17" s="25" t="s">
        <v>18</v>
      </c>
      <c r="C17" s="25" t="s">
        <v>35</v>
      </c>
      <c r="D17" s="25" t="s">
        <v>36</v>
      </c>
      <c r="E17" s="25" t="s">
        <v>21</v>
      </c>
      <c r="F17" s="25" t="s">
        <v>24</v>
      </c>
    </row>
    <row r="18" customFormat="false" ht="15" hidden="false" customHeight="false" outlineLevel="0" collapsed="false">
      <c r="A18" s="26" t="s">
        <v>37</v>
      </c>
      <c r="B18" s="27" t="n">
        <f aca="false">COUNTIFS(Clean_Data!$L$2:$L$289,$A18)</f>
        <v>65</v>
      </c>
      <c r="C18" s="27" t="n">
        <f aca="false">COUNTIFS(Clean_Data!$L$2:$L$289,$A18,Clean_Data!$F$2:$F$289,"Student")</f>
        <v>28</v>
      </c>
      <c r="D18" s="27" t="n">
        <f aca="false">COUNTIFS(Clean_Data!$L$2:$L$289,$A18,Clean_Data!$F$2:$F$289,"Professional")</f>
        <v>37</v>
      </c>
      <c r="E18" s="29" t="n">
        <f aca="false">IFERROR(AVERAGEIFS(Clean_Data!$R$2:$R$289,Clean_Data!$L$2:$L$289,$A18),"")</f>
        <v>4.94444444444445</v>
      </c>
      <c r="F18" s="29" t="n">
        <f aca="false">IFERROR(AVERAGEIFS(Clean_Data!$U$2:$U$289,Clean_Data!$L$2:$L$289,$A18),"")</f>
        <v>5.625</v>
      </c>
    </row>
    <row r="19" customFormat="false" ht="15" hidden="false" customHeight="false" outlineLevel="0" collapsed="false">
      <c r="A19" s="26" t="s">
        <v>38</v>
      </c>
      <c r="B19" s="27" t="n">
        <f aca="false">COUNTIFS(Clean_Data!$L$2:$L$289,$A19)</f>
        <v>49</v>
      </c>
      <c r="C19" s="27" t="n">
        <f aca="false">COUNTIFS(Clean_Data!$L$2:$L$289,$A19,Clean_Data!$F$2:$F$289,"Student")</f>
        <v>29</v>
      </c>
      <c r="D19" s="27" t="n">
        <f aca="false">COUNTIFS(Clean_Data!$L$2:$L$289,$A19,Clean_Data!$F$2:$F$289,"Professional")</f>
        <v>20</v>
      </c>
      <c r="E19" s="29" t="n">
        <f aca="false">IFERROR(AVERAGEIFS(Clean_Data!$R$2:$R$289,Clean_Data!$L$2:$L$289,$A19),"")</f>
        <v>5.54255319148936</v>
      </c>
      <c r="F19" s="29" t="n">
        <f aca="false">IFERROR(AVERAGEIFS(Clean_Data!$U$2:$U$289,Clean_Data!$L$2:$L$289,$A19),"")</f>
        <v>7.02340425531915</v>
      </c>
    </row>
    <row r="20" customFormat="false" ht="15" hidden="false" customHeight="false" outlineLevel="0" collapsed="false">
      <c r="A20" s="26" t="s">
        <v>39</v>
      </c>
      <c r="B20" s="27" t="n">
        <f aca="false">COUNTIFS(Clean_Data!$L$2:$L$289,$A20)</f>
        <v>39</v>
      </c>
      <c r="C20" s="27" t="n">
        <f aca="false">COUNTIFS(Clean_Data!$L$2:$L$289,$A20,Clean_Data!$F$2:$F$289,"Student")</f>
        <v>39</v>
      </c>
      <c r="D20" s="27" t="n">
        <f aca="false">COUNTIFS(Clean_Data!$L$2:$L$289,$A20,Clean_Data!$F$2:$F$289,"Professional")</f>
        <v>0</v>
      </c>
      <c r="E20" s="29" t="n">
        <f aca="false">IFERROR(AVERAGEIFS(Clean_Data!$R$2:$R$289,Clean_Data!$L$2:$L$289,$A20),"")</f>
        <v>5.04473684210526</v>
      </c>
      <c r="F20" s="29" t="n">
        <f aca="false">IFERROR(AVERAGEIFS(Clean_Data!$U$2:$U$289,Clean_Data!$L$2:$L$289,$A20),"")</f>
        <v>5.24615384615385</v>
      </c>
    </row>
    <row r="21" customFormat="false" ht="15" hidden="false" customHeight="false" outlineLevel="0" collapsed="false">
      <c r="A21" s="26" t="s">
        <v>40</v>
      </c>
      <c r="B21" s="27" t="n">
        <f aca="false">COUNTIFS(Clean_Data!$L$2:$L$289,$A21)</f>
        <v>38</v>
      </c>
      <c r="C21" s="27" t="n">
        <f aca="false">COUNTIFS(Clean_Data!$L$2:$L$289,$A21,Clean_Data!$F$2:$F$289,"Student")</f>
        <v>27</v>
      </c>
      <c r="D21" s="27" t="n">
        <f aca="false">COUNTIFS(Clean_Data!$L$2:$L$289,$A21,Clean_Data!$F$2:$F$289,"Professional")</f>
        <v>11</v>
      </c>
      <c r="E21" s="29" t="n">
        <f aca="false">IFERROR(AVERAGEIFS(Clean_Data!$R$2:$R$289,Clean_Data!$L$2:$L$289,$A21),"")</f>
        <v>5.35142857142857</v>
      </c>
      <c r="F21" s="29" t="n">
        <f aca="false">IFERROR(AVERAGEIFS(Clean_Data!$U$2:$U$289,Clean_Data!$L$2:$L$289,$A21),"")</f>
        <v>6.29736842105263</v>
      </c>
    </row>
    <row r="22" customFormat="false" ht="15" hidden="false" customHeight="false" outlineLevel="0" collapsed="false">
      <c r="A22" s="26" t="s">
        <v>41</v>
      </c>
      <c r="B22" s="27" t="n">
        <f aca="false">COUNTIFS(Clean_Data!$L$2:$L$289,$A22)</f>
        <v>28</v>
      </c>
      <c r="C22" s="27" t="n">
        <f aca="false">COUNTIFS(Clean_Data!$L$2:$L$289,$A22,Clean_Data!$F$2:$F$289,"Student")</f>
        <v>13</v>
      </c>
      <c r="D22" s="27" t="n">
        <f aca="false">COUNTIFS(Clean_Data!$L$2:$L$289,$A22,Clean_Data!$F$2:$F$289,"Professional")</f>
        <v>15</v>
      </c>
      <c r="E22" s="29" t="n">
        <f aca="false">IFERROR(AVERAGEIFS(Clean_Data!$R$2:$R$289,Clean_Data!$L$2:$L$289,$A22),"")</f>
        <v>5.1</v>
      </c>
      <c r="F22" s="29" t="n">
        <f aca="false">IFERROR(AVERAGEIFS(Clean_Data!$U$2:$U$289,Clean_Data!$L$2:$L$289,$A22),"")</f>
        <v>5.44642857142857</v>
      </c>
    </row>
    <row r="23" customFormat="false" ht="15" hidden="false" customHeight="false" outlineLevel="0" collapsed="false">
      <c r="A23" s="26" t="s">
        <v>42</v>
      </c>
      <c r="B23" s="27" t="n">
        <f aca="false">COUNTIFS(Clean_Data!$L$2:$L$289,$A23)</f>
        <v>25</v>
      </c>
      <c r="C23" s="27" t="n">
        <f aca="false">COUNTIFS(Clean_Data!$L$2:$L$289,$A23,Clean_Data!$F$2:$F$289,"Student")</f>
        <v>7</v>
      </c>
      <c r="D23" s="27" t="n">
        <f aca="false">COUNTIFS(Clean_Data!$L$2:$L$289,$A23,Clean_Data!$F$2:$F$289,"Professional")</f>
        <v>18</v>
      </c>
      <c r="E23" s="29" t="n">
        <f aca="false">IFERROR(AVERAGEIFS(Clean_Data!$R$2:$R$289,Clean_Data!$L$2:$L$289,$A23),"")</f>
        <v>5.39545454545455</v>
      </c>
      <c r="F23" s="29" t="n">
        <f aca="false">IFERROR(AVERAGEIFS(Clean_Data!$U$2:$U$289,Clean_Data!$L$2:$L$289,$A23),"")</f>
        <v>5.19166666666667</v>
      </c>
    </row>
    <row r="24" customFormat="false" ht="15" hidden="false" customHeight="false" outlineLevel="0" collapsed="false">
      <c r="A24" s="26" t="s">
        <v>43</v>
      </c>
      <c r="B24" s="27" t="n">
        <f aca="false">COUNTIFS(Clean_Data!$L$2:$L$289,$A24)</f>
        <v>20</v>
      </c>
      <c r="C24" s="27" t="n">
        <f aca="false">COUNTIFS(Clean_Data!$L$2:$L$289,$A24,Clean_Data!$F$2:$F$289,"Student")</f>
        <v>0</v>
      </c>
      <c r="D24" s="27" t="n">
        <f aca="false">COUNTIFS(Clean_Data!$L$2:$L$289,$A24,Clean_Data!$F$2:$F$289,"Professional")</f>
        <v>20</v>
      </c>
      <c r="E24" s="29" t="n">
        <f aca="false">IFERROR(AVERAGEIFS(Clean_Data!$R$2:$R$289,Clean_Data!$L$2:$L$289,$A24),"")</f>
        <v>5.56</v>
      </c>
      <c r="F24" s="29" t="n">
        <f aca="false">IFERROR(AVERAGEIFS(Clean_Data!$U$2:$U$289,Clean_Data!$L$2:$L$289,$A24),"")</f>
        <v>4.82352941176471</v>
      </c>
    </row>
    <row r="25" customFormat="false" ht="15" hidden="false" customHeight="false" outlineLevel="0" collapsed="false">
      <c r="A25" s="26" t="s">
        <v>44</v>
      </c>
      <c r="B25" s="27" t="n">
        <f aca="false">COUNTIFS(Clean_Data!$L$2:$L$289,$A25)</f>
        <v>11</v>
      </c>
      <c r="C25" s="27" t="n">
        <f aca="false">COUNTIFS(Clean_Data!$L$2:$L$289,$A25,Clean_Data!$F$2:$F$289,"Student")</f>
        <v>0</v>
      </c>
      <c r="D25" s="27" t="n">
        <f aca="false">COUNTIFS(Clean_Data!$L$2:$L$289,$A25,Clean_Data!$F$2:$F$289,"Professional")</f>
        <v>11</v>
      </c>
      <c r="E25" s="29" t="n">
        <f aca="false">IFERROR(AVERAGEIFS(Clean_Data!$R$2:$R$289,Clean_Data!$L$2:$L$289,$A25),"")</f>
        <v>5.94545454545455</v>
      </c>
      <c r="F25" s="29" t="n">
        <f aca="false">IFERROR(AVERAGEIFS(Clean_Data!$U$2:$U$289,Clean_Data!$L$2:$L$289,$A25),"")</f>
        <v>7.25555555555556</v>
      </c>
    </row>
    <row r="28" customFormat="false" ht="15" hidden="false" customHeight="false" outlineLevel="0" collapsed="false">
      <c r="A28" s="23" t="s">
        <v>45</v>
      </c>
    </row>
    <row r="29" customFormat="false" ht="15" hidden="false" customHeight="false" outlineLevel="0" collapsed="false">
      <c r="A29" s="30" t="s">
        <v>46</v>
      </c>
      <c r="B29" s="31" t="s">
        <v>47</v>
      </c>
      <c r="C29" s="31" t="s">
        <v>48</v>
      </c>
      <c r="D29" s="31" t="s">
        <v>49</v>
      </c>
    </row>
    <row r="30" customFormat="false" ht="15" hidden="false" customHeight="false" outlineLevel="0" collapsed="false">
      <c r="A30" s="26" t="s">
        <v>18</v>
      </c>
      <c r="B30" s="27" t="n">
        <f aca="false">COUNTIFS(Clean_Data!$F$2:$F$289,"Student")</f>
        <v>151</v>
      </c>
      <c r="C30" s="27" t="n">
        <f aca="false">COUNTIFS(Clean_Data!$F$2:$F$289,"Professional")</f>
        <v>137</v>
      </c>
      <c r="D30" s="27" t="n">
        <f aca="false">COUNTA(Clean_Data!$A$2:$A$289)</f>
        <v>288</v>
      </c>
    </row>
    <row r="31" customFormat="false" ht="15" hidden="false" customHeight="false" outlineLevel="0" collapsed="false">
      <c r="A31" s="26" t="s">
        <v>50</v>
      </c>
      <c r="B31" s="29" t="n">
        <f aca="false">IFERROR(AVERAGEIFS(Clean_Data!$B$2:$B$289,Clean_Data!$F$2:$F$289,"Student"),"")</f>
        <v>22.1911764705882</v>
      </c>
      <c r="C31" s="29" t="n">
        <f aca="false">IFERROR(AVERAGEIFS(Clean_Data!$B$2:$B$289,Clean_Data!$F$2:$F$289,"Professional"),"")</f>
        <v>37.5669291338583</v>
      </c>
      <c r="D31" s="29" t="n">
        <f aca="false">IFERROR(AVERAGE(Clean_Data!$B$2:$B$289),"")</f>
        <v>29.6159695817491</v>
      </c>
    </row>
    <row r="32" customFormat="false" ht="15" hidden="false" customHeight="false" outlineLevel="0" collapsed="false">
      <c r="A32" s="26" t="s">
        <v>51</v>
      </c>
      <c r="B32" s="32" t="n">
        <f aca="false">IFERROR(AVERAGEIFS(Clean_Data!$J$2:$J$289,Clean_Data!$F$2:$F$289,"Student"),"")</f>
        <v>211.869863013699</v>
      </c>
      <c r="C32" s="32" t="n">
        <f aca="false">IFERROR(AVERAGEIFS(Clean_Data!$J$2:$J$289,Clean_Data!$F$2:$F$289,"Professional"),"")</f>
        <v>2828.16030534351</v>
      </c>
      <c r="D32" s="32" t="n">
        <f aca="false">IFERROR(AVERAGE(Clean_Data!$J$2:$J$289),"")</f>
        <v>1449.17689530686</v>
      </c>
    </row>
    <row r="33" customFormat="false" ht="15" hidden="false" customHeight="false" outlineLevel="0" collapsed="false">
      <c r="A33" s="26" t="s">
        <v>52</v>
      </c>
      <c r="B33" s="29" t="n">
        <f aca="false">IFERROR(AVERAGEIFS(Clean_Data!$M$2:$M$289,Clean_Data!$F$2:$F$289,"Student"),"")</f>
        <v>3.00684931506849</v>
      </c>
      <c r="C33" s="29" t="n">
        <f aca="false">IFERROR(AVERAGEIFS(Clean_Data!$M$2:$M$289,Clean_Data!$F$2:$F$289,"Professional"),"")</f>
        <v>2.72089552238806</v>
      </c>
      <c r="D33" s="29" t="n">
        <f aca="false">IFERROR(AVERAGE(Clean_Data!$M$2:$M$289),"")</f>
        <v>2.87</v>
      </c>
    </row>
    <row r="34" customFormat="false" ht="15" hidden="false" customHeight="false" outlineLevel="0" collapsed="false">
      <c r="A34" s="26" t="s">
        <v>53</v>
      </c>
      <c r="B34" s="29" t="n">
        <f aca="false">IFERROR(AVERAGEIFS(Clean_Data!$N$2:$N$289,Clean_Data!$F$2:$F$289,"Student"),"")</f>
        <v>6.23125</v>
      </c>
      <c r="C34" s="29" t="n">
        <f aca="false">IFERROR(AVERAGEIFS(Clean_Data!$N$2:$N$289,Clean_Data!$F$2:$F$289,"Professional"),"")</f>
        <v>8.34370370370371</v>
      </c>
      <c r="D34" s="29" t="n">
        <f aca="false">IFERROR(AVERAGE(Clean_Data!$N$2:$N$289),"")</f>
        <v>7.25340501792115</v>
      </c>
    </row>
    <row r="35" customFormat="false" ht="15" hidden="false" customHeight="false" outlineLevel="0" collapsed="false">
      <c r="A35" s="26" t="s">
        <v>54</v>
      </c>
      <c r="B35" s="29" t="n">
        <f aca="false">IFERROR(AVERAGEIFS(Clean_Data!$R$2:$R$289,Clean_Data!$F$2:$F$289,"Student"),"")</f>
        <v>5.19230769230769</v>
      </c>
      <c r="C35" s="29" t="n">
        <f aca="false">IFERROR(AVERAGEIFS(Clean_Data!$R$2:$R$289,Clean_Data!$F$2:$F$289,"Professional"),"")</f>
        <v>5.28167938931298</v>
      </c>
      <c r="D35" s="29" t="n">
        <f aca="false">IFERROR(AVERAGE(Clean_Data!$R$2:$R$289),"")</f>
        <v>5.23503649635037</v>
      </c>
    </row>
    <row r="36" customFormat="false" ht="15" hidden="false" customHeight="false" outlineLevel="0" collapsed="false">
      <c r="A36" s="26" t="s">
        <v>55</v>
      </c>
      <c r="B36" s="29" t="n">
        <f aca="false">IFERROR(AVERAGEIFS(Clean_Data!$S$2:$S$289,Clean_Data!$F$2:$F$289,"Student"),"")</f>
        <v>3.36619718309859</v>
      </c>
      <c r="C36" s="29" t="n">
        <f aca="false">IFERROR(AVERAGEIFS(Clean_Data!$S$2:$S$289,Clean_Data!$F$2:$F$289,"Professional"),"")</f>
        <v>3.46969696969697</v>
      </c>
      <c r="D36" s="29" t="n">
        <f aca="false">IFERROR(AVERAGE(Clean_Data!$S$2:$S$289),"")</f>
        <v>3.41605839416058</v>
      </c>
    </row>
    <row r="37" customFormat="false" ht="15" hidden="false" customHeight="false" outlineLevel="0" collapsed="false">
      <c r="A37" s="26" t="s">
        <v>56</v>
      </c>
      <c r="B37" s="29" t="n">
        <f aca="false">IFERROR(AVERAGEIFS(Clean_Data!$T$2:$T$289,Clean_Data!$F$2:$F$289,"Student"),"")</f>
        <v>6.18666666666667</v>
      </c>
      <c r="C37" s="29" t="n">
        <f aca="false">IFERROR(AVERAGEIFS(Clean_Data!$T$2:$T$289,Clean_Data!$F$2:$F$289,"Professional"),"")</f>
        <v>6.06870229007634</v>
      </c>
      <c r="D37" s="29" t="n">
        <f aca="false">IFERROR(AVERAGE(Clean_Data!$T$2:$T$289),"")</f>
        <v>6.13167259786477</v>
      </c>
    </row>
    <row r="38" customFormat="false" ht="15" hidden="false" customHeight="false" outlineLevel="0" collapsed="false">
      <c r="A38" s="26" t="s">
        <v>57</v>
      </c>
      <c r="B38" s="29" t="n">
        <f aca="false">IFERROR(AVERAGEIFS(Clean_Data!$U$2:$U$289,Clean_Data!$F$2:$F$289,"Student"),"")</f>
        <v>6.03513513513514</v>
      </c>
      <c r="C38" s="29" t="n">
        <f aca="false">IFERROR(AVERAGEIFS(Clean_Data!$U$2:$U$289,Clean_Data!$F$2:$F$289,"Professional"),"")</f>
        <v>5.55384615384615</v>
      </c>
      <c r="D38" s="29" t="n">
        <f aca="false">IFERROR(AVERAGE(Clean_Data!$U$2:$U$289),"")</f>
        <v>5.81007194244604</v>
      </c>
    </row>
    <row r="39" customFormat="false" ht="15" hidden="false" customHeight="false" outlineLevel="0" collapsed="false">
      <c r="A39" s="26" t="s">
        <v>58</v>
      </c>
      <c r="B39" s="28" t="n">
        <f aca="false">IFERROR(COUNTIFS(Clean_Data!$Q$2:$Q$289,"Paid",Clean_Data!$F$2:$F$289,"Student")/(COUNTIFS(Clean_Data!$Q$2:$Q$289,"Paid",Clean_Data!$F$2:$F$289,"Student")+COUNTIFS(Clean_Data!$Q$2:$Q$289,"Free",Clean_Data!$F$2:$F$289,"Student")),"")</f>
        <v>0.476510067114094</v>
      </c>
      <c r="C39" s="28" t="n">
        <f aca="false">IFERROR(COUNTIFS(Clean_Data!$Q$2:$Q$289,"Paid",Clean_Data!$F$2:$F$289,"Professional")/(COUNTIFS(Clean_Data!$Q$2:$Q$289,"Paid",Clean_Data!$F$2:$F$289,"Professional")+COUNTIFS(Clean_Data!$Q$2:$Q$289,"Free",Clean_Data!$F$2:$F$289,"Professional")),"")</f>
        <v>0.456692913385827</v>
      </c>
      <c r="D39" s="28" t="n">
        <f aca="false">IFERROR(COUNTIFS(Clean_Data!$Q$2:$Q$289,"Paid")/(COUNTIFS(Clean_Data!$Q$2:$Q$289,"Paid")+COUNTIFS(Clean_Data!$Q$2:$Q$289,"Free")),"")</f>
        <v>0.467391304347826</v>
      </c>
    </row>
    <row r="40" customFormat="false" ht="15" hidden="false" customHeight="false" outlineLevel="0" collapsed="false">
      <c r="A40" s="26" t="s">
        <v>59</v>
      </c>
      <c r="B40" s="28" t="n">
        <f aca="false">IFERROR(COUNTIFS(Clean_Data!$W$2:$W$289,"Yes",Clean_Data!$F$2:$F$289,"Student")/(COUNTIFS(Clean_Data!$W$2:$W$289,"Yes",Clean_Data!$F$2:$F$289,"Student")+COUNTIFS(Clean_Data!$W$2:$W$289,"Maybe",Clean_Data!$F$2:$F$289,"Student")+COUNTIFS(Clean_Data!$W$2:$W$289,"No",Clean_Data!$F$2:$F$289,"Student")),"")</f>
        <v>0.610738255033557</v>
      </c>
      <c r="C40" s="28" t="n">
        <f aca="false">IFERROR(COUNTIFS(Clean_Data!$W$2:$W$289,"Yes",Clean_Data!$F$2:$F$289,"Professional")/(COUNTIFS(Clean_Data!$W$2:$W$289,"Yes",Clean_Data!$F$2:$F$289,"Professional")+COUNTIFS(Clean_Data!$W$2:$W$289,"Maybe",Clean_Data!$F$2:$F$289,"Professional")+COUNTIFS(Clean_Data!$W$2:$W$289,"No",Clean_Data!$F$2:$F$289,"Professional")),"")</f>
        <v>0.58955223880597</v>
      </c>
      <c r="D40" s="28" t="n">
        <f aca="false">IFERROR(COUNTIFS(Clean_Data!$W$2:$W$289,"Yes")/(COUNTIFS(Clean_Data!$W$2:$W$289,"Yes")+COUNTIFS(Clean_Data!$W$2:$W$289,"Maybe")+COUNTIFS(Clean_Data!$W$2:$W$289,"No")),"")</f>
        <v>0.600706713780919</v>
      </c>
    </row>
    <row r="43" customFormat="false" ht="15" hidden="false" customHeight="false" outlineLevel="0" collapsed="false">
      <c r="A43" s="23" t="s">
        <v>60</v>
      </c>
    </row>
    <row r="44" customFormat="false" ht="30" hidden="false" customHeight="true" outlineLevel="0" collapsed="false">
      <c r="A44" s="24" t="s">
        <v>61</v>
      </c>
      <c r="B44" s="25" t="s">
        <v>18</v>
      </c>
      <c r="C44" s="25" t="s">
        <v>20</v>
      </c>
      <c r="D44" s="25" t="s">
        <v>24</v>
      </c>
    </row>
    <row r="45" customFormat="false" ht="15" hidden="false" customHeight="false" outlineLevel="0" collapsed="false">
      <c r="A45" s="26" t="s">
        <v>62</v>
      </c>
      <c r="B45" s="27" t="n">
        <f aca="false">COUNTIFS(Clean_Data!$E$2:$E$289,$A45)</f>
        <v>43</v>
      </c>
      <c r="C45" s="29" t="n">
        <f aca="false">IFERROR(AVERAGEIFS(Clean_Data!$T$2:$T$289,Clean_Data!$E$2:$E$289,$A45),"")</f>
        <v>6.35714285714286</v>
      </c>
      <c r="D45" s="29" t="n">
        <f aca="false">IFERROR(AVERAGEIFS(Clean_Data!$U$2:$U$289,Clean_Data!$E$2:$E$289,$A45),"")</f>
        <v>5.25476190476191</v>
      </c>
    </row>
    <row r="46" customFormat="false" ht="15" hidden="false" customHeight="false" outlineLevel="0" collapsed="false">
      <c r="A46" s="26" t="s">
        <v>63</v>
      </c>
      <c r="B46" s="27" t="n">
        <f aca="false">COUNTIFS(Clean_Data!$E$2:$E$289,$A46)</f>
        <v>34</v>
      </c>
      <c r="C46" s="29" t="n">
        <f aca="false">IFERROR(AVERAGEIFS(Clean_Data!$T$2:$T$289,Clean_Data!$E$2:$E$289,$A46),"")</f>
        <v>6.05882352941176</v>
      </c>
      <c r="D46" s="29" t="n">
        <f aca="false">IFERROR(AVERAGEIFS(Clean_Data!$U$2:$U$289,Clean_Data!$E$2:$E$289,$A46),"")</f>
        <v>6.4125</v>
      </c>
    </row>
    <row r="47" customFormat="false" ht="15" hidden="false" customHeight="false" outlineLevel="0" collapsed="false">
      <c r="A47" s="26" t="s">
        <v>64</v>
      </c>
      <c r="B47" s="27" t="n">
        <f aca="false">COUNTIFS(Clean_Data!$E$2:$E$289,$A47)</f>
        <v>31</v>
      </c>
      <c r="C47" s="29" t="n">
        <f aca="false">IFERROR(AVERAGEIFS(Clean_Data!$T$2:$T$289,Clean_Data!$E$2:$E$289,$A47),"")</f>
        <v>6.32258064516129</v>
      </c>
      <c r="D47" s="29" t="n">
        <f aca="false">IFERROR(AVERAGEIFS(Clean_Data!$U$2:$U$289,Clean_Data!$E$2:$E$289,$A47),"")</f>
        <v>6.49333333333333</v>
      </c>
    </row>
    <row r="48" customFormat="false" ht="15" hidden="false" customHeight="false" outlineLevel="0" collapsed="false">
      <c r="A48" s="26" t="s">
        <v>65</v>
      </c>
      <c r="B48" s="27" t="n">
        <f aca="false">COUNTIFS(Clean_Data!$E$2:$E$289,$A48)</f>
        <v>28</v>
      </c>
      <c r="C48" s="29" t="n">
        <f aca="false">IFERROR(AVERAGEIFS(Clean_Data!$T$2:$T$289,Clean_Data!$E$2:$E$289,$A48),"")</f>
        <v>5.82142857142857</v>
      </c>
      <c r="D48" s="29" t="n">
        <f aca="false">IFERROR(AVERAGEIFS(Clean_Data!$U$2:$U$289,Clean_Data!$E$2:$E$289,$A48),"")</f>
        <v>6.48</v>
      </c>
    </row>
    <row r="49" customFormat="false" ht="15" hidden="false" customHeight="false" outlineLevel="0" collapsed="false">
      <c r="A49" s="26" t="s">
        <v>66</v>
      </c>
      <c r="B49" s="27" t="n">
        <f aca="false">COUNTIFS(Clean_Data!$E$2:$E$289,$A49)</f>
        <v>26</v>
      </c>
      <c r="C49" s="29" t="n">
        <f aca="false">IFERROR(AVERAGEIFS(Clean_Data!$T$2:$T$289,Clean_Data!$E$2:$E$289,$A49),"")</f>
        <v>6.53846153846154</v>
      </c>
      <c r="D49" s="29" t="n">
        <f aca="false">IFERROR(AVERAGEIFS(Clean_Data!$U$2:$U$289,Clean_Data!$E$2:$E$289,$A49),"")</f>
        <v>5.78461538461538</v>
      </c>
    </row>
    <row r="50" customFormat="false" ht="15" hidden="false" customHeight="false" outlineLevel="0" collapsed="false">
      <c r="A50" s="26" t="s">
        <v>67</v>
      </c>
      <c r="B50" s="27" t="n">
        <f aca="false">COUNTIFS(Clean_Data!$E$2:$E$289,$A50)</f>
        <v>26</v>
      </c>
      <c r="C50" s="29" t="n">
        <f aca="false">IFERROR(AVERAGEIFS(Clean_Data!$T$2:$T$289,Clean_Data!$E$2:$E$289,$A50),"")</f>
        <v>6</v>
      </c>
      <c r="D50" s="29" t="n">
        <f aca="false">IFERROR(AVERAGEIFS(Clean_Data!$U$2:$U$289,Clean_Data!$E$2:$E$289,$A50),"")</f>
        <v>4.068</v>
      </c>
    </row>
    <row r="51" customFormat="false" ht="15" hidden="false" customHeight="false" outlineLevel="0" collapsed="false">
      <c r="A51" s="26" t="s">
        <v>68</v>
      </c>
      <c r="B51" s="27" t="n">
        <f aca="false">COUNTIFS(Clean_Data!$E$2:$E$289,$A51)</f>
        <v>24</v>
      </c>
      <c r="C51" s="29" t="n">
        <f aca="false">IFERROR(AVERAGEIFS(Clean_Data!$T$2:$T$289,Clean_Data!$E$2:$E$289,$A51),"")</f>
        <v>6.25</v>
      </c>
      <c r="D51" s="29" t="n">
        <f aca="false">IFERROR(AVERAGEIFS(Clean_Data!$U$2:$U$289,Clean_Data!$E$2:$E$289,$A51),"")</f>
        <v>6.075</v>
      </c>
    </row>
    <row r="52" customFormat="false" ht="15" hidden="false" customHeight="false" outlineLevel="0" collapsed="false">
      <c r="A52" s="26" t="s">
        <v>69</v>
      </c>
      <c r="B52" s="27" t="n">
        <f aca="false">COUNTIFS(Clean_Data!$E$2:$E$289,$A52)</f>
        <v>20</v>
      </c>
      <c r="C52" s="29" t="n">
        <f aca="false">IFERROR(AVERAGEIFS(Clean_Data!$T$2:$T$289,Clean_Data!$E$2:$E$289,$A52),"")</f>
        <v>6</v>
      </c>
      <c r="D52" s="29" t="n">
        <f aca="false">IFERROR(AVERAGEIFS(Clean_Data!$U$2:$U$289,Clean_Data!$E$2:$E$289,$A52),"")</f>
        <v>6.445</v>
      </c>
    </row>
    <row r="53" customFormat="false" ht="15" hidden="false" customHeight="false" outlineLevel="0" collapsed="false">
      <c r="A53" s="26" t="s">
        <v>70</v>
      </c>
      <c r="B53" s="27" t="n">
        <f aca="false">COUNTIFS(Clean_Data!$E$2:$E$289,$A53)</f>
        <v>17</v>
      </c>
      <c r="C53" s="29" t="n">
        <f aca="false">IFERROR(AVERAGEIFS(Clean_Data!$T$2:$T$289,Clean_Data!$E$2:$E$289,$A53),"")</f>
        <v>5.86666666666667</v>
      </c>
      <c r="D53" s="29" t="n">
        <f aca="false">IFERROR(AVERAGEIFS(Clean_Data!$U$2:$U$289,Clean_Data!$E$2:$E$289,$A53),"")</f>
        <v>5.4375</v>
      </c>
    </row>
    <row r="54" customFormat="false" ht="15" hidden="false" customHeight="false" outlineLevel="0" collapsed="false">
      <c r="A54" s="26" t="s">
        <v>71</v>
      </c>
      <c r="B54" s="27" t="n">
        <f aca="false">COUNTIFS(Clean_Data!$E$2:$E$289,$A54)</f>
        <v>13</v>
      </c>
      <c r="C54" s="29" t="n">
        <f aca="false">IFERROR(AVERAGEIFS(Clean_Data!$T$2:$T$289,Clean_Data!$E$2:$E$289,$A54),"")</f>
        <v>5.41666666666667</v>
      </c>
      <c r="D54" s="29" t="n">
        <f aca="false">IFERROR(AVERAGEIFS(Clean_Data!$U$2:$U$289,Clean_Data!$E$2:$E$289,$A54),"")</f>
        <v>4.53846153846154</v>
      </c>
    </row>
    <row r="57" customFormat="false" ht="15" hidden="false" customHeight="false" outlineLevel="0" collapsed="false">
      <c r="A57" s="23" t="s">
        <v>72</v>
      </c>
    </row>
    <row r="58" customFormat="false" ht="30" hidden="false" customHeight="true" outlineLevel="0" collapsed="false">
      <c r="A58" s="24" t="s">
        <v>73</v>
      </c>
      <c r="B58" s="25" t="s">
        <v>18</v>
      </c>
      <c r="C58" s="25" t="s">
        <v>74</v>
      </c>
      <c r="D58" s="25" t="s">
        <v>24</v>
      </c>
      <c r="E58" s="25" t="s">
        <v>21</v>
      </c>
    </row>
    <row r="59" customFormat="false" ht="15" hidden="false" customHeight="false" outlineLevel="0" collapsed="false">
      <c r="A59" s="26" t="s">
        <v>75</v>
      </c>
      <c r="B59" s="27" t="n">
        <f aca="false">COUNTIFS(Clean_Data!$C$2:$C$289,$A59)</f>
        <v>19</v>
      </c>
      <c r="C59" s="29" t="n">
        <f aca="false">IFERROR(AVERAGEIFS(Clean_Data!$M$2:$M$289,Clean_Data!$C$2:$C$289,$A59),"")</f>
        <v>3.48421052631579</v>
      </c>
      <c r="D59" s="29" t="n">
        <f aca="false">IFERROR(AVERAGEIFS(Clean_Data!$U$2:$U$289,Clean_Data!$C$2:$C$289,$A59),"")</f>
        <v>6.95263157894737</v>
      </c>
      <c r="E59" s="29" t="n">
        <f aca="false">IFERROR(AVERAGEIFS(Clean_Data!$R$2:$R$289,Clean_Data!$C$2:$C$289,$A59),"")</f>
        <v>5.67222222222222</v>
      </c>
    </row>
    <row r="60" customFormat="false" ht="15" hidden="false" customHeight="false" outlineLevel="0" collapsed="false">
      <c r="A60" s="26" t="s">
        <v>76</v>
      </c>
      <c r="B60" s="27" t="n">
        <f aca="false">COUNTIFS(Clean_Data!$C$2:$C$289,$A60)</f>
        <v>100</v>
      </c>
      <c r="C60" s="29" t="n">
        <f aca="false">IFERROR(AVERAGEIFS(Clean_Data!$M$2:$M$289,Clean_Data!$C$2:$C$289,$A60),"")</f>
        <v>2.98125</v>
      </c>
      <c r="D60" s="29" t="n">
        <f aca="false">IFERROR(AVERAGEIFS(Clean_Data!$U$2:$U$289,Clean_Data!$C$2:$C$289,$A60),"")</f>
        <v>5.97878787878788</v>
      </c>
      <c r="E60" s="29" t="n">
        <f aca="false">IFERROR(AVERAGEIFS(Clean_Data!$R$2:$R$289,Clean_Data!$C$2:$C$289,$A60),"")</f>
        <v>5.1659793814433</v>
      </c>
    </row>
    <row r="61" customFormat="false" ht="15" hidden="false" customHeight="false" outlineLevel="0" collapsed="false">
      <c r="A61" s="26" t="s">
        <v>77</v>
      </c>
      <c r="B61" s="27" t="n">
        <f aca="false">COUNTIFS(Clean_Data!$C$2:$C$289,$A61)</f>
        <v>74</v>
      </c>
      <c r="C61" s="29" t="n">
        <f aca="false">IFERROR(AVERAGEIFS(Clean_Data!$M$2:$M$289,Clean_Data!$C$2:$C$289,$A61),"")</f>
        <v>2.54444444444444</v>
      </c>
      <c r="D61" s="29" t="n">
        <f aca="false">IFERROR(AVERAGEIFS(Clean_Data!$U$2:$U$289,Clean_Data!$C$2:$C$289,$A61),"")</f>
        <v>5.22739726027397</v>
      </c>
      <c r="E61" s="29" t="n">
        <f aca="false">IFERROR(AVERAGEIFS(Clean_Data!$R$2:$R$289,Clean_Data!$C$2:$C$289,$A61),"")</f>
        <v>5.17391304347826</v>
      </c>
    </row>
    <row r="62" customFormat="false" ht="15" hidden="false" customHeight="false" outlineLevel="0" collapsed="false">
      <c r="A62" s="26" t="s">
        <v>78</v>
      </c>
      <c r="B62" s="27" t="n">
        <f aca="false">COUNTIFS(Clean_Data!$C$2:$C$289,$A62)</f>
        <v>42</v>
      </c>
      <c r="C62" s="29" t="n">
        <f aca="false">IFERROR(AVERAGEIFS(Clean_Data!$M$2:$M$289,Clean_Data!$C$2:$C$289,$A62),"")</f>
        <v>2.6390243902439</v>
      </c>
      <c r="D62" s="29" t="n">
        <f aca="false">IFERROR(AVERAGEIFS(Clean_Data!$U$2:$U$289,Clean_Data!$C$2:$C$289,$A62),"")</f>
        <v>5.34634146341463</v>
      </c>
      <c r="E62" s="29" t="n">
        <f aca="false">IFERROR(AVERAGEIFS(Clean_Data!$R$2:$R$289,Clean_Data!$C$2:$C$289,$A62),"")</f>
        <v>5.17894736842105</v>
      </c>
    </row>
    <row r="63" customFormat="false" ht="15" hidden="false" customHeight="false" outlineLevel="0" collapsed="false">
      <c r="A63" s="26" t="s">
        <v>79</v>
      </c>
      <c r="B63" s="27" t="n">
        <f aca="false">COUNTIFS(Clean_Data!$C$2:$C$289,$A63)</f>
        <v>28</v>
      </c>
      <c r="C63" s="29" t="n">
        <f aca="false">IFERROR(AVERAGEIFS(Clean_Data!$M$2:$M$289,Clean_Data!$C$2:$C$289,$A63),"")</f>
        <v>2.50740740740741</v>
      </c>
      <c r="D63" s="29" t="n">
        <f aca="false">IFERROR(AVERAGEIFS(Clean_Data!$U$2:$U$289,Clean_Data!$C$2:$C$289,$A63),"")</f>
        <v>5.62</v>
      </c>
      <c r="E63" s="29" t="n">
        <f aca="false">IFERROR(AVERAGEIFS(Clean_Data!$R$2:$R$289,Clean_Data!$C$2:$C$289,$A63),"")</f>
        <v>5.13333333333333</v>
      </c>
    </row>
    <row r="66" customFormat="false" ht="15" hidden="false" customHeight="false" outlineLevel="0" collapsed="false">
      <c r="A66" s="23" t="s">
        <v>80</v>
      </c>
    </row>
    <row r="67" customFormat="false" ht="30" hidden="false" customHeight="true" outlineLevel="0" collapsed="false">
      <c r="A67" s="24" t="s">
        <v>81</v>
      </c>
      <c r="B67" s="25" t="s">
        <v>18</v>
      </c>
      <c r="C67" s="25" t="s">
        <v>21</v>
      </c>
      <c r="D67" s="25" t="s">
        <v>20</v>
      </c>
      <c r="E67" s="25" t="s">
        <v>24</v>
      </c>
      <c r="F67" s="25" t="s">
        <v>23</v>
      </c>
    </row>
    <row r="68" customFormat="false" ht="15" hidden="false" customHeight="false" outlineLevel="0" collapsed="false">
      <c r="A68" s="26" t="s">
        <v>82</v>
      </c>
      <c r="B68" s="27" t="n">
        <f aca="false">COUNTIFS(Clean_Data!$Q$2:$Q$289,$A68)</f>
        <v>147</v>
      </c>
      <c r="C68" s="29" t="n">
        <f aca="false">IFERROR(AVERAGEIFS(Clean_Data!$R$2:$R$289,Clean_Data!$Q$2:$Q$289,$A68),"")</f>
        <v>5.39857142857143</v>
      </c>
      <c r="D68" s="29" t="n">
        <f aca="false">IFERROR(AVERAGEIFS(Clean_Data!$T$2:$T$289,Clean_Data!$Q$2:$Q$289,$A68),"")</f>
        <v>6.23943661971831</v>
      </c>
      <c r="E68" s="29" t="n">
        <f aca="false">IFERROR(AVERAGEIFS(Clean_Data!$U$2:$U$289,Clean_Data!$Q$2:$Q$289,$A68),"")</f>
        <v>5.83819444444444</v>
      </c>
      <c r="F68" s="28" t="n">
        <f aca="false">IFERROR(COUNTIFS(Clean_Data!$Q$2:$Q$289,$A68,Clean_Data!$W$2:$W$289,"Yes")/(COUNTIFS(Clean_Data!$Q$2:$Q$289,$A68,Clean_Data!$W$2:$W$289,"Yes")+COUNTIFS(Clean_Data!$Q$2:$Q$289,$A68,Clean_Data!$W$2:$W$289,"Maybe")+COUNTIFS(Clean_Data!$Q$2:$Q$289,$A68,Clean_Data!$W$2:$W$289,"No")),"")</f>
        <v>0.662068965517241</v>
      </c>
    </row>
    <row r="69" customFormat="false" ht="15" hidden="false" customHeight="false" outlineLevel="0" collapsed="false">
      <c r="A69" s="26" t="s">
        <v>83</v>
      </c>
      <c r="B69" s="27" t="n">
        <f aca="false">COUNTIFS(Clean_Data!$Q$2:$Q$289,$A69)</f>
        <v>129</v>
      </c>
      <c r="C69" s="29" t="n">
        <f aca="false">IFERROR(AVERAGEIFS(Clean_Data!$R$2:$R$289,Clean_Data!$Q$2:$Q$289,$A69),"")</f>
        <v>5.05</v>
      </c>
      <c r="D69" s="29" t="n">
        <f aca="false">IFERROR(AVERAGEIFS(Clean_Data!$T$2:$T$289,Clean_Data!$Q$2:$Q$289,$A69),"")</f>
        <v>5.97637795275591</v>
      </c>
      <c r="E69" s="29" t="n">
        <f aca="false">IFERROR(AVERAGEIFS(Clean_Data!$U$2:$U$289,Clean_Data!$Q$2:$Q$289,$A69),"")</f>
        <v>5.89508196721312</v>
      </c>
      <c r="F69" s="28" t="n">
        <f aca="false">IFERROR(COUNTIFS(Clean_Data!$Q$2:$Q$289,$A69,Clean_Data!$W$2:$W$289,"Yes")/(COUNTIFS(Clean_Data!$Q$2:$Q$289,$A69,Clean_Data!$W$2:$W$289,"Yes")+COUNTIFS(Clean_Data!$Q$2:$Q$289,$A69,Clean_Data!$W$2:$W$289,"Maybe")+COUNTIFS(Clean_Data!$Q$2:$Q$289,$A69,Clean_Data!$W$2:$W$289,"No")),"")</f>
        <v>0.547619047619048</v>
      </c>
    </row>
    <row r="72" customFormat="false" ht="15" hidden="false" customHeight="false" outlineLevel="0" collapsed="false">
      <c r="A72" s="23" t="s">
        <v>84</v>
      </c>
    </row>
    <row r="73" customFormat="false" ht="30" hidden="false" customHeight="true" outlineLevel="0" collapsed="false">
      <c r="A73" s="24" t="s">
        <v>85</v>
      </c>
      <c r="B73" s="25" t="s">
        <v>18</v>
      </c>
      <c r="C73" s="25" t="s">
        <v>86</v>
      </c>
    </row>
    <row r="74" customFormat="false" ht="15" hidden="false" customHeight="false" outlineLevel="0" collapsed="false">
      <c r="A74" s="26" t="s">
        <v>87</v>
      </c>
      <c r="B74" s="27" t="n">
        <f aca="false">COUNTIFS(Clean_Data!$W$2:$W$289,$A74)</f>
        <v>170</v>
      </c>
      <c r="C74" s="28" t="n">
        <f aca="false">B74/SUM(B$74:B$76)</f>
        <v>0.600706713780919</v>
      </c>
    </row>
    <row r="75" customFormat="false" ht="15" hidden="false" customHeight="false" outlineLevel="0" collapsed="false">
      <c r="A75" s="26" t="s">
        <v>88</v>
      </c>
      <c r="B75" s="27" t="n">
        <f aca="false">COUNTIFS(Clean_Data!$W$2:$W$289,$A75)</f>
        <v>42</v>
      </c>
      <c r="C75" s="28" t="n">
        <f aca="false">B75/SUM(B$74:B$76)</f>
        <v>0.148409893992933</v>
      </c>
    </row>
    <row r="76" customFormat="false" ht="15" hidden="false" customHeight="false" outlineLevel="0" collapsed="false">
      <c r="A76" s="26" t="s">
        <v>89</v>
      </c>
      <c r="B76" s="27" t="n">
        <f aca="false">COUNTIFS(Clean_Data!$W$2:$W$289,$A76)</f>
        <v>71</v>
      </c>
      <c r="C76" s="28" t="n">
        <f aca="false">B76/SUM(B$74:B$76)</f>
        <v>0.250883392226148</v>
      </c>
    </row>
    <row r="79" customFormat="false" ht="15" hidden="false" customHeight="false" outlineLevel="0" collapsed="false">
      <c r="A79" s="23" t="s">
        <v>90</v>
      </c>
    </row>
    <row r="80" customFormat="false" ht="30" hidden="false" customHeight="true" outlineLevel="0" collapsed="false">
      <c r="A80" s="24" t="s">
        <v>91</v>
      </c>
      <c r="B80" s="25" t="s">
        <v>18</v>
      </c>
      <c r="C80" s="25" t="s">
        <v>74</v>
      </c>
      <c r="D80" s="25" t="s">
        <v>24</v>
      </c>
      <c r="E80" s="25" t="s">
        <v>21</v>
      </c>
      <c r="F80" s="25" t="s">
        <v>20</v>
      </c>
    </row>
    <row r="81" customFormat="false" ht="15" hidden="false" customHeight="false" outlineLevel="0" collapsed="false">
      <c r="A81" s="26" t="s">
        <v>92</v>
      </c>
      <c r="B81" s="27" t="n">
        <f aca="false">COUNTIFS(Clean_Data!$I$2:$I$289,$A81)</f>
        <v>77</v>
      </c>
      <c r="C81" s="29" t="n">
        <f aca="false">IFERROR(AVERAGEIFS(Clean_Data!$M$2:$M$289,Clean_Data!$I$2:$I$289,$A81),"")</f>
        <v>3.16164383561644</v>
      </c>
      <c r="D81" s="29" t="n">
        <f aca="false">IFERROR(AVERAGEIFS(Clean_Data!$U$2:$U$289,Clean_Data!$I$2:$I$289,$A81),"")</f>
        <v>6.41066666666667</v>
      </c>
      <c r="E81" s="29" t="n">
        <f aca="false">IFERROR(AVERAGEIFS(Clean_Data!$R$2:$R$289,Clean_Data!$I$2:$I$289,$A81),"")</f>
        <v>5.36666666666667</v>
      </c>
      <c r="F81" s="29" t="n">
        <f aca="false">IFERROR(AVERAGEIFS(Clean_Data!$T$2:$T$289,Clean_Data!$I$2:$I$289,$A81),"")</f>
        <v>6.26388888888889</v>
      </c>
    </row>
    <row r="82" customFormat="false" ht="15" hidden="false" customHeight="false" outlineLevel="0" collapsed="false">
      <c r="A82" s="26" t="s">
        <v>93</v>
      </c>
      <c r="B82" s="27" t="n">
        <f aca="false">COUNTIFS(Clean_Data!$I$2:$I$289,$A82)</f>
        <v>74</v>
      </c>
      <c r="C82" s="29" t="n">
        <f aca="false">IFERROR(AVERAGEIFS(Clean_Data!$M$2:$M$289,Clean_Data!$I$2:$I$289,$A82),"")</f>
        <v>2.55972222222222</v>
      </c>
      <c r="D82" s="29" t="n">
        <f aca="false">IFERROR(AVERAGEIFS(Clean_Data!$U$2:$U$289,Clean_Data!$I$2:$I$289,$A82),"")</f>
        <v>5.46164383561644</v>
      </c>
      <c r="E82" s="29" t="n">
        <f aca="false">IFERROR(AVERAGEIFS(Clean_Data!$R$2:$R$289,Clean_Data!$I$2:$I$289,$A82),"")</f>
        <v>4.9887323943662</v>
      </c>
      <c r="F82" s="29" t="n">
        <f aca="false">IFERROR(AVERAGEIFS(Clean_Data!$T$2:$T$289,Clean_Data!$I$2:$I$289,$A82),"")</f>
        <v>5.83783783783784</v>
      </c>
    </row>
    <row r="83" customFormat="false" ht="15" hidden="false" customHeight="false" outlineLevel="0" collapsed="false">
      <c r="A83" s="26" t="s">
        <v>94</v>
      </c>
      <c r="B83" s="27" t="n">
        <f aca="false">COUNTIFS(Clean_Data!$I$2:$I$289,$A83)</f>
        <v>38</v>
      </c>
      <c r="C83" s="29" t="n">
        <f aca="false">IFERROR(AVERAGEIFS(Clean_Data!$M$2:$M$289,Clean_Data!$I$2:$I$289,$A83),"")</f>
        <v>2.52894736842105</v>
      </c>
      <c r="D83" s="29" t="n">
        <f aca="false">IFERROR(AVERAGEIFS(Clean_Data!$U$2:$U$289,Clean_Data!$I$2:$I$289,$A83),"")</f>
        <v>5.01714285714286</v>
      </c>
      <c r="E83" s="29" t="n">
        <f aca="false">IFERROR(AVERAGEIFS(Clean_Data!$R$2:$R$289,Clean_Data!$I$2:$I$289,$A83),"")</f>
        <v>5.2625</v>
      </c>
      <c r="F83" s="29" t="n">
        <f aca="false">IFERROR(AVERAGEIFS(Clean_Data!$T$2:$T$289,Clean_Data!$I$2:$I$289,$A83),"")</f>
        <v>6</v>
      </c>
    </row>
    <row r="84" customFormat="false" ht="15" hidden="false" customHeight="false" outlineLevel="0" collapsed="false">
      <c r="A84" s="26" t="s">
        <v>95</v>
      </c>
      <c r="B84" s="27" t="n">
        <f aca="false">COUNTIFS(Clean_Data!$I$2:$I$289,$A84)</f>
        <v>38</v>
      </c>
      <c r="C84" s="29" t="n">
        <f aca="false">IFERROR(AVERAGEIFS(Clean_Data!$M$2:$M$289,Clean_Data!$I$2:$I$289,$A84),"")</f>
        <v>2.91111111111111</v>
      </c>
      <c r="D84" s="29" t="n">
        <f aca="false">IFERROR(AVERAGEIFS(Clean_Data!$U$2:$U$289,Clean_Data!$I$2:$I$289,$A84),"")</f>
        <v>5.80263157894737</v>
      </c>
      <c r="E84" s="29" t="n">
        <f aca="false">IFERROR(AVERAGEIFS(Clean_Data!$R$2:$R$289,Clean_Data!$I$2:$I$289,$A84),"")</f>
        <v>5.16578947368421</v>
      </c>
      <c r="F84" s="29" t="n">
        <f aca="false">IFERROR(AVERAGEIFS(Clean_Data!$T$2:$T$289,Clean_Data!$I$2:$I$289,$A84),"")</f>
        <v>6.72972972972973</v>
      </c>
    </row>
    <row r="85" customFormat="false" ht="15" hidden="false" customHeight="false" outlineLevel="0" collapsed="false">
      <c r="A85" s="26" t="s">
        <v>43</v>
      </c>
      <c r="B85" s="27" t="n">
        <f aca="false">COUNTIFS(Clean_Data!$I$2:$I$289,$A85)</f>
        <v>21</v>
      </c>
      <c r="C85" s="29" t="n">
        <f aca="false">IFERROR(AVERAGEIFS(Clean_Data!$M$2:$M$289,Clean_Data!$I$2:$I$289,$A85),"")</f>
        <v>2.83809523809524</v>
      </c>
      <c r="D85" s="29" t="n">
        <f aca="false">IFERROR(AVERAGEIFS(Clean_Data!$U$2:$U$289,Clean_Data!$I$2:$I$289,$A85),"")</f>
        <v>4.90555555555556</v>
      </c>
      <c r="E85" s="29" t="n">
        <f aca="false">IFERROR(AVERAGEIFS(Clean_Data!$R$2:$R$289,Clean_Data!$I$2:$I$289,$A85),"")</f>
        <v>5.53809523809524</v>
      </c>
      <c r="F85" s="29" t="n">
        <f aca="false">IFERROR(AVERAGEIFS(Clean_Data!$T$2:$T$289,Clean_Data!$I$2:$I$289,$A85),"")</f>
        <v>6.1</v>
      </c>
    </row>
    <row r="86" customFormat="false" ht="15" hidden="false" customHeight="false" outlineLevel="0" collapsed="false">
      <c r="A86" s="26" t="s">
        <v>96</v>
      </c>
      <c r="B86" s="27" t="n">
        <f aca="false">COUNTIFS(Clean_Data!$I$2:$I$289,$A86)</f>
        <v>13</v>
      </c>
      <c r="C86" s="29" t="n">
        <f aca="false">IFERROR(AVERAGEIFS(Clean_Data!$M$2:$M$289,Clean_Data!$I$2:$I$289,$A86),"")</f>
        <v>2.9</v>
      </c>
      <c r="D86" s="29" t="n">
        <f aca="false">IFERROR(AVERAGEIFS(Clean_Data!$U$2:$U$289,Clean_Data!$I$2:$I$289,$A86),"")</f>
        <v>5.48461538461539</v>
      </c>
      <c r="E86" s="29" t="n">
        <f aca="false">IFERROR(AVERAGEIFS(Clean_Data!$R$2:$R$289,Clean_Data!$I$2:$I$289,$A86),"")</f>
        <v>4.975</v>
      </c>
      <c r="F86" s="29" t="n">
        <f aca="false">IFERROR(AVERAGEIFS(Clean_Data!$T$2:$T$289,Clean_Data!$I$2:$I$289,$A86),"")</f>
        <v>5.69230769230769</v>
      </c>
    </row>
    <row r="87" customFormat="false" ht="15" hidden="false" customHeight="false" outlineLevel="0" collapsed="false">
      <c r="A87" s="26" t="s">
        <v>97</v>
      </c>
      <c r="B87" s="27" t="n">
        <f aca="false">COUNTIFS(Clean_Data!$I$2:$I$289,$A87)</f>
        <v>13</v>
      </c>
      <c r="C87" s="29" t="n">
        <f aca="false">IFERROR(AVERAGEIFS(Clean_Data!$M$2:$M$289,Clean_Data!$I$2:$I$289,$A87),"")</f>
        <v>3.9</v>
      </c>
      <c r="D87" s="29" t="n">
        <f aca="false">IFERROR(AVERAGEIFS(Clean_Data!$U$2:$U$289,Clean_Data!$I$2:$I$289,$A87),"")</f>
        <v>7.60769230769231</v>
      </c>
      <c r="E87" s="29" t="n">
        <f aca="false">IFERROR(AVERAGEIFS(Clean_Data!$R$2:$R$289,Clean_Data!$I$2:$I$289,$A87),"")</f>
        <v>6.00769230769231</v>
      </c>
      <c r="F87" s="29" t="n">
        <f aca="false">IFERROR(AVERAGEIFS(Clean_Data!$T$2:$T$289,Clean_Data!$I$2:$I$289,$A87),"")</f>
        <v>6.38461538461539</v>
      </c>
    </row>
    <row r="90" customFormat="false" ht="15" hidden="false" customHeight="false" outlineLevel="0" collapsed="false">
      <c r="A90" s="23" t="s">
        <v>98</v>
      </c>
      <c r="E90" s="33" t="s">
        <v>99</v>
      </c>
    </row>
    <row r="91" customFormat="false" ht="15" hidden="false" customHeight="false" outlineLevel="0" collapsed="false">
      <c r="A91" s="30" t="s">
        <v>100</v>
      </c>
      <c r="B91" s="31" t="s">
        <v>101</v>
      </c>
      <c r="C91" s="31" t="s">
        <v>102</v>
      </c>
    </row>
    <row r="92" customFormat="false" ht="15" hidden="false" customHeight="false" outlineLevel="0" collapsed="false">
      <c r="A92" s="26" t="s">
        <v>103</v>
      </c>
      <c r="B92" s="34" t="n">
        <f aca="false">IFERROR(CORREL(Clean_Data!$M$2:$M$289,Clean_Data!$U$2:$U$289),"")</f>
        <v>0.897903227178458</v>
      </c>
      <c r="C92" s="35" t="str">
        <f aca="false">IF(B92="","",IF(ABS(B92)&gt;=0.5,"Strong",IF(ABS(B92)&gt;=0.3,"Moderate",IF(ABS(B92)&gt;=0.1,"Weak","Negligible")))&amp;IF(B92&gt;=0," positive"," negative"))</f>
        <v>Strong positive</v>
      </c>
    </row>
    <row r="93" customFormat="false" ht="15" hidden="false" customHeight="false" outlineLevel="0" collapsed="false">
      <c r="A93" s="26" t="s">
        <v>104</v>
      </c>
      <c r="B93" s="34" t="n">
        <f aca="false">IFERROR(CORREL(Clean_Data!$M$2:$M$289,Clean_Data!$R$2:$R$289),"")</f>
        <v>0.780544019522098</v>
      </c>
      <c r="C93" s="35" t="str">
        <f aca="false">IF(B93="","",IF(ABS(B93)&gt;=0.5,"Strong",IF(ABS(B93)&gt;=0.3,"Moderate",IF(ABS(B93)&gt;=0.1,"Weak","Negligible")))&amp;IF(B93&gt;=0," positive"," negative"))</f>
        <v>Strong positive</v>
      </c>
    </row>
    <row r="94" customFormat="false" ht="15" hidden="false" customHeight="false" outlineLevel="0" collapsed="false">
      <c r="A94" s="26" t="s">
        <v>105</v>
      </c>
      <c r="B94" s="34" t="n">
        <f aca="false">IFERROR(CORREL(Clean_Data!$R$2:$R$289,Clean_Data!$T$2:$T$289),"")</f>
        <v>0.656352013835338</v>
      </c>
      <c r="C94" s="35" t="str">
        <f aca="false">IF(B94="","",IF(ABS(B94)&gt;=0.5,"Strong",IF(ABS(B94)&gt;=0.3,"Moderate",IF(ABS(B94)&gt;=0.1,"Weak","Negligible")))&amp;IF(B94&gt;=0," positive"," negative"))</f>
        <v>Strong positive</v>
      </c>
    </row>
    <row r="95" customFormat="false" ht="15" hidden="false" customHeight="false" outlineLevel="0" collapsed="false">
      <c r="A95" s="26" t="s">
        <v>106</v>
      </c>
      <c r="B95" s="34" t="n">
        <f aca="false">IFERROR(CORREL(Clean_Data!$S$2:$S$289,Clean_Data!$T$2:$T$289),"")</f>
        <v>0.521934476448059</v>
      </c>
      <c r="C95" s="35" t="str">
        <f aca="false">IF(B95="","",IF(ABS(B95)&gt;=0.5,"Strong",IF(ABS(B95)&gt;=0.3,"Moderate",IF(ABS(B95)&gt;=0.1,"Weak","Negligible")))&amp;IF(B95&gt;=0," positive"," negative"))</f>
        <v>Strong positive</v>
      </c>
    </row>
    <row r="96" customFormat="false" ht="15" hidden="false" customHeight="false" outlineLevel="0" collapsed="false">
      <c r="A96" s="26" t="s">
        <v>107</v>
      </c>
      <c r="B96" s="34" t="n">
        <f aca="false">IFERROR(CORREL(Clean_Data!$P$2:$P$289,Clean_Data!$T$2:$T$289),"")</f>
        <v>0.0229459085621805</v>
      </c>
      <c r="C96" s="35" t="str">
        <f aca="false">IF(B96="","",IF(ABS(B96)&gt;=0.5,"Strong",IF(ABS(B96)&gt;=0.3,"Moderate",IF(ABS(B96)&gt;=0.1,"Weak","Negligible")))&amp;IF(B96&gt;=0," positive"," negative"))</f>
        <v>Negligible positive</v>
      </c>
    </row>
    <row r="97" customFormat="false" ht="15" hidden="false" customHeight="false" outlineLevel="0" collapsed="false">
      <c r="A97" s="26" t="s">
        <v>108</v>
      </c>
      <c r="B97" s="34" t="n">
        <f aca="false">IFERROR(CORREL(Clean_Data!$B$2:$B$289,Clean_Data!$M$2:$M$289),"")</f>
        <v>-0.0972817046837051</v>
      </c>
      <c r="C97" s="35" t="str">
        <f aca="false">IF(B97="","",IF(ABS(B97)&gt;=0.5,"Strong",IF(ABS(B97)&gt;=0.3,"Moderate",IF(ABS(B97)&gt;=0.1,"Weak","Negligible")))&amp;IF(B97&gt;=0," positive"," negative"))</f>
        <v>Negligible negative</v>
      </c>
    </row>
  </sheetData>
  <conditionalFormatting sqref="B92:B97">
    <cfRule type="colorScale" priority="2">
      <colorScale>
        <cfvo type="num" val="-1"/>
        <cfvo type="num" val="0"/>
        <cfvo type="num" val="1"/>
        <color rgb="FFF8B4B4"/>
        <color rgb="FFFFFFFF"/>
        <color rgb="FF7DDBC9"/>
      </colorScale>
    </cfRule>
  </conditionalFormatting>
  <conditionalFormatting sqref="B6:B13">
    <cfRule type="dataBar" priority="3">
      <dataBar showValue="1" minLength="10" maxLength="90">
        <cfvo type="num" val="0"/>
        <cfvo type="max" val="0"/>
        <color rgb="FF38BDF8"/>
      </dataBar>
      <extLst>
        <ext xmlns:x14="http://schemas.microsoft.com/office/spreadsheetml/2009/9/main" uri="{B025F937-C7B1-47D3-B67F-A62EFF666E3E}">
          <x14:id>{3BEEDFEE-7F30-475D-B2DC-154B00CE60B2}</x14:id>
        </ext>
      </extLst>
    </cfRule>
  </conditionalFormatting>
  <conditionalFormatting sqref="B18:B25">
    <cfRule type="dataBar" priority="4">
      <dataBar showValue="1" minLength="10" maxLength="90">
        <cfvo type="num" val="0"/>
        <cfvo type="max" val="0"/>
        <color rgb="FF38BDF8"/>
      </dataBar>
      <extLst>
        <ext xmlns:x14="http://schemas.microsoft.com/office/spreadsheetml/2009/9/main" uri="{B025F937-C7B1-47D3-B67F-A62EFF666E3E}">
          <x14:id>{A57265C5-F39F-498A-B0DA-5B3E6CD2115E}</x14:id>
        </ext>
      </extLst>
    </cfRule>
  </conditionalFormatting>
  <conditionalFormatting sqref="B45:B54">
    <cfRule type="dataBar" priority="5">
      <dataBar showValue="1" minLength="10" maxLength="90">
        <cfvo type="num" val="0"/>
        <cfvo type="max" val="0"/>
        <color rgb="FF38BDF8"/>
      </dataBar>
      <extLst>
        <ext xmlns:x14="http://schemas.microsoft.com/office/spreadsheetml/2009/9/main" uri="{B025F937-C7B1-47D3-B67F-A62EFF666E3E}">
          <x14:id>{2B719F6B-284B-4F32-9562-11E2179F34D5}</x14:id>
        </ext>
      </extLst>
    </cfRule>
  </conditionalFormatting>
  <conditionalFormatting sqref="B59:B63">
    <cfRule type="dataBar" priority="6">
      <dataBar showValue="1" minLength="10" maxLength="90">
        <cfvo type="num" val="0"/>
        <cfvo type="max" val="0"/>
        <color rgb="FF38BDF8"/>
      </dataBar>
      <extLst>
        <ext xmlns:x14="http://schemas.microsoft.com/office/spreadsheetml/2009/9/main" uri="{B025F937-C7B1-47D3-B67F-A62EFF666E3E}">
          <x14:id>{838FEE48-1D8A-49F8-AEE4-82F3B93563C8}</x14:id>
        </ext>
      </extLst>
    </cfRule>
  </conditionalFormatting>
  <conditionalFormatting sqref="B81:B87">
    <cfRule type="dataBar" priority="7">
      <dataBar showValue="1" minLength="10" maxLength="90">
        <cfvo type="num" val="0"/>
        <cfvo type="max" val="0"/>
        <color rgb="FF38BDF8"/>
      </dataBar>
      <extLst>
        <ext xmlns:x14="http://schemas.microsoft.com/office/spreadsheetml/2009/9/main" uri="{B025F937-C7B1-47D3-B67F-A62EFF666E3E}">
          <x14:id>{A265B827-70D0-4BAF-8459-AA80271071D7}</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3BEEDFEE-7F30-475D-B2DC-154B00CE60B2}">
            <x14:dataBar minLength="10" maxLength="90" axisPosition="none" gradient="true">
              <x14:cfvo type="num">
                <xm:f>0</xm:f>
              </x14:cfvo>
              <x14:cfvo type="max"/>
              <x14:negativeFillColor rgb="FF38BDF8"/>
              <x14:axisColor rgb="FF000000"/>
            </x14:dataBar>
          </x14:cfRule>
          <xm:sqref>B6:B13</xm:sqref>
        </x14:conditionalFormatting>
        <x14:conditionalFormatting xmlns:xm="http://schemas.microsoft.com/office/excel/2006/main">
          <x14:cfRule type="dataBar" id="{A57265C5-F39F-498A-B0DA-5B3E6CD2115E}">
            <x14:dataBar minLength="10" maxLength="90" axisPosition="none" gradient="true">
              <x14:cfvo type="num">
                <xm:f>0</xm:f>
              </x14:cfvo>
              <x14:cfvo type="max"/>
              <x14:negativeFillColor rgb="FF38BDF8"/>
              <x14:axisColor rgb="FF000000"/>
            </x14:dataBar>
          </x14:cfRule>
          <xm:sqref>B18:B25</xm:sqref>
        </x14:conditionalFormatting>
        <x14:conditionalFormatting xmlns:xm="http://schemas.microsoft.com/office/excel/2006/main">
          <x14:cfRule type="dataBar" id="{2B719F6B-284B-4F32-9562-11E2179F34D5}">
            <x14:dataBar minLength="10" maxLength="90" axisPosition="none" gradient="true">
              <x14:cfvo type="num">
                <xm:f>0</xm:f>
              </x14:cfvo>
              <x14:cfvo type="max"/>
              <x14:negativeFillColor rgb="FF38BDF8"/>
              <x14:axisColor rgb="FF000000"/>
            </x14:dataBar>
          </x14:cfRule>
          <xm:sqref>B45:B54</xm:sqref>
        </x14:conditionalFormatting>
        <x14:conditionalFormatting xmlns:xm="http://schemas.microsoft.com/office/excel/2006/main">
          <x14:cfRule type="dataBar" id="{838FEE48-1D8A-49F8-AEE4-82F3B93563C8}">
            <x14:dataBar minLength="10" maxLength="90" axisPosition="none" gradient="true">
              <x14:cfvo type="num">
                <xm:f>0</xm:f>
              </x14:cfvo>
              <x14:cfvo type="max"/>
              <x14:negativeFillColor rgb="FF38BDF8"/>
              <x14:axisColor rgb="FF000000"/>
            </x14:dataBar>
          </x14:cfRule>
          <xm:sqref>B59:B63</xm:sqref>
        </x14:conditionalFormatting>
        <x14:conditionalFormatting xmlns:xm="http://schemas.microsoft.com/office/excel/2006/main">
          <x14:cfRule type="dataBar" id="{A265B827-70D0-4BAF-8459-AA80271071D7}">
            <x14:dataBar minLength="10" maxLength="90" axisPosition="none" gradient="true">
              <x14:cfvo type="num">
                <xm:f>0</xm:f>
              </x14:cfvo>
              <x14:cfvo type="max"/>
              <x14:negativeFillColor rgb="FF38BDF8"/>
              <x14:axisColor rgb="FF000000"/>
            </x14:dataBar>
          </x14:cfRule>
          <xm:sqref>B81:B87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97316"/>
    <pageSetUpPr fitToPage="false"/>
  </sheetPr>
  <dimension ref="A1:Y2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
    <col collapsed="false" customWidth="true" hidden="false" outlineLevel="0" max="3" min="3" style="0" width="10"/>
    <col collapsed="false" customWidth="true" hidden="false" outlineLevel="0" max="5" min="4" style="0" width="16"/>
    <col collapsed="false" customWidth="true" hidden="false" outlineLevel="0" max="6" min="6" style="0" width="12"/>
    <col collapsed="false" customWidth="true" hidden="false" outlineLevel="0" max="7" min="7" style="0" width="14"/>
    <col collapsed="false" customWidth="true" hidden="false" outlineLevel="0" max="8" min="8" style="0" width="30"/>
    <col collapsed="false" customWidth="true" hidden="false" outlineLevel="0" max="9" min="9" style="0" width="24"/>
    <col collapsed="false" customWidth="true" hidden="false" outlineLevel="0" max="10" min="10" style="0" width="11"/>
    <col collapsed="false" customWidth="true" hidden="false" outlineLevel="0" max="12" min="11" style="0" width="16"/>
    <col collapsed="false" customWidth="true" hidden="false" outlineLevel="0" max="13" min="13" style="0" width="10"/>
    <col collapsed="false" customWidth="true" hidden="false" outlineLevel="0" max="14" min="14" style="0" width="12"/>
    <col collapsed="false" customWidth="true" hidden="false" outlineLevel="0" max="16" min="15" style="0" width="10"/>
    <col collapsed="false" customWidth="true" hidden="false" outlineLevel="0" max="17" min="17" style="0" width="9"/>
    <col collapsed="false" customWidth="true" hidden="false" outlineLevel="0" max="18" min="18" style="0" width="11"/>
    <col collapsed="false" customWidth="true" hidden="false" outlineLevel="0" max="19" min="19" style="0" width="10"/>
    <col collapsed="false" customWidth="true" hidden="false" outlineLevel="0" max="20" min="20" style="0" width="11"/>
    <col collapsed="false" customWidth="true" hidden="false" outlineLevel="0" max="22" min="21" style="0" width="12"/>
    <col collapsed="false" customWidth="true" hidden="false" outlineLevel="0" max="23" min="23" style="0" width="11"/>
    <col collapsed="false" customWidth="true" hidden="false" outlineLevel="0" max="24" min="24" style="0" width="34"/>
    <col collapsed="false" customWidth="true" hidden="false" outlineLevel="0" max="25" min="25" style="0" width="60"/>
  </cols>
  <sheetData>
    <row r="1" customFormat="false" ht="31.5" hidden="false" customHeight="true" outlineLevel="0" collapsed="false">
      <c r="A1" s="36" t="s">
        <v>109</v>
      </c>
      <c r="B1" s="36" t="s">
        <v>110</v>
      </c>
      <c r="C1" s="36" t="s">
        <v>111</v>
      </c>
      <c r="D1" s="36" t="s">
        <v>112</v>
      </c>
      <c r="E1" s="36" t="s">
        <v>61</v>
      </c>
      <c r="F1" s="36" t="s">
        <v>113</v>
      </c>
      <c r="G1" s="36" t="s">
        <v>114</v>
      </c>
      <c r="H1" s="36" t="s">
        <v>115</v>
      </c>
      <c r="I1" s="36" t="s">
        <v>116</v>
      </c>
      <c r="J1" s="36" t="s">
        <v>117</v>
      </c>
      <c r="K1" s="36" t="s">
        <v>118</v>
      </c>
      <c r="L1" s="36" t="s">
        <v>119</v>
      </c>
      <c r="M1" s="36" t="s">
        <v>120</v>
      </c>
      <c r="N1" s="36" t="s">
        <v>121</v>
      </c>
      <c r="O1" s="36" t="s">
        <v>122</v>
      </c>
      <c r="P1" s="36" t="s">
        <v>123</v>
      </c>
      <c r="Q1" s="36" t="s">
        <v>124</v>
      </c>
      <c r="R1" s="36" t="s">
        <v>125</v>
      </c>
      <c r="S1" s="36" t="s">
        <v>126</v>
      </c>
      <c r="T1" s="36" t="s">
        <v>127</v>
      </c>
      <c r="U1" s="36" t="s">
        <v>128</v>
      </c>
      <c r="V1" s="36" t="s">
        <v>129</v>
      </c>
      <c r="W1" s="36" t="s">
        <v>130</v>
      </c>
      <c r="X1" s="36" t="s">
        <v>131</v>
      </c>
      <c r="Y1" s="36" t="s">
        <v>132</v>
      </c>
    </row>
    <row r="2" customFormat="false" ht="15" hidden="false" customHeight="false" outlineLevel="0" collapsed="false">
      <c r="A2" s="37" t="s">
        <v>133</v>
      </c>
      <c r="B2" s="37" t="n">
        <v>30</v>
      </c>
      <c r="C2" s="37" t="str">
        <f aca="false">IF(B2="","",IF(B2&lt;18,"Under 18",IF(B2&lt;25,"18-24",IF(B2&lt;35,"25-34",IF(B2&lt;45,"35-44","45+")))))</f>
        <v>25-34</v>
      </c>
      <c r="D2" s="37" t="s">
        <v>134</v>
      </c>
      <c r="E2" s="37" t="s">
        <v>66</v>
      </c>
      <c r="F2" s="37" t="s">
        <v>48</v>
      </c>
      <c r="G2" s="37" t="s">
        <v>135</v>
      </c>
      <c r="H2" s="37" t="s">
        <v>136</v>
      </c>
      <c r="I2" s="37" t="s">
        <v>94</v>
      </c>
      <c r="J2" s="38" t="n">
        <v>5421</v>
      </c>
      <c r="K2" s="37" t="s">
        <v>25</v>
      </c>
      <c r="L2" s="37" t="s">
        <v>44</v>
      </c>
      <c r="M2" s="39" t="n">
        <v>2</v>
      </c>
      <c r="N2" s="39" t="n">
        <v>7.3</v>
      </c>
      <c r="O2" s="40" t="n">
        <f aca="false">IF(OR(M2="",N2=""),"",M2/N2)</f>
        <v>0.273972602739726</v>
      </c>
      <c r="P2" s="41"/>
      <c r="Q2" s="37" t="str">
        <f aca="false">IF(P2="","",IF(P2=0,"Free","Paid"))</f>
        <v/>
      </c>
      <c r="R2" s="39" t="n">
        <v>5.3</v>
      </c>
      <c r="S2" s="37" t="n">
        <v>4</v>
      </c>
      <c r="T2" s="37" t="n">
        <v>7</v>
      </c>
      <c r="U2" s="39" t="n">
        <v>3.9</v>
      </c>
      <c r="V2" s="42" t="n">
        <f aca="false">IF(OR(U2="",M2="",M2=0),"",U2/(M2*7))</f>
        <v>0.278571428571429</v>
      </c>
      <c r="W2" s="37" t="s">
        <v>87</v>
      </c>
      <c r="X2" s="37"/>
      <c r="Y2" s="37" t="s">
        <v>137</v>
      </c>
    </row>
    <row r="3" customFormat="false" ht="15" hidden="false" customHeight="false" outlineLevel="0" collapsed="false">
      <c r="A3" s="37" t="s">
        <v>138</v>
      </c>
      <c r="B3" s="37" t="n">
        <v>30</v>
      </c>
      <c r="C3" s="37" t="str">
        <f aca="false">IF(B3="","",IF(B3&lt;18,"Under 18",IF(B3&lt;25,"18-24",IF(B3&lt;35,"25-34",IF(B3&lt;45,"35-44","45+")))))</f>
        <v>25-34</v>
      </c>
      <c r="D3" s="37" t="s">
        <v>134</v>
      </c>
      <c r="E3" s="37" t="s">
        <v>63</v>
      </c>
      <c r="F3" s="37" t="s">
        <v>48</v>
      </c>
      <c r="G3" s="37" t="s">
        <v>139</v>
      </c>
      <c r="H3" s="37" t="s">
        <v>140</v>
      </c>
      <c r="I3" s="37" t="s">
        <v>43</v>
      </c>
      <c r="J3" s="38" t="n">
        <v>8903</v>
      </c>
      <c r="K3" s="37" t="s">
        <v>25</v>
      </c>
      <c r="L3" s="37" t="s">
        <v>43</v>
      </c>
      <c r="M3" s="39" t="n">
        <v>5.7</v>
      </c>
      <c r="N3" s="39" t="n">
        <v>8.4</v>
      </c>
      <c r="O3" s="40" t="n">
        <f aca="false">IF(OR(M3="",N3=""),"",M3/N3)</f>
        <v>0.678571428571429</v>
      </c>
      <c r="P3" s="41" t="n">
        <v>0</v>
      </c>
      <c r="Q3" s="37" t="str">
        <f aca="false">IF(P3="","",IF(P3=0,"Free","Paid"))</f>
        <v>Free</v>
      </c>
      <c r="R3" s="39" t="n">
        <v>9.9</v>
      </c>
      <c r="S3" s="37" t="n">
        <v>3</v>
      </c>
      <c r="T3" s="37" t="n">
        <v>9</v>
      </c>
      <c r="U3" s="39" t="n">
        <v>11.4</v>
      </c>
      <c r="V3" s="42" t="n">
        <f aca="false">IF(OR(U3="",M3="",M3=0),"",U3/(M3*7))</f>
        <v>0.285714285714286</v>
      </c>
      <c r="W3" s="37" t="s">
        <v>87</v>
      </c>
      <c r="X3" s="37"/>
      <c r="Y3" s="37" t="s">
        <v>141</v>
      </c>
    </row>
    <row r="4" customFormat="false" ht="15" hidden="false" customHeight="false" outlineLevel="0" collapsed="false">
      <c r="A4" s="37" t="s">
        <v>142</v>
      </c>
      <c r="B4" s="37" t="n">
        <v>17</v>
      </c>
      <c r="C4" s="37" t="str">
        <f aca="false">IF(B4="","",IF(B4&lt;18,"Under 18",IF(B4&lt;25,"18-24",IF(B4&lt;35,"25-34",IF(B4&lt;45,"35-44","45+")))))</f>
        <v>Under 18</v>
      </c>
      <c r="D4" s="37" t="s">
        <v>134</v>
      </c>
      <c r="E4" s="37" t="s">
        <v>64</v>
      </c>
      <c r="F4" s="37" t="s">
        <v>47</v>
      </c>
      <c r="G4" s="37"/>
      <c r="H4" s="37" t="s">
        <v>143</v>
      </c>
      <c r="I4" s="37" t="s">
        <v>93</v>
      </c>
      <c r="J4" s="38" t="n">
        <v>402</v>
      </c>
      <c r="K4" s="37" t="s">
        <v>25</v>
      </c>
      <c r="L4" s="37" t="s">
        <v>37</v>
      </c>
      <c r="M4" s="39" t="n">
        <v>1</v>
      </c>
      <c r="N4" s="39" t="n">
        <v>6.7</v>
      </c>
      <c r="O4" s="40" t="n">
        <f aca="false">IF(OR(M4="",N4=""),"",M4/N4)</f>
        <v>0.149253731343284</v>
      </c>
      <c r="P4" s="41" t="n">
        <v>20</v>
      </c>
      <c r="Q4" s="37" t="str">
        <f aca="false">IF(P4="","",IF(P4=0,"Free","Paid"))</f>
        <v>Paid</v>
      </c>
      <c r="R4" s="39" t="n">
        <v>3.2</v>
      </c>
      <c r="S4" s="37" t="n">
        <v>2</v>
      </c>
      <c r="T4" s="37" t="n">
        <v>4</v>
      </c>
      <c r="U4" s="39" t="n">
        <v>5.2</v>
      </c>
      <c r="V4" s="42" t="n">
        <f aca="false">IF(OR(U4="",M4="",M4=0),"",U4/(M4*7))</f>
        <v>0.742857142857143</v>
      </c>
      <c r="W4" s="37" t="s">
        <v>89</v>
      </c>
      <c r="X4" s="37"/>
      <c r="Y4" s="37"/>
    </row>
    <row r="5" customFormat="false" ht="15" hidden="false" customHeight="false" outlineLevel="0" collapsed="false">
      <c r="A5" s="37" t="s">
        <v>144</v>
      </c>
      <c r="B5" s="37" t="n">
        <v>35</v>
      </c>
      <c r="C5" s="37" t="str">
        <f aca="false">IF(B5="","",IF(B5&lt;18,"Under 18",IF(B5&lt;25,"18-24",IF(B5&lt;35,"25-34",IF(B5&lt;45,"35-44","45+")))))</f>
        <v>35-44</v>
      </c>
      <c r="D5" s="37" t="s">
        <v>145</v>
      </c>
      <c r="E5" s="37" t="s">
        <v>67</v>
      </c>
      <c r="F5" s="37" t="s">
        <v>48</v>
      </c>
      <c r="G5" s="37" t="s">
        <v>139</v>
      </c>
      <c r="H5" s="37" t="s">
        <v>146</v>
      </c>
      <c r="I5" s="37" t="s">
        <v>93</v>
      </c>
      <c r="J5" s="38" t="n">
        <v>1367</v>
      </c>
      <c r="K5" s="37" t="s">
        <v>31</v>
      </c>
      <c r="L5" s="37" t="s">
        <v>37</v>
      </c>
      <c r="M5" s="39" t="n">
        <v>1.7</v>
      </c>
      <c r="N5" s="39" t="n">
        <v>9.6</v>
      </c>
      <c r="O5" s="40" t="n">
        <f aca="false">IF(OR(M5="",N5=""),"",M5/N5)</f>
        <v>0.177083333333333</v>
      </c>
      <c r="P5" s="41" t="n">
        <v>20</v>
      </c>
      <c r="Q5" s="37" t="str">
        <f aca="false">IF(P5="","",IF(P5=0,"Free","Paid"))</f>
        <v>Paid</v>
      </c>
      <c r="R5" s="39" t="n">
        <v>5.6</v>
      </c>
      <c r="S5" s="37" t="n">
        <v>4</v>
      </c>
      <c r="T5" s="37" t="n">
        <v>5</v>
      </c>
      <c r="U5" s="39" t="n">
        <v>6.4</v>
      </c>
      <c r="V5" s="42" t="n">
        <f aca="false">IF(OR(U5="",M5="",M5=0),"",U5/(M5*7))</f>
        <v>0.53781512605042</v>
      </c>
      <c r="W5" s="37" t="s">
        <v>88</v>
      </c>
      <c r="X5" s="37"/>
      <c r="Y5" s="37" t="s">
        <v>147</v>
      </c>
    </row>
    <row r="6" customFormat="false" ht="15" hidden="false" customHeight="false" outlineLevel="0" collapsed="false">
      <c r="A6" s="37" t="s">
        <v>148</v>
      </c>
      <c r="B6" s="37" t="n">
        <v>19</v>
      </c>
      <c r="C6" s="37" t="str">
        <f aca="false">IF(B6="","",IF(B6&lt;18,"Under 18",IF(B6&lt;25,"18-24",IF(B6&lt;35,"25-34",IF(B6&lt;45,"35-44","45+")))))</f>
        <v>18-24</v>
      </c>
      <c r="D6" s="37" t="s">
        <v>145</v>
      </c>
      <c r="E6" s="37" t="s">
        <v>64</v>
      </c>
      <c r="F6" s="37" t="s">
        <v>47</v>
      </c>
      <c r="G6" s="37" t="s">
        <v>149</v>
      </c>
      <c r="H6" s="37" t="s">
        <v>150</v>
      </c>
      <c r="I6" s="37" t="s">
        <v>95</v>
      </c>
      <c r="J6" s="38" t="n">
        <v>438</v>
      </c>
      <c r="K6" s="37" t="s">
        <v>29</v>
      </c>
      <c r="L6" s="37"/>
      <c r="M6" s="39" t="n">
        <v>4.1</v>
      </c>
      <c r="N6" s="39" t="n">
        <v>6.2</v>
      </c>
      <c r="O6" s="40" t="n">
        <f aca="false">IF(OR(M6="",N6=""),"",M6/N6)</f>
        <v>0.661290322580645</v>
      </c>
      <c r="P6" s="41" t="n">
        <v>0</v>
      </c>
      <c r="Q6" s="37" t="str">
        <f aca="false">IF(P6="","",IF(P6=0,"Free","Paid"))</f>
        <v>Free</v>
      </c>
      <c r="R6" s="39" t="n">
        <v>4.7</v>
      </c>
      <c r="S6" s="37" t="n">
        <v>4</v>
      </c>
      <c r="T6" s="37" t="n">
        <v>7</v>
      </c>
      <c r="U6" s="39" t="n">
        <v>9.2</v>
      </c>
      <c r="V6" s="42" t="n">
        <f aca="false">IF(OR(U6="",M6="",M6=0),"",U6/(M6*7))</f>
        <v>0.320557491289199</v>
      </c>
      <c r="W6" s="37" t="s">
        <v>87</v>
      </c>
      <c r="X6" s="37"/>
      <c r="Y6" s="37" t="s">
        <v>151</v>
      </c>
    </row>
    <row r="7" customFormat="false" ht="15" hidden="false" customHeight="false" outlineLevel="0" collapsed="false">
      <c r="A7" s="37" t="s">
        <v>152</v>
      </c>
      <c r="B7" s="37" t="n">
        <v>19</v>
      </c>
      <c r="C7" s="37" t="str">
        <f aca="false">IF(B7="","",IF(B7&lt;18,"Under 18",IF(B7&lt;25,"18-24",IF(B7&lt;35,"25-34",IF(B7&lt;45,"35-44","45+")))))</f>
        <v>18-24</v>
      </c>
      <c r="D7" s="37"/>
      <c r="E7" s="37" t="s">
        <v>63</v>
      </c>
      <c r="F7" s="37" t="s">
        <v>47</v>
      </c>
      <c r="G7" s="37" t="s">
        <v>149</v>
      </c>
      <c r="H7" s="37" t="s">
        <v>153</v>
      </c>
      <c r="I7" s="37" t="s">
        <v>94</v>
      </c>
      <c r="J7" s="38" t="n">
        <v>774</v>
      </c>
      <c r="K7" s="37" t="s">
        <v>31</v>
      </c>
      <c r="L7" s="37" t="s">
        <v>42</v>
      </c>
      <c r="M7" s="39" t="n">
        <v>1.5</v>
      </c>
      <c r="N7" s="39" t="n">
        <v>7.4</v>
      </c>
      <c r="O7" s="40" t="n">
        <f aca="false">IF(OR(M7="",N7=""),"",M7/N7)</f>
        <v>0.202702702702703</v>
      </c>
      <c r="P7" s="41" t="n">
        <v>0</v>
      </c>
      <c r="Q7" s="37" t="str">
        <f aca="false">IF(P7="","",IF(P7=0,"Free","Paid"))</f>
        <v>Free</v>
      </c>
      <c r="R7" s="39" t="n">
        <v>5</v>
      </c>
      <c r="S7" s="37" t="n">
        <v>3</v>
      </c>
      <c r="T7" s="37" t="n">
        <v>6</v>
      </c>
      <c r="U7" s="39" t="n">
        <v>2.9</v>
      </c>
      <c r="V7" s="42" t="n">
        <f aca="false">IF(OR(U7="",M7="",M7=0),"",U7/(M7*7))</f>
        <v>0.276190476190476</v>
      </c>
      <c r="W7" s="37" t="s">
        <v>89</v>
      </c>
      <c r="X7" s="37"/>
      <c r="Y7" s="37" t="s">
        <v>154</v>
      </c>
    </row>
    <row r="8" customFormat="false" ht="15" hidden="false" customHeight="false" outlineLevel="0" collapsed="false">
      <c r="A8" s="37" t="s">
        <v>155</v>
      </c>
      <c r="B8" s="37" t="n">
        <v>32</v>
      </c>
      <c r="C8" s="37" t="str">
        <f aca="false">IF(B8="","",IF(B8&lt;18,"Under 18",IF(B8&lt;25,"18-24",IF(B8&lt;35,"25-34",IF(B8&lt;45,"35-44","45+")))))</f>
        <v>25-34</v>
      </c>
      <c r="D8" s="37" t="s">
        <v>134</v>
      </c>
      <c r="E8" s="37" t="s">
        <v>156</v>
      </c>
      <c r="F8" s="37" t="s">
        <v>48</v>
      </c>
      <c r="G8" s="37" t="s">
        <v>139</v>
      </c>
      <c r="H8" s="37" t="s">
        <v>157</v>
      </c>
      <c r="I8" s="37" t="s">
        <v>93</v>
      </c>
      <c r="J8" s="38" t="n">
        <v>4466</v>
      </c>
      <c r="K8" s="37" t="s">
        <v>25</v>
      </c>
      <c r="L8" s="37" t="s">
        <v>37</v>
      </c>
      <c r="M8" s="39" t="n">
        <v>1.2</v>
      </c>
      <c r="N8" s="39" t="n">
        <v>6.4</v>
      </c>
      <c r="O8" s="40" t="n">
        <f aca="false">IF(OR(M8="",N8=""),"",M8/N8)</f>
        <v>0.1875</v>
      </c>
      <c r="P8" s="41" t="n">
        <v>20</v>
      </c>
      <c r="Q8" s="37" t="str">
        <f aca="false">IF(P8="","",IF(P8=0,"Free","Paid"))</f>
        <v>Paid</v>
      </c>
      <c r="R8" s="39" t="n">
        <v>3</v>
      </c>
      <c r="S8" s="37" t="n">
        <v>2</v>
      </c>
      <c r="T8" s="37" t="n">
        <v>5</v>
      </c>
      <c r="U8" s="39" t="n">
        <v>6.6</v>
      </c>
      <c r="V8" s="42" t="n">
        <f aca="false">IF(OR(U8="",M8="",M8=0),"",U8/(M8*7))</f>
        <v>0.785714285714286</v>
      </c>
      <c r="W8" s="37" t="s">
        <v>87</v>
      </c>
      <c r="X8" s="37"/>
      <c r="Y8" s="37" t="s">
        <v>158</v>
      </c>
    </row>
    <row r="9" customFormat="false" ht="15" hidden="false" customHeight="false" outlineLevel="0" collapsed="false">
      <c r="A9" s="37" t="s">
        <v>159</v>
      </c>
      <c r="B9" s="37" t="n">
        <v>32</v>
      </c>
      <c r="C9" s="37" t="str">
        <f aca="false">IF(B9="","",IF(B9&lt;18,"Under 18",IF(B9&lt;25,"18-24",IF(B9&lt;35,"25-34",IF(B9&lt;45,"35-44","45+")))))</f>
        <v>25-34</v>
      </c>
      <c r="D9" s="37" t="s">
        <v>134</v>
      </c>
      <c r="E9" s="37" t="s">
        <v>68</v>
      </c>
      <c r="F9" s="37" t="s">
        <v>48</v>
      </c>
      <c r="G9" s="37" t="s">
        <v>160</v>
      </c>
      <c r="H9" s="37" t="s">
        <v>161</v>
      </c>
      <c r="I9" s="37" t="s">
        <v>92</v>
      </c>
      <c r="J9" s="38" t="n">
        <v>486</v>
      </c>
      <c r="K9" s="37" t="s">
        <v>25</v>
      </c>
      <c r="L9" s="37" t="s">
        <v>41</v>
      </c>
      <c r="M9" s="39" t="n">
        <v>2</v>
      </c>
      <c r="N9" s="39" t="n">
        <v>6.4</v>
      </c>
      <c r="O9" s="40" t="n">
        <f aca="false">IF(OR(M9="",N9=""),"",M9/N9)</f>
        <v>0.3125</v>
      </c>
      <c r="P9" s="41" t="n">
        <v>0</v>
      </c>
      <c r="Q9" s="37" t="str">
        <f aca="false">IF(P9="","",IF(P9=0,"Free","Paid"))</f>
        <v>Free</v>
      </c>
      <c r="R9" s="39" t="n">
        <v>6.5</v>
      </c>
      <c r="S9" s="37" t="n">
        <v>2</v>
      </c>
      <c r="T9" s="37" t="n">
        <v>5</v>
      </c>
      <c r="U9" s="39" t="n">
        <v>3.2</v>
      </c>
      <c r="V9" s="42" t="n">
        <f aca="false">IF(OR(U9="",M9="",M9=0),"",U9/(M9*7))</f>
        <v>0.228571428571429</v>
      </c>
      <c r="W9" s="37" t="s">
        <v>87</v>
      </c>
      <c r="X9" s="37"/>
      <c r="Y9" s="37" t="s">
        <v>162</v>
      </c>
    </row>
    <row r="10" customFormat="false" ht="15" hidden="false" customHeight="false" outlineLevel="0" collapsed="false">
      <c r="A10" s="37" t="s">
        <v>163</v>
      </c>
      <c r="B10" s="37" t="n">
        <v>16</v>
      </c>
      <c r="C10" s="37" t="str">
        <f aca="false">IF(B10="","",IF(B10&lt;18,"Under 18",IF(B10&lt;25,"18-24",IF(B10&lt;35,"25-34",IF(B10&lt;45,"35-44","45+")))))</f>
        <v>Under 18</v>
      </c>
      <c r="D10" s="37" t="s">
        <v>134</v>
      </c>
      <c r="E10" s="37" t="s">
        <v>68</v>
      </c>
      <c r="F10" s="37" t="s">
        <v>47</v>
      </c>
      <c r="G10" s="37" t="s">
        <v>149</v>
      </c>
      <c r="H10" s="37" t="s">
        <v>164</v>
      </c>
      <c r="I10" s="37" t="s">
        <v>92</v>
      </c>
      <c r="J10" s="38" t="n">
        <v>132</v>
      </c>
      <c r="K10" s="37" t="s">
        <v>28</v>
      </c>
      <c r="L10" s="37" t="s">
        <v>41</v>
      </c>
      <c r="M10" s="39" t="n">
        <v>1.6</v>
      </c>
      <c r="N10" s="39" t="n">
        <v>3.8</v>
      </c>
      <c r="O10" s="40" t="n">
        <f aca="false">IF(OR(M10="",N10=""),"",M10/N10)</f>
        <v>0.421052631578947</v>
      </c>
      <c r="P10" s="41" t="n">
        <v>30</v>
      </c>
      <c r="Q10" s="37" t="str">
        <f aca="false">IF(P10="","",IF(P10=0,"Free","Paid"))</f>
        <v>Paid</v>
      </c>
      <c r="R10" s="39" t="n">
        <v>4.7</v>
      </c>
      <c r="S10" s="37" t="n">
        <v>4</v>
      </c>
      <c r="T10" s="37" t="n">
        <v>6</v>
      </c>
      <c r="U10" s="39" t="n">
        <v>3.8</v>
      </c>
      <c r="V10" s="42" t="n">
        <f aca="false">IF(OR(U10="",M10="",M10=0),"",U10/(M10*7))</f>
        <v>0.339285714285714</v>
      </c>
      <c r="W10" s="37" t="s">
        <v>87</v>
      </c>
      <c r="X10" s="37"/>
      <c r="Y10" s="37" t="s">
        <v>165</v>
      </c>
    </row>
    <row r="11" customFormat="false" ht="15" hidden="false" customHeight="false" outlineLevel="0" collapsed="false">
      <c r="A11" s="37" t="s">
        <v>166</v>
      </c>
      <c r="B11" s="37" t="n">
        <v>40</v>
      </c>
      <c r="C11" s="37" t="str">
        <f aca="false">IF(B11="","",IF(B11&lt;18,"Under 18",IF(B11&lt;25,"18-24",IF(B11&lt;35,"25-34",IF(B11&lt;45,"35-44","45+")))))</f>
        <v>35-44</v>
      </c>
      <c r="D11" s="37" t="s">
        <v>134</v>
      </c>
      <c r="E11" s="37" t="s">
        <v>62</v>
      </c>
      <c r="F11" s="37" t="s">
        <v>48</v>
      </c>
      <c r="G11" s="37" t="s">
        <v>160</v>
      </c>
      <c r="H11" s="37"/>
      <c r="I11" s="37"/>
      <c r="J11" s="38" t="n">
        <v>1595</v>
      </c>
      <c r="K11" s="37" t="s">
        <v>25</v>
      </c>
      <c r="L11" s="37" t="s">
        <v>38</v>
      </c>
      <c r="M11" s="39" t="n">
        <v>1.7</v>
      </c>
      <c r="N11" s="39" t="n">
        <v>9.4</v>
      </c>
      <c r="O11" s="40" t="n">
        <f aca="false">IF(OR(M11="",N11=""),"",M11/N11)</f>
        <v>0.180851063829787</v>
      </c>
      <c r="P11" s="41" t="n">
        <v>10</v>
      </c>
      <c r="Q11" s="37" t="str">
        <f aca="false">IF(P11="","",IF(P11=0,"Free","Paid"))</f>
        <v>Paid</v>
      </c>
      <c r="R11" s="39"/>
      <c r="S11" s="37" t="n">
        <v>2</v>
      </c>
      <c r="T11" s="37" t="n">
        <v>5</v>
      </c>
      <c r="U11" s="39" t="n">
        <v>7.5</v>
      </c>
      <c r="V11" s="42" t="n">
        <f aca="false">IF(OR(U11="",M11="",M11=0),"",U11/(M11*7))</f>
        <v>0.630252100840336</v>
      </c>
      <c r="W11" s="37" t="s">
        <v>88</v>
      </c>
      <c r="X11" s="37"/>
      <c r="Y11" s="37" t="s">
        <v>167</v>
      </c>
    </row>
    <row r="12" customFormat="false" ht="15" hidden="false" customHeight="false" outlineLevel="0" collapsed="false">
      <c r="A12" s="37" t="s">
        <v>168</v>
      </c>
      <c r="B12" s="37" t="n">
        <v>36</v>
      </c>
      <c r="C12" s="37" t="str">
        <f aca="false">IF(B12="","",IF(B12&lt;18,"Under 18",IF(B12&lt;25,"18-24",IF(B12&lt;35,"25-34",IF(B12&lt;45,"35-44","45+")))))</f>
        <v>35-44</v>
      </c>
      <c r="D12" s="37" t="s">
        <v>145</v>
      </c>
      <c r="E12" s="37" t="s">
        <v>65</v>
      </c>
      <c r="F12" s="37" t="s">
        <v>48</v>
      </c>
      <c r="G12" s="37" t="s">
        <v>135</v>
      </c>
      <c r="H12" s="37" t="s">
        <v>169</v>
      </c>
      <c r="I12" s="37" t="s">
        <v>94</v>
      </c>
      <c r="J12" s="38" t="n">
        <v>856</v>
      </c>
      <c r="K12" s="37" t="s">
        <v>25</v>
      </c>
      <c r="L12" s="37" t="s">
        <v>40</v>
      </c>
      <c r="M12" s="39" t="n">
        <v>2.7</v>
      </c>
      <c r="N12" s="39" t="n">
        <v>8.7</v>
      </c>
      <c r="O12" s="40" t="n">
        <f aca="false">IF(OR(M12="",N12=""),"",M12/N12)</f>
        <v>0.310344827586207</v>
      </c>
      <c r="P12" s="41" t="n">
        <v>0</v>
      </c>
      <c r="Q12" s="37" t="str">
        <f aca="false">IF(P12="","",IF(P12=0,"Free","Paid"))</f>
        <v>Free</v>
      </c>
      <c r="R12" s="39"/>
      <c r="S12" s="37" t="n">
        <v>4</v>
      </c>
      <c r="T12" s="37" t="n">
        <v>6</v>
      </c>
      <c r="U12" s="39" t="n">
        <v>5.7</v>
      </c>
      <c r="V12" s="42" t="n">
        <f aca="false">IF(OR(U12="",M12="",M12=0),"",U12/(M12*7))</f>
        <v>0.301587301587302</v>
      </c>
      <c r="W12" s="37" t="s">
        <v>87</v>
      </c>
      <c r="X12" s="37"/>
      <c r="Y12" s="37" t="s">
        <v>170</v>
      </c>
    </row>
    <row r="13" customFormat="false" ht="15" hidden="false" customHeight="false" outlineLevel="0" collapsed="false">
      <c r="A13" s="37" t="s">
        <v>171</v>
      </c>
      <c r="B13" s="37" t="n">
        <v>22</v>
      </c>
      <c r="C13" s="37" t="str">
        <f aca="false">IF(B13="","",IF(B13&lt;18,"Under 18",IF(B13&lt;25,"18-24",IF(B13&lt;35,"25-34",IF(B13&lt;45,"35-44","45+")))))</f>
        <v>18-24</v>
      </c>
      <c r="D13" s="37" t="s">
        <v>134</v>
      </c>
      <c r="E13" s="37" t="s">
        <v>64</v>
      </c>
      <c r="F13" s="37" t="s">
        <v>47</v>
      </c>
      <c r="G13" s="37" t="s">
        <v>149</v>
      </c>
      <c r="H13" s="37" t="s">
        <v>172</v>
      </c>
      <c r="I13" s="37" t="s">
        <v>96</v>
      </c>
      <c r="J13" s="38" t="n">
        <v>547</v>
      </c>
      <c r="K13" s="37" t="s">
        <v>28</v>
      </c>
      <c r="L13" s="37" t="s">
        <v>40</v>
      </c>
      <c r="M13" s="39" t="n">
        <v>5</v>
      </c>
      <c r="N13" s="39" t="n">
        <v>5.6</v>
      </c>
      <c r="O13" s="40" t="n">
        <f aca="false">IF(OR(M13="",N13=""),"",M13/N13)</f>
        <v>0.892857142857143</v>
      </c>
      <c r="P13" s="41" t="n">
        <v>0</v>
      </c>
      <c r="Q13" s="37" t="str">
        <f aca="false">IF(P13="","",IF(P13=0,"Free","Paid"))</f>
        <v>Free</v>
      </c>
      <c r="R13" s="39" t="n">
        <v>6.6</v>
      </c>
      <c r="S13" s="37" t="n">
        <v>3</v>
      </c>
      <c r="T13" s="37" t="n">
        <v>6</v>
      </c>
      <c r="U13" s="39" t="n">
        <v>9.8</v>
      </c>
      <c r="V13" s="42" t="n">
        <f aca="false">IF(OR(U13="",M13="",M13=0),"",U13/(M13*7))</f>
        <v>0.28</v>
      </c>
      <c r="W13" s="37" t="s">
        <v>89</v>
      </c>
      <c r="X13" s="37"/>
      <c r="Y13" s="37" t="s">
        <v>173</v>
      </c>
    </row>
    <row r="14" customFormat="false" ht="15" hidden="false" customHeight="false" outlineLevel="0" collapsed="false">
      <c r="A14" s="37" t="s">
        <v>174</v>
      </c>
      <c r="B14" s="37" t="n">
        <v>30</v>
      </c>
      <c r="C14" s="37" t="str">
        <f aca="false">IF(B14="","",IF(B14&lt;18,"Under 18",IF(B14&lt;25,"18-24",IF(B14&lt;35,"25-34",IF(B14&lt;45,"35-44","45+")))))</f>
        <v>25-34</v>
      </c>
      <c r="D14" s="37" t="s">
        <v>145</v>
      </c>
      <c r="E14" s="37" t="s">
        <v>69</v>
      </c>
      <c r="F14" s="37" t="s">
        <v>48</v>
      </c>
      <c r="G14" s="37" t="s">
        <v>139</v>
      </c>
      <c r="H14" s="37" t="s">
        <v>175</v>
      </c>
      <c r="I14" s="37" t="s">
        <v>93</v>
      </c>
      <c r="J14" s="38" t="n">
        <v>3307</v>
      </c>
      <c r="K14" s="37" t="s">
        <v>25</v>
      </c>
      <c r="L14" s="37" t="s">
        <v>37</v>
      </c>
      <c r="M14" s="39" t="n">
        <v>0.8</v>
      </c>
      <c r="N14" s="39" t="n">
        <v>8</v>
      </c>
      <c r="O14" s="40" t="n">
        <f aca="false">IF(OR(M14="",N14=""),"",M14/N14)</f>
        <v>0.1</v>
      </c>
      <c r="P14" s="41" t="n">
        <v>10</v>
      </c>
      <c r="Q14" s="37" t="str">
        <f aca="false">IF(P14="","",IF(P14=0,"Free","Paid"))</f>
        <v>Paid</v>
      </c>
      <c r="R14" s="39" t="n">
        <v>2.3</v>
      </c>
      <c r="S14" s="37" t="n">
        <v>4</v>
      </c>
      <c r="T14" s="37" t="n">
        <v>4</v>
      </c>
      <c r="U14" s="39" t="n">
        <v>0.5</v>
      </c>
      <c r="V14" s="42" t="n">
        <f aca="false">IF(OR(U14="",M14="",M14=0),"",U14/(M14*7))</f>
        <v>0.0892857142857143</v>
      </c>
      <c r="W14" s="37" t="s">
        <v>89</v>
      </c>
      <c r="X14" s="37"/>
      <c r="Y14" s="37" t="s">
        <v>176</v>
      </c>
    </row>
    <row r="15" customFormat="false" ht="15" hidden="false" customHeight="false" outlineLevel="0" collapsed="false">
      <c r="A15" s="37" t="s">
        <v>177</v>
      </c>
      <c r="B15" s="37" t="n">
        <v>21</v>
      </c>
      <c r="C15" s="37" t="str">
        <f aca="false">IF(B15="","",IF(B15&lt;18,"Under 18",IF(B15&lt;25,"18-24",IF(B15&lt;35,"25-34",IF(B15&lt;45,"35-44","45+")))))</f>
        <v>18-24</v>
      </c>
      <c r="D15" s="37" t="s">
        <v>145</v>
      </c>
      <c r="E15" s="37" t="s">
        <v>64</v>
      </c>
      <c r="F15" s="37" t="s">
        <v>47</v>
      </c>
      <c r="G15" s="37" t="s">
        <v>149</v>
      </c>
      <c r="H15" s="37" t="s">
        <v>178</v>
      </c>
      <c r="I15" s="37" t="s">
        <v>93</v>
      </c>
      <c r="J15" s="38" t="n">
        <v>387</v>
      </c>
      <c r="K15" s="37" t="s">
        <v>25</v>
      </c>
      <c r="L15" s="37" t="s">
        <v>37</v>
      </c>
      <c r="M15" s="39" t="n">
        <v>5.8</v>
      </c>
      <c r="N15" s="39" t="n">
        <v>4.8</v>
      </c>
      <c r="O15" s="40" t="n">
        <f aca="false">IF(OR(M15="",N15=""),"",M15/N15)</f>
        <v>1.20833333333333</v>
      </c>
      <c r="P15" s="41" t="n">
        <v>30</v>
      </c>
      <c r="Q15" s="37" t="str">
        <f aca="false">IF(P15="","",IF(P15=0,"Free","Paid"))</f>
        <v>Paid</v>
      </c>
      <c r="R15" s="39" t="n">
        <v>6.9</v>
      </c>
      <c r="S15" s="37" t="n">
        <v>4</v>
      </c>
      <c r="T15" s="37" t="n">
        <v>8</v>
      </c>
      <c r="U15" s="39" t="n">
        <v>10.2</v>
      </c>
      <c r="V15" s="42" t="n">
        <f aca="false">IF(OR(U15="",M15="",M15=0),"",U15/(M15*7))</f>
        <v>0.251231527093596</v>
      </c>
      <c r="W15" s="37" t="s">
        <v>87</v>
      </c>
      <c r="X15" s="37" t="s">
        <v>179</v>
      </c>
      <c r="Y15" s="37" t="s">
        <v>180</v>
      </c>
    </row>
    <row r="16" customFormat="false" ht="15" hidden="false" customHeight="false" outlineLevel="0" collapsed="false">
      <c r="A16" s="37" t="s">
        <v>181</v>
      </c>
      <c r="B16" s="37" t="n">
        <v>28</v>
      </c>
      <c r="C16" s="37" t="str">
        <f aca="false">IF(B16="","",IF(B16&lt;18,"Under 18",IF(B16&lt;25,"18-24",IF(B16&lt;35,"25-34",IF(B16&lt;45,"35-44","45+")))))</f>
        <v>25-34</v>
      </c>
      <c r="D16" s="37" t="s">
        <v>134</v>
      </c>
      <c r="E16" s="37" t="s">
        <v>66</v>
      </c>
      <c r="F16" s="37" t="s">
        <v>48</v>
      </c>
      <c r="G16" s="37" t="s">
        <v>139</v>
      </c>
      <c r="H16" s="37" t="s">
        <v>182</v>
      </c>
      <c r="I16" s="37" t="s">
        <v>94</v>
      </c>
      <c r="J16" s="38" t="n">
        <v>3117</v>
      </c>
      <c r="K16" s="37" t="s">
        <v>28</v>
      </c>
      <c r="L16" s="37" t="s">
        <v>42</v>
      </c>
      <c r="M16" s="39" t="n">
        <v>3.9</v>
      </c>
      <c r="N16" s="39" t="n">
        <v>7.6</v>
      </c>
      <c r="O16" s="40" t="n">
        <f aca="false">IF(OR(M16="",N16=""),"",M16/N16)</f>
        <v>0.513157894736842</v>
      </c>
      <c r="P16" s="41" t="n">
        <v>10</v>
      </c>
      <c r="Q16" s="37" t="str">
        <f aca="false">IF(P16="","",IF(P16=0,"Free","Paid"))</f>
        <v>Paid</v>
      </c>
      <c r="R16" s="39" t="n">
        <v>8.6</v>
      </c>
      <c r="S16" s="37" t="n">
        <v>3</v>
      </c>
      <c r="T16" s="37" t="n">
        <v>8</v>
      </c>
      <c r="U16" s="39" t="n">
        <v>11.8</v>
      </c>
      <c r="V16" s="42" t="n">
        <f aca="false">IF(OR(U16="",M16="",M16=0),"",U16/(M16*7))</f>
        <v>0.432234432234432</v>
      </c>
      <c r="W16" s="37" t="s">
        <v>87</v>
      </c>
      <c r="X16" s="37"/>
      <c r="Y16" s="37" t="s">
        <v>183</v>
      </c>
    </row>
    <row r="17" customFormat="false" ht="15" hidden="false" customHeight="false" outlineLevel="0" collapsed="false">
      <c r="A17" s="37" t="s">
        <v>184</v>
      </c>
      <c r="B17" s="37" t="n">
        <v>16</v>
      </c>
      <c r="C17" s="37" t="str">
        <f aca="false">IF(B17="","",IF(B17&lt;18,"Under 18",IF(B17&lt;25,"18-24",IF(B17&lt;35,"25-34",IF(B17&lt;45,"35-44","45+")))))</f>
        <v>Under 18</v>
      </c>
      <c r="D17" s="37" t="s">
        <v>145</v>
      </c>
      <c r="E17" s="37" t="s">
        <v>64</v>
      </c>
      <c r="F17" s="37" t="s">
        <v>47</v>
      </c>
      <c r="G17" s="37" t="s">
        <v>135</v>
      </c>
      <c r="H17" s="37"/>
      <c r="I17" s="37"/>
      <c r="J17" s="38" t="n">
        <v>324</v>
      </c>
      <c r="K17" s="37" t="s">
        <v>27</v>
      </c>
      <c r="L17" s="37" t="s">
        <v>37</v>
      </c>
      <c r="M17" s="39" t="n">
        <v>7.1</v>
      </c>
      <c r="N17" s="39" t="n">
        <v>3</v>
      </c>
      <c r="O17" s="40" t="n">
        <f aca="false">IF(OR(M17="",N17=""),"",M17/N17)</f>
        <v>2.36666666666667</v>
      </c>
      <c r="P17" s="41" t="n">
        <v>20</v>
      </c>
      <c r="Q17" s="37" t="str">
        <f aca="false">IF(P17="","",IF(P17=0,"Free","Paid"))</f>
        <v>Paid</v>
      </c>
      <c r="R17" s="39"/>
      <c r="S17" s="37" t="n">
        <v>2</v>
      </c>
      <c r="T17" s="37" t="n">
        <v>5</v>
      </c>
      <c r="U17" s="39" t="n">
        <v>11.6</v>
      </c>
      <c r="V17" s="42" t="n">
        <f aca="false">IF(OR(U17="",M17="",M17=0),"",U17/(M17*7))</f>
        <v>0.233400402414487</v>
      </c>
      <c r="W17" s="37" t="s">
        <v>89</v>
      </c>
      <c r="X17" s="37" t="s">
        <v>179</v>
      </c>
      <c r="Y17" s="37"/>
    </row>
    <row r="18" customFormat="false" ht="15" hidden="false" customHeight="false" outlineLevel="0" collapsed="false">
      <c r="A18" s="37" t="s">
        <v>185</v>
      </c>
      <c r="B18" s="37" t="n">
        <v>22</v>
      </c>
      <c r="C18" s="37" t="str">
        <f aca="false">IF(B18="","",IF(B18&lt;18,"Under 18",IF(B18&lt;25,"18-24",IF(B18&lt;35,"25-34",IF(B18&lt;45,"35-44","45+")))))</f>
        <v>18-24</v>
      </c>
      <c r="D18" s="37" t="s">
        <v>134</v>
      </c>
      <c r="E18" s="37" t="s">
        <v>64</v>
      </c>
      <c r="F18" s="37" t="s">
        <v>48</v>
      </c>
      <c r="G18" s="37" t="s">
        <v>160</v>
      </c>
      <c r="H18" s="37" t="s">
        <v>186</v>
      </c>
      <c r="I18" s="37" t="s">
        <v>43</v>
      </c>
      <c r="J18" s="38" t="n">
        <v>3546</v>
      </c>
      <c r="K18" s="37" t="s">
        <v>29</v>
      </c>
      <c r="L18" s="37" t="s">
        <v>43</v>
      </c>
      <c r="M18" s="39" t="n">
        <v>1.7</v>
      </c>
      <c r="N18" s="39" t="n">
        <v>6.7</v>
      </c>
      <c r="O18" s="40" t="n">
        <f aca="false">IF(OR(M18="",N18=""),"",M18/N18)</f>
        <v>0.253731343283582</v>
      </c>
      <c r="P18" s="41" t="n">
        <v>0</v>
      </c>
      <c r="Q18" s="37" t="str">
        <f aca="false">IF(P18="","",IF(P18=0,"Free","Paid"))</f>
        <v>Free</v>
      </c>
      <c r="R18" s="39" t="n">
        <v>7</v>
      </c>
      <c r="S18" s="37" t="n">
        <v>4</v>
      </c>
      <c r="T18" s="37" t="n">
        <v>7</v>
      </c>
      <c r="U18" s="39" t="n">
        <v>3.4</v>
      </c>
      <c r="V18" s="42" t="n">
        <f aca="false">IF(OR(U18="",M18="",M18=0),"",U18/(M18*7))</f>
        <v>0.285714285714286</v>
      </c>
      <c r="W18" s="37" t="s">
        <v>87</v>
      </c>
      <c r="X18" s="37"/>
      <c r="Y18" s="37" t="s">
        <v>187</v>
      </c>
    </row>
    <row r="19" customFormat="false" ht="15" hidden="false" customHeight="false" outlineLevel="0" collapsed="false">
      <c r="A19" s="37" t="s">
        <v>188</v>
      </c>
      <c r="B19" s="37" t="n">
        <v>23</v>
      </c>
      <c r="C19" s="37" t="str">
        <f aca="false">IF(B19="","",IF(B19&lt;18,"Under 18",IF(B19&lt;25,"18-24",IF(B19&lt;35,"25-34",IF(B19&lt;45,"35-44","45+")))))</f>
        <v>18-24</v>
      </c>
      <c r="D19" s="37" t="s">
        <v>134</v>
      </c>
      <c r="E19" s="37" t="s">
        <v>62</v>
      </c>
      <c r="F19" s="37" t="s">
        <v>47</v>
      </c>
      <c r="G19" s="37" t="s">
        <v>135</v>
      </c>
      <c r="H19" s="37" t="s">
        <v>189</v>
      </c>
      <c r="I19" s="37" t="s">
        <v>92</v>
      </c>
      <c r="J19" s="38" t="n">
        <v>109</v>
      </c>
      <c r="K19" s="37" t="s">
        <v>26</v>
      </c>
      <c r="L19" s="37" t="s">
        <v>38</v>
      </c>
      <c r="M19" s="39" t="n">
        <v>1.5</v>
      </c>
      <c r="N19" s="39" t="n">
        <v>3.9</v>
      </c>
      <c r="O19" s="40" t="n">
        <f aca="false">IF(OR(M19="",N19=""),"",M19/N19)</f>
        <v>0.384615384615385</v>
      </c>
      <c r="P19" s="41" t="n">
        <v>20</v>
      </c>
      <c r="Q19" s="37" t="str">
        <f aca="false">IF(P19="","",IF(P19=0,"Free","Paid"))</f>
        <v>Paid</v>
      </c>
      <c r="R19" s="39" t="n">
        <v>3.9</v>
      </c>
      <c r="S19" s="37" t="n">
        <v>3</v>
      </c>
      <c r="T19" s="37" t="n">
        <v>6</v>
      </c>
      <c r="U19" s="39" t="n">
        <v>3.7</v>
      </c>
      <c r="V19" s="42" t="n">
        <f aca="false">IF(OR(U19="",M19="",M19=0),"",U19/(M19*7))</f>
        <v>0.352380952380952</v>
      </c>
      <c r="W19" s="37" t="s">
        <v>87</v>
      </c>
      <c r="X19" s="37"/>
      <c r="Y19" s="37" t="s">
        <v>190</v>
      </c>
    </row>
    <row r="20" customFormat="false" ht="15" hidden="false" customHeight="false" outlineLevel="0" collapsed="false">
      <c r="A20" s="37" t="s">
        <v>191</v>
      </c>
      <c r="B20" s="37" t="n">
        <v>22</v>
      </c>
      <c r="C20" s="37" t="str">
        <f aca="false">IF(B20="","",IF(B20&lt;18,"Under 18",IF(B20&lt;25,"18-24",IF(B20&lt;35,"25-34",IF(B20&lt;45,"35-44","45+")))))</f>
        <v>18-24</v>
      </c>
      <c r="D20" s="37" t="s">
        <v>134</v>
      </c>
      <c r="E20" s="37" t="s">
        <v>192</v>
      </c>
      <c r="F20" s="37" t="s">
        <v>47</v>
      </c>
      <c r="G20" s="37" t="s">
        <v>160</v>
      </c>
      <c r="H20" s="37" t="s">
        <v>150</v>
      </c>
      <c r="I20" s="37" t="s">
        <v>95</v>
      </c>
      <c r="J20" s="38" t="n">
        <v>109</v>
      </c>
      <c r="K20" s="37" t="s">
        <v>25</v>
      </c>
      <c r="L20" s="37" t="s">
        <v>40</v>
      </c>
      <c r="M20" s="39" t="n">
        <v>9.6</v>
      </c>
      <c r="N20" s="39" t="n">
        <v>5.2</v>
      </c>
      <c r="O20" s="40" t="n">
        <f aca="false">IF(OR(M20="",N20=""),"",M20/N20)</f>
        <v>1.84615384615385</v>
      </c>
      <c r="P20" s="41" t="n">
        <v>20</v>
      </c>
      <c r="Q20" s="37" t="str">
        <f aca="false">IF(P20="","",IF(P20=0,"Free","Paid"))</f>
        <v>Paid</v>
      </c>
      <c r="R20" s="39" t="n">
        <v>7.3</v>
      </c>
      <c r="S20" s="37" t="n">
        <v>4</v>
      </c>
      <c r="T20" s="37" t="n">
        <v>9</v>
      </c>
      <c r="U20" s="39" t="n">
        <v>19.4</v>
      </c>
      <c r="V20" s="42" t="n">
        <f aca="false">IF(OR(U20="",M20="",M20=0),"",U20/(M20*7))</f>
        <v>0.288690476190476</v>
      </c>
      <c r="W20" s="37" t="s">
        <v>87</v>
      </c>
      <c r="X20" s="37" t="s">
        <v>179</v>
      </c>
      <c r="Y20" s="37" t="s">
        <v>193</v>
      </c>
    </row>
    <row r="21" customFormat="false" ht="15" hidden="false" customHeight="false" outlineLevel="0" collapsed="false">
      <c r="A21" s="37" t="s">
        <v>194</v>
      </c>
      <c r="B21" s="37" t="n">
        <v>61</v>
      </c>
      <c r="C21" s="37" t="str">
        <f aca="false">IF(B21="","",IF(B21&lt;18,"Under 18",IF(B21&lt;25,"18-24",IF(B21&lt;35,"25-34",IF(B21&lt;45,"35-44","45+")))))</f>
        <v>45+</v>
      </c>
      <c r="D21" s="37" t="s">
        <v>145</v>
      </c>
      <c r="E21" s="37" t="s">
        <v>70</v>
      </c>
      <c r="F21" s="37" t="s">
        <v>48</v>
      </c>
      <c r="G21" s="37" t="s">
        <v>195</v>
      </c>
      <c r="H21" s="37" t="s">
        <v>196</v>
      </c>
      <c r="I21" s="37" t="s">
        <v>95</v>
      </c>
      <c r="J21" s="38" t="n">
        <v>585</v>
      </c>
      <c r="K21" s="37" t="s">
        <v>26</v>
      </c>
      <c r="L21" s="37" t="s">
        <v>40</v>
      </c>
      <c r="M21" s="39"/>
      <c r="N21" s="39" t="n">
        <v>9.5</v>
      </c>
      <c r="O21" s="40" t="str">
        <f aca="false">IF(OR(M21="",N21=""),"",M21/N21)</f>
        <v/>
      </c>
      <c r="P21" s="41" t="n">
        <v>10</v>
      </c>
      <c r="Q21" s="37" t="str">
        <f aca="false">IF(P21="","",IF(P21=0,"Free","Paid"))</f>
        <v>Paid</v>
      </c>
      <c r="R21" s="39" t="n">
        <v>4.1</v>
      </c>
      <c r="S21" s="37" t="n">
        <v>3</v>
      </c>
      <c r="T21" s="37" t="n">
        <v>4</v>
      </c>
      <c r="U21" s="39" t="n">
        <v>5.4</v>
      </c>
      <c r="V21" s="42" t="str">
        <f aca="false">IF(OR(U21="",M21="",M21=0),"",U21/(M21*7))</f>
        <v/>
      </c>
      <c r="W21" s="37" t="s">
        <v>89</v>
      </c>
      <c r="X21" s="37" t="s">
        <v>197</v>
      </c>
      <c r="Y21" s="37" t="s">
        <v>198</v>
      </c>
    </row>
    <row r="22" customFormat="false" ht="15" hidden="false" customHeight="false" outlineLevel="0" collapsed="false">
      <c r="A22" s="37" t="s">
        <v>199</v>
      </c>
      <c r="B22" s="37" t="n">
        <v>24</v>
      </c>
      <c r="C22" s="37" t="str">
        <f aca="false">IF(B22="","",IF(B22&lt;18,"Under 18",IF(B22&lt;25,"18-24",IF(B22&lt;35,"25-34",IF(B22&lt;45,"35-44","45+")))))</f>
        <v>18-24</v>
      </c>
      <c r="D22" s="37" t="s">
        <v>134</v>
      </c>
      <c r="E22" s="37" t="s">
        <v>62</v>
      </c>
      <c r="F22" s="37" t="s">
        <v>48</v>
      </c>
      <c r="G22" s="37" t="s">
        <v>195</v>
      </c>
      <c r="H22" s="37" t="s">
        <v>200</v>
      </c>
      <c r="I22" s="37" t="s">
        <v>43</v>
      </c>
      <c r="J22" s="38" t="n">
        <v>1977</v>
      </c>
      <c r="K22" s="37" t="s">
        <v>25</v>
      </c>
      <c r="L22" s="37" t="s">
        <v>43</v>
      </c>
      <c r="M22" s="39" t="n">
        <v>0.9</v>
      </c>
      <c r="N22" s="39" t="n">
        <v>7.3</v>
      </c>
      <c r="O22" s="40" t="n">
        <f aca="false">IF(OR(M22="",N22=""),"",M22/N22)</f>
        <v>0.123287671232877</v>
      </c>
      <c r="P22" s="41" t="n">
        <v>10</v>
      </c>
      <c r="Q22" s="37" t="str">
        <f aca="false">IF(P22="","",IF(P22=0,"Free","Paid"))</f>
        <v>Paid</v>
      </c>
      <c r="R22" s="39" t="n">
        <v>4.1</v>
      </c>
      <c r="S22" s="37" t="n">
        <v>3</v>
      </c>
      <c r="T22" s="37" t="n">
        <v>6</v>
      </c>
      <c r="U22" s="39" t="n">
        <v>0</v>
      </c>
      <c r="V22" s="42" t="n">
        <f aca="false">IF(OR(U22="",M22="",M22=0),"",U22/(M22*7))</f>
        <v>0</v>
      </c>
      <c r="W22" s="37" t="s">
        <v>88</v>
      </c>
      <c r="X22" s="37"/>
      <c r="Y22" s="37" t="s">
        <v>201</v>
      </c>
    </row>
    <row r="23" customFormat="false" ht="15" hidden="false" customHeight="false" outlineLevel="0" collapsed="false">
      <c r="A23" s="37" t="s">
        <v>202</v>
      </c>
      <c r="B23" s="37" t="n">
        <v>23</v>
      </c>
      <c r="C23" s="37" t="str">
        <f aca="false">IF(B23="","",IF(B23&lt;18,"Under 18",IF(B23&lt;25,"18-24",IF(B23&lt;35,"25-34",IF(B23&lt;45,"35-44","45+")))))</f>
        <v>18-24</v>
      </c>
      <c r="D23" s="37" t="s">
        <v>134</v>
      </c>
      <c r="E23" s="37" t="s">
        <v>65</v>
      </c>
      <c r="F23" s="37" t="s">
        <v>47</v>
      </c>
      <c r="G23" s="37" t="s">
        <v>135</v>
      </c>
      <c r="H23" s="37" t="s">
        <v>189</v>
      </c>
      <c r="I23" s="37" t="s">
        <v>92</v>
      </c>
      <c r="J23" s="38" t="n">
        <v>0</v>
      </c>
      <c r="K23" s="37" t="s">
        <v>25</v>
      </c>
      <c r="L23" s="37" t="s">
        <v>38</v>
      </c>
      <c r="M23" s="39" t="n">
        <v>1.7</v>
      </c>
      <c r="N23" s="39" t="n">
        <v>5.4</v>
      </c>
      <c r="O23" s="40" t="n">
        <f aca="false">IF(OR(M23="",N23=""),"",M23/N23)</f>
        <v>0.314814814814815</v>
      </c>
      <c r="P23" s="41" t="n">
        <v>20</v>
      </c>
      <c r="Q23" s="37" t="str">
        <f aca="false">IF(P23="","",IF(P23=0,"Free","Paid"))</f>
        <v>Paid</v>
      </c>
      <c r="R23" s="39" t="n">
        <v>2.8</v>
      </c>
      <c r="S23" s="37" t="n">
        <v>2</v>
      </c>
      <c r="T23" s="37" t="n">
        <v>3</v>
      </c>
      <c r="U23" s="39" t="n">
        <v>2.7</v>
      </c>
      <c r="V23" s="42" t="n">
        <f aca="false">IF(OR(U23="",M23="",M23=0),"",U23/(M23*7))</f>
        <v>0.226890756302521</v>
      </c>
      <c r="W23" s="37" t="s">
        <v>89</v>
      </c>
      <c r="X23" s="37"/>
      <c r="Y23" s="37" t="s">
        <v>203</v>
      </c>
    </row>
    <row r="24" customFormat="false" ht="15" hidden="false" customHeight="false" outlineLevel="0" collapsed="false">
      <c r="A24" s="37" t="s">
        <v>204</v>
      </c>
      <c r="B24" s="37" t="n">
        <v>29</v>
      </c>
      <c r="C24" s="37" t="str">
        <f aca="false">IF(B24="","",IF(B24&lt;18,"Under 18",IF(B24&lt;25,"18-24",IF(B24&lt;35,"25-34",IF(B24&lt;45,"35-44","45+")))))</f>
        <v>25-34</v>
      </c>
      <c r="D24" s="37" t="s">
        <v>145</v>
      </c>
      <c r="E24" s="37" t="s">
        <v>71</v>
      </c>
      <c r="F24" s="37" t="s">
        <v>48</v>
      </c>
      <c r="G24" s="37" t="s">
        <v>139</v>
      </c>
      <c r="H24" s="37" t="s">
        <v>205</v>
      </c>
      <c r="I24" s="37" t="s">
        <v>43</v>
      </c>
      <c r="J24" s="38"/>
      <c r="K24" s="37" t="s">
        <v>25</v>
      </c>
      <c r="L24" s="37" t="s">
        <v>43</v>
      </c>
      <c r="M24" s="39" t="n">
        <v>1</v>
      </c>
      <c r="N24" s="39" t="n">
        <v>8</v>
      </c>
      <c r="O24" s="40" t="n">
        <f aca="false">IF(OR(M24="",N24=""),"",M24/N24)</f>
        <v>0.125</v>
      </c>
      <c r="P24" s="41"/>
      <c r="Q24" s="37" t="str">
        <f aca="false">IF(P24="","",IF(P24=0,"Free","Paid"))</f>
        <v/>
      </c>
      <c r="R24" s="39" t="n">
        <v>4</v>
      </c>
      <c r="S24" s="37" t="n">
        <v>3</v>
      </c>
      <c r="T24" s="37" t="n">
        <v>6</v>
      </c>
      <c r="U24" s="39" t="n">
        <v>2.7</v>
      </c>
      <c r="V24" s="42" t="n">
        <f aca="false">IF(OR(U24="",M24="",M24=0),"",U24/(M24*7))</f>
        <v>0.385714285714286</v>
      </c>
      <c r="W24" s="37" t="s">
        <v>88</v>
      </c>
      <c r="X24" s="37"/>
      <c r="Y24" s="37"/>
    </row>
    <row r="25" customFormat="false" ht="15" hidden="false" customHeight="false" outlineLevel="0" collapsed="false">
      <c r="A25" s="37" t="s">
        <v>206</v>
      </c>
      <c r="B25" s="37" t="n">
        <v>29</v>
      </c>
      <c r="C25" s="37" t="str">
        <f aca="false">IF(B25="","",IF(B25&lt;18,"Under 18",IF(B25&lt;25,"18-24",IF(B25&lt;35,"25-34",IF(B25&lt;45,"35-44","45+")))))</f>
        <v>25-34</v>
      </c>
      <c r="D25" s="37"/>
      <c r="E25" s="37" t="s">
        <v>66</v>
      </c>
      <c r="F25" s="37" t="s">
        <v>47</v>
      </c>
      <c r="G25" s="37" t="s">
        <v>160</v>
      </c>
      <c r="H25" s="37" t="s">
        <v>143</v>
      </c>
      <c r="I25" s="37" t="s">
        <v>93</v>
      </c>
      <c r="J25" s="38" t="n">
        <v>0</v>
      </c>
      <c r="K25" s="37" t="s">
        <v>30</v>
      </c>
      <c r="L25" s="37" t="s">
        <v>37</v>
      </c>
      <c r="M25" s="39" t="n">
        <v>2.6</v>
      </c>
      <c r="N25" s="39" t="n">
        <v>6.2</v>
      </c>
      <c r="O25" s="40" t="n">
        <f aca="false">IF(OR(M25="",N25=""),"",M25/N25)</f>
        <v>0.419354838709677</v>
      </c>
      <c r="P25" s="41" t="n">
        <v>10</v>
      </c>
      <c r="Q25" s="37" t="str">
        <f aca="false">IF(P25="","",IF(P25=0,"Free","Paid"))</f>
        <v>Paid</v>
      </c>
      <c r="R25" s="39" t="n">
        <v>3.7</v>
      </c>
      <c r="S25" s="37" t="n">
        <v>4</v>
      </c>
      <c r="T25" s="37" t="n">
        <v>7</v>
      </c>
      <c r="U25" s="39" t="n">
        <v>4.8</v>
      </c>
      <c r="V25" s="42" t="n">
        <f aca="false">IF(OR(U25="",M25="",M25=0),"",U25/(M25*7))</f>
        <v>0.263736263736264</v>
      </c>
      <c r="W25" s="37" t="s">
        <v>87</v>
      </c>
      <c r="X25" s="37"/>
      <c r="Y25" s="37" t="s">
        <v>207</v>
      </c>
    </row>
    <row r="26" customFormat="false" ht="15" hidden="false" customHeight="false" outlineLevel="0" collapsed="false">
      <c r="A26" s="37" t="s">
        <v>208</v>
      </c>
      <c r="B26" s="37" t="n">
        <v>24</v>
      </c>
      <c r="C26" s="37" t="str">
        <f aca="false">IF(B26="","",IF(B26&lt;18,"Under 18",IF(B26&lt;25,"18-24",IF(B26&lt;35,"25-34",IF(B26&lt;45,"35-44","45+")))))</f>
        <v>18-24</v>
      </c>
      <c r="D26" s="37" t="s">
        <v>134</v>
      </c>
      <c r="E26" s="37" t="s">
        <v>66</v>
      </c>
      <c r="F26" s="37" t="s">
        <v>47</v>
      </c>
      <c r="G26" s="37"/>
      <c r="H26" s="37" t="s">
        <v>172</v>
      </c>
      <c r="I26" s="37" t="s">
        <v>96</v>
      </c>
      <c r="J26" s="38" t="n">
        <v>444</v>
      </c>
      <c r="K26" s="37" t="s">
        <v>26</v>
      </c>
      <c r="L26" s="37" t="s">
        <v>39</v>
      </c>
      <c r="M26" s="39" t="n">
        <v>1.2</v>
      </c>
      <c r="N26" s="39" t="n">
        <v>7.2</v>
      </c>
      <c r="O26" s="40" t="n">
        <f aca="false">IF(OR(M26="",N26=""),"",M26/N26)</f>
        <v>0.166666666666667</v>
      </c>
      <c r="P26" s="41" t="n">
        <v>0</v>
      </c>
      <c r="Q26" s="37" t="str">
        <f aca="false">IF(P26="","",IF(P26=0,"Free","Paid"))</f>
        <v>Free</v>
      </c>
      <c r="R26" s="39" t="n">
        <v>3.8</v>
      </c>
      <c r="S26" s="37" t="n">
        <v>3</v>
      </c>
      <c r="T26" s="37" t="n">
        <v>5</v>
      </c>
      <c r="U26" s="39" t="n">
        <v>3</v>
      </c>
      <c r="V26" s="42" t="n">
        <f aca="false">IF(OR(U26="",M26="",M26=0),"",U26/(M26*7))</f>
        <v>0.357142857142857</v>
      </c>
      <c r="W26" s="37" t="s">
        <v>89</v>
      </c>
      <c r="X26" s="37"/>
      <c r="Y26" s="37" t="s">
        <v>209</v>
      </c>
    </row>
    <row r="27" customFormat="false" ht="15" hidden="false" customHeight="false" outlineLevel="0" collapsed="false">
      <c r="A27" s="37" t="s">
        <v>210</v>
      </c>
      <c r="B27" s="37" t="n">
        <v>28</v>
      </c>
      <c r="C27" s="37" t="str">
        <f aca="false">IF(B27="","",IF(B27&lt;18,"Under 18",IF(B27&lt;25,"18-24",IF(B27&lt;35,"25-34",IF(B27&lt;45,"35-44","45+")))))</f>
        <v>25-34</v>
      </c>
      <c r="D27" s="37" t="s">
        <v>145</v>
      </c>
      <c r="E27" s="37" t="s">
        <v>68</v>
      </c>
      <c r="F27" s="37" t="s">
        <v>48</v>
      </c>
      <c r="G27" s="37" t="s">
        <v>139</v>
      </c>
      <c r="H27" s="37" t="s">
        <v>211</v>
      </c>
      <c r="I27" s="37" t="s">
        <v>92</v>
      </c>
      <c r="J27" s="38" t="n">
        <v>392</v>
      </c>
      <c r="K27" s="37" t="s">
        <v>25</v>
      </c>
      <c r="L27" s="37" t="s">
        <v>41</v>
      </c>
      <c r="M27" s="39" t="n">
        <v>1.6</v>
      </c>
      <c r="N27" s="39" t="n">
        <v>7.8</v>
      </c>
      <c r="O27" s="40" t="n">
        <f aca="false">IF(OR(M27="",N27=""),"",M27/N27)</f>
        <v>0.205128205128205</v>
      </c>
      <c r="P27" s="41" t="n">
        <v>10</v>
      </c>
      <c r="Q27" s="37" t="str">
        <f aca="false">IF(P27="","",IF(P27=0,"Free","Paid"))</f>
        <v>Paid</v>
      </c>
      <c r="R27" s="39" t="n">
        <v>4</v>
      </c>
      <c r="S27" s="37" t="n">
        <v>2</v>
      </c>
      <c r="T27" s="37" t="n">
        <v>3</v>
      </c>
      <c r="U27" s="39" t="n">
        <v>4.5</v>
      </c>
      <c r="V27" s="42" t="n">
        <f aca="false">IF(OR(U27="",M27="",M27=0),"",U27/(M27*7))</f>
        <v>0.401785714285714</v>
      </c>
      <c r="W27" s="37" t="s">
        <v>87</v>
      </c>
      <c r="X27" s="37"/>
      <c r="Y27" s="37" t="s">
        <v>212</v>
      </c>
    </row>
    <row r="28" customFormat="false" ht="15" hidden="false" customHeight="false" outlineLevel="0" collapsed="false">
      <c r="A28" s="37" t="s">
        <v>213</v>
      </c>
      <c r="B28" s="37" t="n">
        <v>23</v>
      </c>
      <c r="C28" s="37" t="str">
        <f aca="false">IF(B28="","",IF(B28&lt;18,"Under 18",IF(B28&lt;25,"18-24",IF(B28&lt;35,"25-34",IF(B28&lt;45,"35-44","45+")))))</f>
        <v>18-24</v>
      </c>
      <c r="D28" s="37" t="s">
        <v>134</v>
      </c>
      <c r="E28" s="37" t="s">
        <v>67</v>
      </c>
      <c r="F28" s="37" t="s">
        <v>47</v>
      </c>
      <c r="G28" s="37" t="s">
        <v>149</v>
      </c>
      <c r="H28" s="37" t="s">
        <v>143</v>
      </c>
      <c r="I28" s="37" t="s">
        <v>93</v>
      </c>
      <c r="J28" s="38" t="n">
        <v>215</v>
      </c>
      <c r="K28" s="37" t="s">
        <v>25</v>
      </c>
      <c r="L28" s="37" t="s">
        <v>37</v>
      </c>
      <c r="M28" s="39" t="n">
        <v>0.6</v>
      </c>
      <c r="N28" s="39" t="n">
        <v>6.5</v>
      </c>
      <c r="O28" s="40" t="n">
        <f aca="false">IF(OR(M28="",N28=""),"",M28/N28)</f>
        <v>0.0923076923076923</v>
      </c>
      <c r="P28" s="41" t="n">
        <v>10</v>
      </c>
      <c r="Q28" s="37" t="str">
        <f aca="false">IF(P28="","",IF(P28=0,"Free","Paid"))</f>
        <v>Paid</v>
      </c>
      <c r="R28" s="39" t="n">
        <v>3</v>
      </c>
      <c r="S28" s="37" t="n">
        <v>4</v>
      </c>
      <c r="T28" s="37" t="n">
        <v>5</v>
      </c>
      <c r="U28" s="39" t="n">
        <v>0</v>
      </c>
      <c r="V28" s="42" t="n">
        <f aca="false">IF(OR(U28="",M28="",M28=0),"",U28/(M28*7))</f>
        <v>0</v>
      </c>
      <c r="W28" s="37" t="s">
        <v>89</v>
      </c>
      <c r="X28" s="37"/>
      <c r="Y28" s="37" t="s">
        <v>214</v>
      </c>
    </row>
    <row r="29" customFormat="false" ht="15" hidden="false" customHeight="false" outlineLevel="0" collapsed="false">
      <c r="A29" s="37" t="s">
        <v>215</v>
      </c>
      <c r="B29" s="37" t="n">
        <v>28</v>
      </c>
      <c r="C29" s="37" t="str">
        <f aca="false">IF(B29="","",IF(B29&lt;18,"Under 18",IF(B29&lt;25,"18-24",IF(B29&lt;35,"25-34",IF(B29&lt;45,"35-44","45+")))))</f>
        <v>25-34</v>
      </c>
      <c r="D29" s="37" t="s">
        <v>134</v>
      </c>
      <c r="E29" s="37" t="s">
        <v>67</v>
      </c>
      <c r="F29" s="37" t="s">
        <v>48</v>
      </c>
      <c r="G29" s="37" t="s">
        <v>139</v>
      </c>
      <c r="H29" s="37" t="s">
        <v>216</v>
      </c>
      <c r="I29" s="37" t="s">
        <v>95</v>
      </c>
      <c r="J29" s="38" t="n">
        <v>1567</v>
      </c>
      <c r="K29" s="37" t="s">
        <v>27</v>
      </c>
      <c r="L29" s="37" t="s">
        <v>40</v>
      </c>
      <c r="M29" s="39" t="n">
        <v>0.7</v>
      </c>
      <c r="N29" s="39" t="n">
        <v>8.1</v>
      </c>
      <c r="O29" s="40" t="n">
        <f aca="false">IF(OR(M29="",N29=""),"",M29/N29)</f>
        <v>0.0864197530864198</v>
      </c>
      <c r="P29" s="41" t="n">
        <v>0</v>
      </c>
      <c r="Q29" s="37" t="str">
        <f aca="false">IF(P29="","",IF(P29=0,"Free","Paid"))</f>
        <v>Free</v>
      </c>
      <c r="R29" s="39" t="n">
        <v>4</v>
      </c>
      <c r="S29" s="37" t="n">
        <v>3</v>
      </c>
      <c r="T29" s="37" t="n">
        <v>6</v>
      </c>
      <c r="U29" s="39" t="n">
        <v>4.4</v>
      </c>
      <c r="V29" s="42" t="n">
        <f aca="false">IF(OR(U29="",M29="",M29=0),"",U29/(M29*7))</f>
        <v>0.89795918367347</v>
      </c>
      <c r="W29" s="37" t="s">
        <v>89</v>
      </c>
      <c r="X29" s="37"/>
      <c r="Y29" s="37" t="s">
        <v>217</v>
      </c>
    </row>
    <row r="30" customFormat="false" ht="15" hidden="false" customHeight="false" outlineLevel="0" collapsed="false">
      <c r="A30" s="37" t="s">
        <v>218</v>
      </c>
      <c r="B30" s="37" t="n">
        <v>23</v>
      </c>
      <c r="C30" s="37" t="str">
        <f aca="false">IF(B30="","",IF(B30&lt;18,"Under 18",IF(B30&lt;25,"18-24",IF(B30&lt;35,"25-34",IF(B30&lt;45,"35-44","45+")))))</f>
        <v>18-24</v>
      </c>
      <c r="D30" s="37" t="s">
        <v>145</v>
      </c>
      <c r="E30" s="37" t="s">
        <v>64</v>
      </c>
      <c r="F30" s="37" t="s">
        <v>47</v>
      </c>
      <c r="G30" s="37" t="s">
        <v>149</v>
      </c>
      <c r="H30" s="37" t="s">
        <v>150</v>
      </c>
      <c r="I30" s="37" t="s">
        <v>95</v>
      </c>
      <c r="J30" s="38"/>
      <c r="K30" s="37" t="s">
        <v>25</v>
      </c>
      <c r="L30" s="37" t="s">
        <v>39</v>
      </c>
      <c r="M30" s="39" t="n">
        <v>7.4</v>
      </c>
      <c r="N30" s="39" t="n">
        <v>6.8</v>
      </c>
      <c r="O30" s="40" t="n">
        <f aca="false">IF(OR(M30="",N30=""),"",M30/N30)</f>
        <v>1.08823529411765</v>
      </c>
      <c r="P30" s="41" t="n">
        <v>0</v>
      </c>
      <c r="Q30" s="37" t="str">
        <f aca="false">IF(P30="","",IF(P30=0,"Free","Paid"))</f>
        <v>Free</v>
      </c>
      <c r="R30" s="39" t="n">
        <v>8.7</v>
      </c>
      <c r="S30" s="37" t="n">
        <v>3</v>
      </c>
      <c r="T30" s="37" t="n">
        <v>9</v>
      </c>
      <c r="U30" s="39" t="n">
        <v>12.3</v>
      </c>
      <c r="V30" s="42" t="n">
        <f aca="false">IF(OR(U30="",M30="",M30=0),"",U30/(M30*7))</f>
        <v>0.237451737451737</v>
      </c>
      <c r="W30" s="37" t="s">
        <v>87</v>
      </c>
      <c r="X30" s="37" t="s">
        <v>179</v>
      </c>
      <c r="Y30" s="37" t="s">
        <v>219</v>
      </c>
    </row>
    <row r="31" customFormat="false" ht="15" hidden="false" customHeight="false" outlineLevel="0" collapsed="false">
      <c r="A31" s="37" t="s">
        <v>220</v>
      </c>
      <c r="B31" s="37"/>
      <c r="C31" s="37" t="str">
        <f aca="false">IF(B31="","",IF(B31&lt;18,"Under 18",IF(B31&lt;25,"18-24",IF(B31&lt;35,"25-34",IF(B31&lt;45,"35-44","45+")))))</f>
        <v/>
      </c>
      <c r="D31" s="37" t="s">
        <v>134</v>
      </c>
      <c r="E31" s="37" t="s">
        <v>69</v>
      </c>
      <c r="F31" s="37" t="s">
        <v>47</v>
      </c>
      <c r="G31" s="37"/>
      <c r="H31" s="37" t="s">
        <v>221</v>
      </c>
      <c r="I31" s="37" t="s">
        <v>97</v>
      </c>
      <c r="J31" s="38" t="n">
        <v>0</v>
      </c>
      <c r="K31" s="37" t="s">
        <v>25</v>
      </c>
      <c r="L31" s="37" t="s">
        <v>40</v>
      </c>
      <c r="M31" s="39" t="n">
        <v>5.4</v>
      </c>
      <c r="N31" s="39" t="n">
        <v>4.8</v>
      </c>
      <c r="O31" s="40" t="n">
        <f aca="false">IF(OR(M31="",N31=""),"",M31/N31)</f>
        <v>1.125</v>
      </c>
      <c r="P31" s="41" t="n">
        <v>0</v>
      </c>
      <c r="Q31" s="37" t="str">
        <f aca="false">IF(P31="","",IF(P31=0,"Free","Paid"))</f>
        <v>Free</v>
      </c>
      <c r="R31" s="39" t="n">
        <v>7.2</v>
      </c>
      <c r="S31" s="37" t="n">
        <v>4</v>
      </c>
      <c r="T31" s="37" t="n">
        <v>8</v>
      </c>
      <c r="U31" s="39" t="n">
        <v>10.7</v>
      </c>
      <c r="V31" s="42" t="n">
        <f aca="false">IF(OR(U31="",M31="",M31=0),"",U31/(M31*7))</f>
        <v>0.283068783068783</v>
      </c>
      <c r="W31" s="37" t="s">
        <v>89</v>
      </c>
      <c r="X31" s="37" t="s">
        <v>179</v>
      </c>
      <c r="Y31" s="37" t="s">
        <v>222</v>
      </c>
    </row>
    <row r="32" customFormat="false" ht="15" hidden="false" customHeight="false" outlineLevel="0" collapsed="false">
      <c r="A32" s="37" t="s">
        <v>223</v>
      </c>
      <c r="B32" s="37" t="n">
        <v>23</v>
      </c>
      <c r="C32" s="37" t="str">
        <f aca="false">IF(B32="","",IF(B32&lt;18,"Under 18",IF(B32&lt;25,"18-24",IF(B32&lt;35,"25-34",IF(B32&lt;45,"35-44","45+")))))</f>
        <v>18-24</v>
      </c>
      <c r="D32" s="37" t="s">
        <v>134</v>
      </c>
      <c r="E32" s="37" t="s">
        <v>69</v>
      </c>
      <c r="F32" s="37" t="s">
        <v>47</v>
      </c>
      <c r="G32" s="37" t="s">
        <v>149</v>
      </c>
      <c r="H32" s="37" t="s">
        <v>189</v>
      </c>
      <c r="I32" s="37" t="s">
        <v>92</v>
      </c>
      <c r="J32" s="38" t="n">
        <v>531</v>
      </c>
      <c r="K32" s="37" t="s">
        <v>25</v>
      </c>
      <c r="L32" s="37" t="s">
        <v>38</v>
      </c>
      <c r="M32" s="39" t="n">
        <v>5.2</v>
      </c>
      <c r="N32" s="39" t="n">
        <v>7</v>
      </c>
      <c r="O32" s="40" t="n">
        <f aca="false">IF(OR(M32="",N32=""),"",M32/N32)</f>
        <v>0.742857142857143</v>
      </c>
      <c r="P32" s="41" t="n">
        <v>0</v>
      </c>
      <c r="Q32" s="37" t="str">
        <f aca="false">IF(P32="","",IF(P32=0,"Free","Paid"))</f>
        <v>Free</v>
      </c>
      <c r="R32" s="39" t="n">
        <v>6.7</v>
      </c>
      <c r="S32" s="37"/>
      <c r="T32" s="37" t="n">
        <v>7</v>
      </c>
      <c r="U32" s="39" t="n">
        <v>12.1</v>
      </c>
      <c r="V32" s="42" t="n">
        <f aca="false">IF(OR(U32="",M32="",M32=0),"",U32/(M32*7))</f>
        <v>0.332417582417582</v>
      </c>
      <c r="W32" s="37" t="s">
        <v>87</v>
      </c>
      <c r="X32" s="37"/>
      <c r="Y32" s="37" t="s">
        <v>224</v>
      </c>
    </row>
    <row r="33" customFormat="false" ht="15" hidden="false" customHeight="false" outlineLevel="0" collapsed="false">
      <c r="A33" s="37" t="s">
        <v>225</v>
      </c>
      <c r="B33" s="37" t="n">
        <v>44</v>
      </c>
      <c r="C33" s="37" t="str">
        <f aca="false">IF(B33="","",IF(B33&lt;18,"Under 18",IF(B33&lt;25,"18-24",IF(B33&lt;35,"25-34",IF(B33&lt;45,"35-44","45+")))))</f>
        <v>35-44</v>
      </c>
      <c r="D33" s="37" t="s">
        <v>145</v>
      </c>
      <c r="E33" s="37" t="s">
        <v>192</v>
      </c>
      <c r="F33" s="37" t="s">
        <v>48</v>
      </c>
      <c r="G33" s="37" t="s">
        <v>139</v>
      </c>
      <c r="H33" s="37" t="s">
        <v>169</v>
      </c>
      <c r="I33" s="37" t="s">
        <v>94</v>
      </c>
      <c r="J33" s="38" t="n">
        <v>258</v>
      </c>
      <c r="K33" s="37" t="s">
        <v>32</v>
      </c>
      <c r="L33" s="37"/>
      <c r="M33" s="39" t="n">
        <v>3.7</v>
      </c>
      <c r="N33" s="39" t="n">
        <v>6.9</v>
      </c>
      <c r="O33" s="40" t="n">
        <f aca="false">IF(OR(M33="",N33=""),"",M33/N33)</f>
        <v>0.536231884057971</v>
      </c>
      <c r="P33" s="41" t="n">
        <v>0</v>
      </c>
      <c r="Q33" s="37" t="str">
        <f aca="false">IF(P33="","",IF(P33=0,"Free","Paid"))</f>
        <v>Free</v>
      </c>
      <c r="R33" s="39" t="n">
        <v>4.6</v>
      </c>
      <c r="S33" s="37" t="n">
        <v>5</v>
      </c>
      <c r="T33" s="37" t="n">
        <v>6</v>
      </c>
      <c r="U33" s="39" t="n">
        <v>5.7</v>
      </c>
      <c r="V33" s="42" t="n">
        <f aca="false">IF(OR(U33="",M33="",M33=0),"",U33/(M33*7))</f>
        <v>0.22007722007722</v>
      </c>
      <c r="W33" s="37" t="s">
        <v>87</v>
      </c>
      <c r="X33" s="37"/>
      <c r="Y33" s="37" t="s">
        <v>226</v>
      </c>
    </row>
    <row r="34" customFormat="false" ht="15" hidden="false" customHeight="false" outlineLevel="0" collapsed="false">
      <c r="A34" s="37" t="s">
        <v>227</v>
      </c>
      <c r="B34" s="37" t="n">
        <v>23</v>
      </c>
      <c r="C34" s="37" t="str">
        <f aca="false">IF(B34="","",IF(B34&lt;18,"Under 18",IF(B34&lt;25,"18-24",IF(B34&lt;35,"25-34",IF(B34&lt;45,"35-44","45+")))))</f>
        <v>18-24</v>
      </c>
      <c r="D34" s="37" t="s">
        <v>134</v>
      </c>
      <c r="E34" s="37" t="s">
        <v>70</v>
      </c>
      <c r="F34" s="37" t="s">
        <v>48</v>
      </c>
      <c r="G34" s="37" t="s">
        <v>195</v>
      </c>
      <c r="H34" s="37" t="s">
        <v>228</v>
      </c>
      <c r="I34" s="37" t="s">
        <v>95</v>
      </c>
      <c r="J34" s="38" t="n">
        <v>334</v>
      </c>
      <c r="K34" s="37" t="s">
        <v>25</v>
      </c>
      <c r="L34" s="37" t="s">
        <v>40</v>
      </c>
      <c r="M34" s="39" t="n">
        <v>2.3</v>
      </c>
      <c r="N34" s="39" t="n">
        <v>7.7</v>
      </c>
      <c r="O34" s="40" t="n">
        <f aca="false">IF(OR(M34="",N34=""),"",M34/N34)</f>
        <v>0.298701298701299</v>
      </c>
      <c r="P34" s="41" t="n">
        <v>20</v>
      </c>
      <c r="Q34" s="37" t="str">
        <f aca="false">IF(P34="","",IF(P34=0,"Free","Paid"))</f>
        <v>Paid</v>
      </c>
      <c r="R34" s="39" t="n">
        <v>3.9</v>
      </c>
      <c r="S34" s="37" t="n">
        <v>2</v>
      </c>
      <c r="T34" s="37" t="n">
        <v>5</v>
      </c>
      <c r="U34" s="39" t="n">
        <v>2.5</v>
      </c>
      <c r="V34" s="42" t="n">
        <f aca="false">IF(OR(U34="",M34="",M34=0),"",U34/(M34*7))</f>
        <v>0.15527950310559</v>
      </c>
      <c r="W34" s="37" t="s">
        <v>89</v>
      </c>
      <c r="X34" s="37"/>
      <c r="Y34" s="37" t="s">
        <v>229</v>
      </c>
    </row>
    <row r="35" customFormat="false" ht="15" hidden="false" customHeight="false" outlineLevel="0" collapsed="false">
      <c r="A35" s="37" t="s">
        <v>230</v>
      </c>
      <c r="B35" s="37" t="n">
        <v>23</v>
      </c>
      <c r="C35" s="37" t="str">
        <f aca="false">IF(B35="","",IF(B35&lt;18,"Under 18",IF(B35&lt;25,"18-24",IF(B35&lt;35,"25-34",IF(B35&lt;45,"35-44","45+")))))</f>
        <v>18-24</v>
      </c>
      <c r="D35" s="37" t="s">
        <v>134</v>
      </c>
      <c r="E35" s="37" t="s">
        <v>62</v>
      </c>
      <c r="F35" s="37" t="s">
        <v>47</v>
      </c>
      <c r="G35" s="37" t="s">
        <v>160</v>
      </c>
      <c r="H35" s="37" t="s">
        <v>231</v>
      </c>
      <c r="I35" s="37" t="s">
        <v>96</v>
      </c>
      <c r="J35" s="38" t="n">
        <v>169</v>
      </c>
      <c r="K35" s="37"/>
      <c r="L35" s="37" t="s">
        <v>39</v>
      </c>
      <c r="M35" s="39" t="n">
        <v>5.4</v>
      </c>
      <c r="N35" s="39" t="n">
        <v>6.9</v>
      </c>
      <c r="O35" s="40" t="n">
        <f aca="false">IF(OR(M35="",N35=""),"",M35/N35)</f>
        <v>0.782608695652174</v>
      </c>
      <c r="P35" s="41" t="n">
        <v>0</v>
      </c>
      <c r="Q35" s="37" t="str">
        <f aca="false">IF(P35="","",IF(P35=0,"Free","Paid"))</f>
        <v>Free</v>
      </c>
      <c r="R35" s="39" t="n">
        <v>8.1</v>
      </c>
      <c r="S35" s="37" t="n">
        <v>4</v>
      </c>
      <c r="T35" s="37" t="n">
        <v>9</v>
      </c>
      <c r="U35" s="39" t="n">
        <v>6.8</v>
      </c>
      <c r="V35" s="42" t="n">
        <f aca="false">IF(OR(U35="",M35="",M35=0),"",U35/(M35*7))</f>
        <v>0.17989417989418</v>
      </c>
      <c r="W35" s="37" t="s">
        <v>87</v>
      </c>
      <c r="X35" s="37"/>
      <c r="Y35" s="37" t="s">
        <v>232</v>
      </c>
    </row>
    <row r="36" customFormat="false" ht="15" hidden="false" customHeight="false" outlineLevel="0" collapsed="false">
      <c r="A36" s="37" t="s">
        <v>233</v>
      </c>
      <c r="B36" s="37" t="n">
        <v>22</v>
      </c>
      <c r="C36" s="37" t="str">
        <f aca="false">IF(B36="","",IF(B36&lt;18,"Under 18",IF(B36&lt;25,"18-24",IF(B36&lt;35,"25-34",IF(B36&lt;45,"35-44","45+")))))</f>
        <v>18-24</v>
      </c>
      <c r="D36" s="37" t="s">
        <v>134</v>
      </c>
      <c r="E36" s="37" t="s">
        <v>64</v>
      </c>
      <c r="F36" s="37" t="s">
        <v>47</v>
      </c>
      <c r="G36" s="37" t="s">
        <v>149</v>
      </c>
      <c r="H36" s="37" t="s">
        <v>172</v>
      </c>
      <c r="I36" s="37" t="s">
        <v>96</v>
      </c>
      <c r="J36" s="38" t="n">
        <v>507</v>
      </c>
      <c r="K36" s="37" t="s">
        <v>29</v>
      </c>
      <c r="L36" s="37" t="s">
        <v>39</v>
      </c>
      <c r="M36" s="39" t="n">
        <v>1.9</v>
      </c>
      <c r="N36" s="39" t="n">
        <v>4.1</v>
      </c>
      <c r="O36" s="40" t="n">
        <f aca="false">IF(OR(M36="",N36=""),"",M36/N36)</f>
        <v>0.463414634146342</v>
      </c>
      <c r="P36" s="41" t="n">
        <v>0</v>
      </c>
      <c r="Q36" s="37" t="str">
        <f aca="false">IF(P36="","",IF(P36=0,"Free","Paid"))</f>
        <v>Free</v>
      </c>
      <c r="R36" s="39" t="n">
        <v>4.6</v>
      </c>
      <c r="S36" s="37" t="n">
        <v>3</v>
      </c>
      <c r="T36" s="37" t="n">
        <v>4</v>
      </c>
      <c r="U36" s="39" t="n">
        <v>2</v>
      </c>
      <c r="V36" s="42" t="n">
        <f aca="false">IF(OR(U36="",M36="",M36=0),"",U36/(M36*7))</f>
        <v>0.150375939849624</v>
      </c>
      <c r="W36" s="37" t="s">
        <v>87</v>
      </c>
      <c r="X36" s="37"/>
      <c r="Y36" s="37" t="s">
        <v>234</v>
      </c>
    </row>
    <row r="37" customFormat="false" ht="15" hidden="false" customHeight="false" outlineLevel="0" collapsed="false">
      <c r="A37" s="37" t="s">
        <v>235</v>
      </c>
      <c r="B37" s="37" t="n">
        <v>18</v>
      </c>
      <c r="C37" s="37" t="str">
        <f aca="false">IF(B37="","",IF(B37&lt;18,"Under 18",IF(B37&lt;25,"18-24",IF(B37&lt;35,"25-34",IF(B37&lt;45,"35-44","45+")))))</f>
        <v>18-24</v>
      </c>
      <c r="D37" s="37" t="s">
        <v>134</v>
      </c>
      <c r="E37" s="37" t="s">
        <v>68</v>
      </c>
      <c r="F37" s="37" t="s">
        <v>47</v>
      </c>
      <c r="G37" s="37" t="s">
        <v>149</v>
      </c>
      <c r="H37" s="37" t="s">
        <v>236</v>
      </c>
      <c r="I37" s="37" t="s">
        <v>93</v>
      </c>
      <c r="J37" s="38" t="n">
        <v>0</v>
      </c>
      <c r="K37" s="37" t="s">
        <v>26</v>
      </c>
      <c r="L37" s="37" t="s">
        <v>39</v>
      </c>
      <c r="M37" s="39" t="n">
        <v>1.6</v>
      </c>
      <c r="N37" s="39" t="n">
        <v>3.2</v>
      </c>
      <c r="O37" s="40" t="n">
        <f aca="false">IF(OR(M37="",N37=""),"",M37/N37)</f>
        <v>0.5</v>
      </c>
      <c r="P37" s="41" t="n">
        <v>0</v>
      </c>
      <c r="Q37" s="37" t="str">
        <f aca="false">IF(P37="","",IF(P37=0,"Free","Paid"))</f>
        <v>Free</v>
      </c>
      <c r="R37" s="39" t="n">
        <v>3.3</v>
      </c>
      <c r="S37" s="37" t="n">
        <v>4</v>
      </c>
      <c r="T37" s="37" t="n">
        <v>5</v>
      </c>
      <c r="U37" s="39" t="n">
        <v>4.3</v>
      </c>
      <c r="V37" s="42" t="n">
        <f aca="false">IF(OR(U37="",M37="",M37=0),"",U37/(M37*7))</f>
        <v>0.383928571428571</v>
      </c>
      <c r="W37" s="37" t="s">
        <v>87</v>
      </c>
      <c r="X37" s="37"/>
      <c r="Y37" s="37"/>
    </row>
    <row r="38" customFormat="false" ht="15" hidden="false" customHeight="false" outlineLevel="0" collapsed="false">
      <c r="A38" s="37" t="s">
        <v>237</v>
      </c>
      <c r="B38" s="37" t="n">
        <v>16</v>
      </c>
      <c r="C38" s="37" t="str">
        <f aca="false">IF(B38="","",IF(B38&lt;18,"Under 18",IF(B38&lt;25,"18-24",IF(B38&lt;35,"25-34",IF(B38&lt;45,"35-44","45+")))))</f>
        <v>Under 18</v>
      </c>
      <c r="D38" s="37" t="s">
        <v>145</v>
      </c>
      <c r="E38" s="37"/>
      <c r="F38" s="37" t="s">
        <v>47</v>
      </c>
      <c r="G38" s="37" t="s">
        <v>149</v>
      </c>
      <c r="H38" s="37"/>
      <c r="I38" s="37"/>
      <c r="J38" s="38" t="n">
        <v>63</v>
      </c>
      <c r="K38" s="37" t="s">
        <v>29</v>
      </c>
      <c r="L38" s="37" t="s">
        <v>40</v>
      </c>
      <c r="M38" s="39" t="n">
        <v>1.9</v>
      </c>
      <c r="N38" s="39" t="n">
        <v>5.4</v>
      </c>
      <c r="O38" s="40" t="n">
        <f aca="false">IF(OR(M38="",N38=""),"",M38/N38)</f>
        <v>0.351851851851852</v>
      </c>
      <c r="P38" s="41" t="n">
        <v>0</v>
      </c>
      <c r="Q38" s="37" t="str">
        <f aca="false">IF(P38="","",IF(P38=0,"Free","Paid"))</f>
        <v>Free</v>
      </c>
      <c r="R38" s="39" t="n">
        <v>3.5</v>
      </c>
      <c r="S38" s="37" t="n">
        <v>3</v>
      </c>
      <c r="T38" s="37" t="n">
        <v>5</v>
      </c>
      <c r="U38" s="39" t="n">
        <v>3</v>
      </c>
      <c r="V38" s="42" t="n">
        <f aca="false">IF(OR(U38="",M38="",M38=0),"",U38/(M38*7))</f>
        <v>0.225563909774436</v>
      </c>
      <c r="W38" s="37" t="s">
        <v>88</v>
      </c>
      <c r="X38" s="37"/>
      <c r="Y38" s="37" t="s">
        <v>238</v>
      </c>
    </row>
    <row r="39" customFormat="false" ht="15" hidden="false" customHeight="false" outlineLevel="0" collapsed="false">
      <c r="A39" s="37" t="s">
        <v>239</v>
      </c>
      <c r="B39" s="37" t="n">
        <v>45</v>
      </c>
      <c r="C39" s="37" t="str">
        <f aca="false">IF(B39="","",IF(B39&lt;18,"Under 18",IF(B39&lt;25,"18-24",IF(B39&lt;35,"25-34",IF(B39&lt;45,"35-44","45+")))))</f>
        <v>45+</v>
      </c>
      <c r="D39" s="37" t="s">
        <v>134</v>
      </c>
      <c r="E39" s="37" t="s">
        <v>65</v>
      </c>
      <c r="F39" s="37" t="s">
        <v>48</v>
      </c>
      <c r="G39" s="37" t="s">
        <v>135</v>
      </c>
      <c r="H39" s="37" t="s">
        <v>240</v>
      </c>
      <c r="I39" s="37" t="s">
        <v>93</v>
      </c>
      <c r="J39" s="38" t="n">
        <v>887</v>
      </c>
      <c r="K39" s="37"/>
      <c r="L39" s="37" t="s">
        <v>37</v>
      </c>
      <c r="M39" s="39" t="n">
        <v>1.5</v>
      </c>
      <c r="N39" s="39" t="n">
        <v>6.4</v>
      </c>
      <c r="O39" s="40" t="n">
        <f aca="false">IF(OR(M39="",N39=""),"",M39/N39)</f>
        <v>0.234375</v>
      </c>
      <c r="P39" s="41" t="n">
        <v>0</v>
      </c>
      <c r="Q39" s="37" t="str">
        <f aca="false">IF(P39="","",IF(P39=0,"Free","Paid"))</f>
        <v>Free</v>
      </c>
      <c r="R39" s="39" t="n">
        <v>5.3</v>
      </c>
      <c r="S39" s="37" t="n">
        <v>3</v>
      </c>
      <c r="T39" s="37" t="n">
        <v>5</v>
      </c>
      <c r="U39" s="39" t="n">
        <v>5.3</v>
      </c>
      <c r="V39" s="42" t="n">
        <f aca="false">IF(OR(U39="",M39="",M39=0),"",U39/(M39*7))</f>
        <v>0.504761904761905</v>
      </c>
      <c r="W39" s="37" t="s">
        <v>88</v>
      </c>
      <c r="X39" s="37"/>
      <c r="Y39" s="37" t="s">
        <v>241</v>
      </c>
    </row>
    <row r="40" customFormat="false" ht="15" hidden="false" customHeight="false" outlineLevel="0" collapsed="false">
      <c r="A40" s="37" t="s">
        <v>242</v>
      </c>
      <c r="B40" s="37" t="n">
        <v>30</v>
      </c>
      <c r="C40" s="37" t="str">
        <f aca="false">IF(B40="","",IF(B40&lt;18,"Under 18",IF(B40&lt;25,"18-24",IF(B40&lt;35,"25-34",IF(B40&lt;45,"35-44","45+")))))</f>
        <v>25-34</v>
      </c>
      <c r="D40" s="37"/>
      <c r="E40" s="37" t="s">
        <v>62</v>
      </c>
      <c r="F40" s="37" t="s">
        <v>48</v>
      </c>
      <c r="G40" s="37" t="s">
        <v>135</v>
      </c>
      <c r="H40" s="37" t="s">
        <v>243</v>
      </c>
      <c r="I40" s="37" t="s">
        <v>94</v>
      </c>
      <c r="J40" s="38" t="n">
        <v>1699</v>
      </c>
      <c r="K40" s="37" t="s">
        <v>29</v>
      </c>
      <c r="L40" s="37" t="s">
        <v>42</v>
      </c>
      <c r="M40" s="39" t="n">
        <v>5.5</v>
      </c>
      <c r="N40" s="39" t="n">
        <v>7.5</v>
      </c>
      <c r="O40" s="40" t="n">
        <f aca="false">IF(OR(M40="",N40=""),"",M40/N40)</f>
        <v>0.733333333333333</v>
      </c>
      <c r="P40" s="41" t="n">
        <v>10</v>
      </c>
      <c r="Q40" s="37" t="str">
        <f aca="false">IF(P40="","",IF(P40=0,"Free","Paid"))</f>
        <v>Paid</v>
      </c>
      <c r="R40" s="39"/>
      <c r="S40" s="37" t="n">
        <v>4</v>
      </c>
      <c r="T40" s="37" t="n">
        <v>8</v>
      </c>
      <c r="U40" s="39" t="n">
        <v>6.5</v>
      </c>
      <c r="V40" s="42" t="n">
        <f aca="false">IF(OR(U40="",M40="",M40=0),"",U40/(M40*7))</f>
        <v>0.168831168831169</v>
      </c>
      <c r="W40" s="37" t="s">
        <v>87</v>
      </c>
      <c r="X40" s="37"/>
      <c r="Y40" s="37" t="s">
        <v>244</v>
      </c>
    </row>
    <row r="41" customFormat="false" ht="15" hidden="false" customHeight="false" outlineLevel="0" collapsed="false">
      <c r="A41" s="37" t="s">
        <v>245</v>
      </c>
      <c r="B41" s="37" t="n">
        <v>43</v>
      </c>
      <c r="C41" s="37" t="str">
        <f aca="false">IF(B41="","",IF(B41&lt;18,"Under 18",IF(B41&lt;25,"18-24",IF(B41&lt;35,"25-34",IF(B41&lt;45,"35-44","45+")))))</f>
        <v>35-44</v>
      </c>
      <c r="D41" s="37" t="s">
        <v>134</v>
      </c>
      <c r="E41" s="37" t="s">
        <v>67</v>
      </c>
      <c r="F41" s="37" t="s">
        <v>48</v>
      </c>
      <c r="G41" s="37" t="s">
        <v>246</v>
      </c>
      <c r="H41" s="37" t="s">
        <v>247</v>
      </c>
      <c r="I41" s="37" t="s">
        <v>93</v>
      </c>
      <c r="J41" s="38"/>
      <c r="K41" s="37" t="s">
        <v>25</v>
      </c>
      <c r="L41" s="37" t="s">
        <v>37</v>
      </c>
      <c r="M41" s="39" t="n">
        <v>0.6</v>
      </c>
      <c r="N41" s="39" t="n">
        <v>10.1</v>
      </c>
      <c r="O41" s="40" t="n">
        <f aca="false">IF(OR(M41="",N41=""),"",M41/N41)</f>
        <v>0.0594059405940594</v>
      </c>
      <c r="P41" s="41" t="n">
        <v>20</v>
      </c>
      <c r="Q41" s="37" t="str">
        <f aca="false">IF(P41="","",IF(P41=0,"Free","Paid"))</f>
        <v>Paid</v>
      </c>
      <c r="R41" s="39" t="n">
        <v>4</v>
      </c>
      <c r="S41" s="37" t="n">
        <v>2</v>
      </c>
      <c r="T41" s="37" t="n">
        <v>5</v>
      </c>
      <c r="U41" s="39" t="n">
        <v>0</v>
      </c>
      <c r="V41" s="42" t="n">
        <f aca="false">IF(OR(U41="",M41="",M41=0),"",U41/(M41*7))</f>
        <v>0</v>
      </c>
      <c r="W41" s="37" t="s">
        <v>88</v>
      </c>
      <c r="X41" s="37"/>
      <c r="Y41" s="37" t="s">
        <v>248</v>
      </c>
    </row>
    <row r="42" customFormat="false" ht="15" hidden="false" customHeight="false" outlineLevel="0" collapsed="false">
      <c r="A42" s="37" t="s">
        <v>249</v>
      </c>
      <c r="B42" s="37" t="n">
        <v>29</v>
      </c>
      <c r="C42" s="37" t="str">
        <f aca="false">IF(B42="","",IF(B42&lt;18,"Under 18",IF(B42&lt;25,"18-24",IF(B42&lt;35,"25-34",IF(B42&lt;45,"35-44","45+")))))</f>
        <v>25-34</v>
      </c>
      <c r="D42" s="37" t="s">
        <v>134</v>
      </c>
      <c r="E42" s="37" t="s">
        <v>63</v>
      </c>
      <c r="F42" s="37" t="s">
        <v>48</v>
      </c>
      <c r="G42" s="37" t="s">
        <v>139</v>
      </c>
      <c r="H42" s="37" t="s">
        <v>250</v>
      </c>
      <c r="I42" s="37" t="s">
        <v>92</v>
      </c>
      <c r="J42" s="38" t="n">
        <v>5260</v>
      </c>
      <c r="K42" s="37" t="s">
        <v>25</v>
      </c>
      <c r="L42" s="37" t="s">
        <v>38</v>
      </c>
      <c r="M42" s="39" t="n">
        <v>1.6</v>
      </c>
      <c r="N42" s="39" t="n">
        <v>6.7</v>
      </c>
      <c r="O42" s="40" t="n">
        <f aca="false">IF(OR(M42="",N42=""),"",M42/N42)</f>
        <v>0.238805970149254</v>
      </c>
      <c r="P42" s="41" t="n">
        <v>0</v>
      </c>
      <c r="Q42" s="37" t="str">
        <f aca="false">IF(P42="","",IF(P42=0,"Free","Paid"))</f>
        <v>Free</v>
      </c>
      <c r="R42" s="39" t="n">
        <v>3.9</v>
      </c>
      <c r="S42" s="37" t="n">
        <v>4</v>
      </c>
      <c r="T42" s="37" t="n">
        <v>5</v>
      </c>
      <c r="U42" s="39" t="n">
        <v>5.2</v>
      </c>
      <c r="V42" s="42" t="n">
        <f aca="false">IF(OR(U42="",M42="",M42=0),"",U42/(M42*7))</f>
        <v>0.464285714285714</v>
      </c>
      <c r="W42" s="37"/>
      <c r="X42" s="37"/>
      <c r="Y42" s="37" t="s">
        <v>251</v>
      </c>
    </row>
    <row r="43" customFormat="false" ht="15" hidden="false" customHeight="false" outlineLevel="0" collapsed="false">
      <c r="A43" s="37" t="s">
        <v>252</v>
      </c>
      <c r="B43" s="37" t="n">
        <v>36</v>
      </c>
      <c r="C43" s="37" t="str">
        <f aca="false">IF(B43="","",IF(B43&lt;18,"Under 18",IF(B43&lt;25,"18-24",IF(B43&lt;35,"25-34",IF(B43&lt;45,"35-44","45+")))))</f>
        <v>35-44</v>
      </c>
      <c r="D43" s="37" t="s">
        <v>134</v>
      </c>
      <c r="E43" s="37" t="s">
        <v>65</v>
      </c>
      <c r="F43" s="37" t="s">
        <v>48</v>
      </c>
      <c r="G43" s="37" t="s">
        <v>135</v>
      </c>
      <c r="H43" s="37" t="s">
        <v>253</v>
      </c>
      <c r="I43" s="37" t="s">
        <v>93</v>
      </c>
      <c r="J43" s="38" t="n">
        <v>513</v>
      </c>
      <c r="K43" s="37" t="s">
        <v>25</v>
      </c>
      <c r="L43" s="37" t="s">
        <v>37</v>
      </c>
      <c r="M43" s="39" t="n">
        <v>3.7</v>
      </c>
      <c r="N43" s="39" t="n">
        <v>10.1</v>
      </c>
      <c r="O43" s="40" t="n">
        <f aca="false">IF(OR(M43="",N43=""),"",M43/N43)</f>
        <v>0.366336633663366</v>
      </c>
      <c r="P43" s="41" t="n">
        <v>0</v>
      </c>
      <c r="Q43" s="37" t="str">
        <f aca="false">IF(P43="","",IF(P43=0,"Free","Paid"))</f>
        <v>Free</v>
      </c>
      <c r="R43" s="39" t="n">
        <v>5.7</v>
      </c>
      <c r="S43" s="37" t="n">
        <v>2</v>
      </c>
      <c r="T43" s="37" t="n">
        <v>5</v>
      </c>
      <c r="U43" s="39" t="n">
        <v>5.8</v>
      </c>
      <c r="V43" s="42" t="n">
        <f aca="false">IF(OR(U43="",M43="",M43=0),"",U43/(M43*7))</f>
        <v>0.223938223938224</v>
      </c>
      <c r="W43" s="37" t="s">
        <v>88</v>
      </c>
      <c r="X43" s="37"/>
      <c r="Y43" s="37" t="s">
        <v>254</v>
      </c>
    </row>
    <row r="44" customFormat="false" ht="15" hidden="false" customHeight="false" outlineLevel="0" collapsed="false">
      <c r="A44" s="37" t="s">
        <v>255</v>
      </c>
      <c r="B44" s="37" t="n">
        <v>24</v>
      </c>
      <c r="C44" s="37" t="str">
        <f aca="false">IF(B44="","",IF(B44&lt;18,"Under 18",IF(B44&lt;25,"18-24",IF(B44&lt;35,"25-34",IF(B44&lt;45,"35-44","45+")))))</f>
        <v>18-24</v>
      </c>
      <c r="D44" s="37" t="s">
        <v>145</v>
      </c>
      <c r="E44" s="37" t="s">
        <v>62</v>
      </c>
      <c r="F44" s="37" t="s">
        <v>48</v>
      </c>
      <c r="G44" s="37" t="s">
        <v>139</v>
      </c>
      <c r="H44" s="37" t="s">
        <v>175</v>
      </c>
      <c r="I44" s="37" t="s">
        <v>93</v>
      </c>
      <c r="J44" s="38" t="n">
        <v>2307</v>
      </c>
      <c r="K44" s="37" t="s">
        <v>30</v>
      </c>
      <c r="L44" s="37" t="s">
        <v>37</v>
      </c>
      <c r="M44" s="39" t="n">
        <v>0.6</v>
      </c>
      <c r="N44" s="39" t="n">
        <v>12</v>
      </c>
      <c r="O44" s="40" t="n">
        <f aca="false">IF(OR(M44="",N44=""),"",M44/N44)</f>
        <v>0.05</v>
      </c>
      <c r="P44" s="41" t="n">
        <v>0</v>
      </c>
      <c r="Q44" s="37" t="str">
        <f aca="false">IF(P44="","",IF(P44=0,"Free","Paid"))</f>
        <v>Free</v>
      </c>
      <c r="R44" s="39" t="n">
        <v>4.4</v>
      </c>
      <c r="S44" s="37" t="n">
        <v>4</v>
      </c>
      <c r="T44" s="37" t="n">
        <v>7</v>
      </c>
      <c r="U44" s="39" t="n">
        <v>1.6</v>
      </c>
      <c r="V44" s="42" t="n">
        <f aca="false">IF(OR(U44="",M44="",M44=0),"",U44/(M44*7))</f>
        <v>0.380952380952381</v>
      </c>
      <c r="W44" s="37" t="s">
        <v>87</v>
      </c>
      <c r="X44" s="37"/>
      <c r="Y44" s="37" t="s">
        <v>256</v>
      </c>
    </row>
    <row r="45" customFormat="false" ht="15" hidden="false" customHeight="false" outlineLevel="0" collapsed="false">
      <c r="A45" s="37" t="s">
        <v>257</v>
      </c>
      <c r="B45" s="37" t="n">
        <v>17</v>
      </c>
      <c r="C45" s="37" t="str">
        <f aca="false">IF(B45="","",IF(B45&lt;18,"Under 18",IF(B45&lt;25,"18-24",IF(B45&lt;35,"25-34",IF(B45&lt;45,"35-44","45+")))))</f>
        <v>Under 18</v>
      </c>
      <c r="D45" s="37"/>
      <c r="E45" s="37" t="s">
        <v>67</v>
      </c>
      <c r="F45" s="37" t="s">
        <v>47</v>
      </c>
      <c r="G45" s="37" t="s">
        <v>149</v>
      </c>
      <c r="H45" s="37"/>
      <c r="I45" s="37"/>
      <c r="J45" s="38" t="n">
        <v>234</v>
      </c>
      <c r="K45" s="37" t="s">
        <v>25</v>
      </c>
      <c r="L45" s="37" t="s">
        <v>39</v>
      </c>
      <c r="M45" s="39" t="n">
        <v>5.1</v>
      </c>
      <c r="N45" s="39" t="n">
        <v>7.2</v>
      </c>
      <c r="O45" s="40" t="n">
        <f aca="false">IF(OR(M45="",N45=""),"",M45/N45)</f>
        <v>0.708333333333333</v>
      </c>
      <c r="P45" s="41" t="n">
        <v>0</v>
      </c>
      <c r="Q45" s="37" t="str">
        <f aca="false">IF(P45="","",IF(P45=0,"Free","Paid"))</f>
        <v>Free</v>
      </c>
      <c r="R45" s="39" t="n">
        <v>8.3</v>
      </c>
      <c r="S45" s="37" t="n">
        <v>5</v>
      </c>
      <c r="T45" s="37" t="n">
        <v>9</v>
      </c>
      <c r="U45" s="39" t="n">
        <v>11.4</v>
      </c>
      <c r="V45" s="42" t="n">
        <f aca="false">IF(OR(U45="",M45="",M45=0),"",U45/(M45*7))</f>
        <v>0.319327731092437</v>
      </c>
      <c r="W45" s="37" t="s">
        <v>87</v>
      </c>
      <c r="X45" s="37"/>
      <c r="Y45" s="37" t="s">
        <v>258</v>
      </c>
    </row>
    <row r="46" customFormat="false" ht="15" hidden="false" customHeight="false" outlineLevel="0" collapsed="false">
      <c r="A46" s="37" t="s">
        <v>259</v>
      </c>
      <c r="B46" s="37" t="n">
        <v>20</v>
      </c>
      <c r="C46" s="37" t="str">
        <f aca="false">IF(B46="","",IF(B46&lt;18,"Under 18",IF(B46&lt;25,"18-24",IF(B46&lt;35,"25-34",IF(B46&lt;45,"35-44","45+")))))</f>
        <v>18-24</v>
      </c>
      <c r="D46" s="37" t="s">
        <v>134</v>
      </c>
      <c r="E46" s="37" t="s">
        <v>62</v>
      </c>
      <c r="F46" s="37" t="s">
        <v>47</v>
      </c>
      <c r="G46" s="37" t="s">
        <v>160</v>
      </c>
      <c r="H46" s="37" t="s">
        <v>143</v>
      </c>
      <c r="I46" s="37" t="s">
        <v>93</v>
      </c>
      <c r="J46" s="38" t="n">
        <v>206</v>
      </c>
      <c r="K46" s="37" t="s">
        <v>26</v>
      </c>
      <c r="L46" s="37" t="s">
        <v>37</v>
      </c>
      <c r="M46" s="39" t="n">
        <v>2.4</v>
      </c>
      <c r="N46" s="39" t="n">
        <v>8.6</v>
      </c>
      <c r="O46" s="40" t="n">
        <f aca="false">IF(OR(M46="",N46=""),"",M46/N46)</f>
        <v>0.27906976744186</v>
      </c>
      <c r="P46" s="41" t="n">
        <v>20</v>
      </c>
      <c r="Q46" s="37" t="str">
        <f aca="false">IF(P46="","",IF(P46=0,"Free","Paid"))</f>
        <v>Paid</v>
      </c>
      <c r="R46" s="39" t="n">
        <v>5.5</v>
      </c>
      <c r="S46" s="37" t="n">
        <v>3</v>
      </c>
      <c r="T46" s="37" t="n">
        <v>5</v>
      </c>
      <c r="U46" s="39" t="n">
        <v>7.3</v>
      </c>
      <c r="V46" s="42" t="n">
        <f aca="false">IF(OR(U46="",M46="",M46=0),"",U46/(M46*7))</f>
        <v>0.43452380952381</v>
      </c>
      <c r="W46" s="37" t="s">
        <v>87</v>
      </c>
      <c r="X46" s="37"/>
      <c r="Y46" s="37" t="s">
        <v>260</v>
      </c>
    </row>
    <row r="47" customFormat="false" ht="15" hidden="false" customHeight="false" outlineLevel="0" collapsed="false">
      <c r="A47" s="37" t="s">
        <v>261</v>
      </c>
      <c r="B47" s="37" t="n">
        <v>44</v>
      </c>
      <c r="C47" s="37" t="str">
        <f aca="false">IF(B47="","",IF(B47&lt;18,"Under 18",IF(B47&lt;25,"18-24",IF(B47&lt;35,"25-34",IF(B47&lt;45,"35-44","45+")))))</f>
        <v>35-44</v>
      </c>
      <c r="D47" s="37" t="s">
        <v>145</v>
      </c>
      <c r="E47" s="37" t="s">
        <v>70</v>
      </c>
      <c r="F47" s="37" t="s">
        <v>48</v>
      </c>
      <c r="G47" s="37" t="s">
        <v>135</v>
      </c>
      <c r="H47" s="37" t="s">
        <v>262</v>
      </c>
      <c r="I47" s="37" t="s">
        <v>95</v>
      </c>
      <c r="J47" s="38" t="n">
        <v>384</v>
      </c>
      <c r="K47" s="37" t="s">
        <v>27</v>
      </c>
      <c r="L47" s="37" t="s">
        <v>40</v>
      </c>
      <c r="M47" s="39" t="n">
        <v>0.9</v>
      </c>
      <c r="N47" s="39" t="n">
        <v>7.9</v>
      </c>
      <c r="O47" s="40" t="n">
        <f aca="false">IF(OR(M47="",N47=""),"",M47/N47)</f>
        <v>0.113924050632911</v>
      </c>
      <c r="P47" s="41" t="n">
        <v>10</v>
      </c>
      <c r="Q47" s="37" t="str">
        <f aca="false">IF(P47="","",IF(P47=0,"Free","Paid"))</f>
        <v>Paid</v>
      </c>
      <c r="R47" s="39" t="n">
        <v>3.1</v>
      </c>
      <c r="S47" s="37" t="n">
        <v>3</v>
      </c>
      <c r="T47" s="37" t="n">
        <v>4</v>
      </c>
      <c r="U47" s="39" t="n">
        <v>1.2</v>
      </c>
      <c r="V47" s="42" t="n">
        <f aca="false">IF(OR(U47="",M47="",M47=0),"",U47/(M47*7))</f>
        <v>0.19047619047619</v>
      </c>
      <c r="W47" s="37" t="s">
        <v>89</v>
      </c>
      <c r="X47" s="37"/>
      <c r="Y47" s="37" t="s">
        <v>263</v>
      </c>
    </row>
    <row r="48" customFormat="false" ht="15" hidden="false" customHeight="false" outlineLevel="0" collapsed="false">
      <c r="A48" s="37" t="s">
        <v>264</v>
      </c>
      <c r="B48" s="37" t="n">
        <v>21</v>
      </c>
      <c r="C48" s="37" t="str">
        <f aca="false">IF(B48="","",IF(B48&lt;18,"Under 18",IF(B48&lt;25,"18-24",IF(B48&lt;35,"25-34",IF(B48&lt;45,"35-44","45+")))))</f>
        <v>18-24</v>
      </c>
      <c r="D48" s="37" t="s">
        <v>134</v>
      </c>
      <c r="E48" s="37" t="s">
        <v>66</v>
      </c>
      <c r="F48" s="37" t="s">
        <v>47</v>
      </c>
      <c r="G48" s="37" t="s">
        <v>135</v>
      </c>
      <c r="H48" s="37" t="s">
        <v>265</v>
      </c>
      <c r="I48" s="37" t="s">
        <v>93</v>
      </c>
      <c r="J48" s="38" t="n">
        <v>206</v>
      </c>
      <c r="K48" s="37" t="s">
        <v>26</v>
      </c>
      <c r="L48" s="37" t="s">
        <v>37</v>
      </c>
      <c r="M48" s="39" t="n">
        <v>9.1</v>
      </c>
      <c r="N48" s="39" t="n">
        <v>5.4</v>
      </c>
      <c r="O48" s="40" t="n">
        <f aca="false">IF(OR(M48="",N48=""),"",M48/N48)</f>
        <v>1.68518518518519</v>
      </c>
      <c r="P48" s="41" t="n">
        <v>30</v>
      </c>
      <c r="Q48" s="37" t="str">
        <f aca="false">IF(P48="","",IF(P48=0,"Free","Paid"))</f>
        <v>Paid</v>
      </c>
      <c r="R48" s="39" t="n">
        <v>6.5</v>
      </c>
      <c r="S48" s="37" t="n">
        <v>3</v>
      </c>
      <c r="T48" s="37" t="n">
        <v>8</v>
      </c>
      <c r="U48" s="39" t="n">
        <v>14.9</v>
      </c>
      <c r="V48" s="42" t="n">
        <f aca="false">IF(OR(U48="",M48="",M48=0),"",U48/(M48*7))</f>
        <v>0.233908948194663</v>
      </c>
      <c r="W48" s="37" t="s">
        <v>87</v>
      </c>
      <c r="X48" s="37" t="s">
        <v>179</v>
      </c>
      <c r="Y48" s="37" t="s">
        <v>266</v>
      </c>
    </row>
    <row r="49" customFormat="false" ht="15" hidden="false" customHeight="false" outlineLevel="0" collapsed="false">
      <c r="A49" s="37" t="s">
        <v>267</v>
      </c>
      <c r="B49" s="37" t="n">
        <v>34</v>
      </c>
      <c r="C49" s="37" t="str">
        <f aca="false">IF(B49="","",IF(B49&lt;18,"Under 18",IF(B49&lt;25,"18-24",IF(B49&lt;35,"25-34",IF(B49&lt;45,"35-44","45+")))))</f>
        <v>25-34</v>
      </c>
      <c r="D49" s="37" t="s">
        <v>145</v>
      </c>
      <c r="E49" s="37" t="s">
        <v>63</v>
      </c>
      <c r="F49" s="37" t="s">
        <v>48</v>
      </c>
      <c r="G49" s="37" t="s">
        <v>135</v>
      </c>
      <c r="H49" s="37" t="s">
        <v>268</v>
      </c>
      <c r="I49" s="37" t="s">
        <v>92</v>
      </c>
      <c r="J49" s="38" t="n">
        <v>5669</v>
      </c>
      <c r="K49" s="37" t="s">
        <v>25</v>
      </c>
      <c r="L49" s="37" t="s">
        <v>38</v>
      </c>
      <c r="M49" s="39" t="n">
        <v>8</v>
      </c>
      <c r="N49" s="39" t="n">
        <v>7.4</v>
      </c>
      <c r="O49" s="40" t="n">
        <f aca="false">IF(OR(M49="",N49=""),"",M49/N49)</f>
        <v>1.08108108108108</v>
      </c>
      <c r="P49" s="41" t="n">
        <v>0</v>
      </c>
      <c r="Q49" s="37" t="str">
        <f aca="false">IF(P49="","",IF(P49=0,"Free","Paid"))</f>
        <v>Free</v>
      </c>
      <c r="R49" s="39" t="n">
        <v>7.3</v>
      </c>
      <c r="S49" s="37" t="n">
        <v>2</v>
      </c>
      <c r="T49" s="37" t="n">
        <v>7</v>
      </c>
      <c r="U49" s="39" t="n">
        <v>16.3</v>
      </c>
      <c r="V49" s="42" t="n">
        <f aca="false">IF(OR(U49="",M49="",M49=0),"",U49/(M49*7))</f>
        <v>0.291071428571429</v>
      </c>
      <c r="W49" s="37" t="s">
        <v>87</v>
      </c>
      <c r="X49" s="37" t="s">
        <v>179</v>
      </c>
      <c r="Y49" s="37" t="s">
        <v>269</v>
      </c>
    </row>
    <row r="50" customFormat="false" ht="15" hidden="false" customHeight="false" outlineLevel="0" collapsed="false">
      <c r="A50" s="37" t="s">
        <v>270</v>
      </c>
      <c r="B50" s="37" t="n">
        <v>18</v>
      </c>
      <c r="C50" s="37" t="str">
        <f aca="false">IF(B50="","",IF(B50&lt;18,"Under 18",IF(B50&lt;25,"18-24",IF(B50&lt;35,"25-34",IF(B50&lt;45,"35-44","45+")))))</f>
        <v>18-24</v>
      </c>
      <c r="D50" s="37" t="s">
        <v>134</v>
      </c>
      <c r="E50" s="37" t="s">
        <v>68</v>
      </c>
      <c r="F50" s="37" t="s">
        <v>47</v>
      </c>
      <c r="G50" s="37" t="s">
        <v>160</v>
      </c>
      <c r="H50" s="37" t="s">
        <v>189</v>
      </c>
      <c r="I50" s="37" t="s">
        <v>92</v>
      </c>
      <c r="J50" s="38" t="n">
        <v>198</v>
      </c>
      <c r="K50" s="37" t="s">
        <v>29</v>
      </c>
      <c r="L50" s="37" t="s">
        <v>38</v>
      </c>
      <c r="M50" s="39"/>
      <c r="N50" s="39" t="n">
        <v>7.2</v>
      </c>
      <c r="O50" s="40" t="str">
        <f aca="false">IF(OR(M50="",N50=""),"",M50/N50)</f>
        <v/>
      </c>
      <c r="P50" s="41" t="n">
        <v>0</v>
      </c>
      <c r="Q50" s="37" t="str">
        <f aca="false">IF(P50="","",IF(P50=0,"Free","Paid"))</f>
        <v>Free</v>
      </c>
      <c r="R50" s="39" t="n">
        <v>6.9</v>
      </c>
      <c r="S50" s="37" t="n">
        <v>2</v>
      </c>
      <c r="T50" s="37" t="n">
        <v>6</v>
      </c>
      <c r="U50" s="39" t="n">
        <v>7.2</v>
      </c>
      <c r="V50" s="42" t="str">
        <f aca="false">IF(OR(U50="",M50="",M50=0),"",U50/(M50*7))</f>
        <v/>
      </c>
      <c r="W50" s="37" t="s">
        <v>88</v>
      </c>
      <c r="X50" s="37"/>
      <c r="Y50" s="37" t="s">
        <v>271</v>
      </c>
    </row>
    <row r="51" customFormat="false" ht="15" hidden="false" customHeight="false" outlineLevel="0" collapsed="false">
      <c r="A51" s="37" t="s">
        <v>272</v>
      </c>
      <c r="B51" s="37"/>
      <c r="C51" s="37" t="str">
        <f aca="false">IF(B51="","",IF(B51&lt;18,"Under 18",IF(B51&lt;25,"18-24",IF(B51&lt;35,"25-34",IF(B51&lt;45,"35-44","45+")))))</f>
        <v/>
      </c>
      <c r="D51" s="37" t="s">
        <v>145</v>
      </c>
      <c r="E51" s="37" t="s">
        <v>68</v>
      </c>
      <c r="F51" s="37" t="s">
        <v>47</v>
      </c>
      <c r="G51" s="37" t="s">
        <v>139</v>
      </c>
      <c r="H51" s="37"/>
      <c r="I51" s="37"/>
      <c r="J51" s="38" t="n">
        <v>190</v>
      </c>
      <c r="K51" s="37" t="s">
        <v>25</v>
      </c>
      <c r="L51" s="37" t="s">
        <v>40</v>
      </c>
      <c r="M51" s="39" t="n">
        <v>7.7</v>
      </c>
      <c r="N51" s="39" t="n">
        <v>6.8</v>
      </c>
      <c r="O51" s="40" t="n">
        <f aca="false">IF(OR(M51="",N51=""),"",M51/N51)</f>
        <v>1.13235294117647</v>
      </c>
      <c r="P51" s="41"/>
      <c r="Q51" s="37" t="str">
        <f aca="false">IF(P51="","",IF(P51=0,"Free","Paid"))</f>
        <v/>
      </c>
      <c r="R51" s="39" t="n">
        <v>8.4</v>
      </c>
      <c r="S51" s="37" t="n">
        <v>5</v>
      </c>
      <c r="T51" s="37" t="n">
        <v>10</v>
      </c>
      <c r="U51" s="39" t="n">
        <v>13.6</v>
      </c>
      <c r="V51" s="42" t="n">
        <f aca="false">IF(OR(U51="",M51="",M51=0),"",U51/(M51*7))</f>
        <v>0.252319109461967</v>
      </c>
      <c r="W51" s="37" t="s">
        <v>87</v>
      </c>
      <c r="X51" s="37" t="s">
        <v>179</v>
      </c>
      <c r="Y51" s="37" t="s">
        <v>273</v>
      </c>
    </row>
    <row r="52" customFormat="false" ht="15" hidden="false" customHeight="false" outlineLevel="0" collapsed="false">
      <c r="A52" s="37" t="s">
        <v>274</v>
      </c>
      <c r="B52" s="37" t="n">
        <v>32</v>
      </c>
      <c r="C52" s="37" t="str">
        <f aca="false">IF(B52="","",IF(B52&lt;18,"Under 18",IF(B52&lt;25,"18-24",IF(B52&lt;35,"25-34",IF(B52&lt;45,"35-44","45+")))))</f>
        <v>25-34</v>
      </c>
      <c r="D52" s="37" t="s">
        <v>134</v>
      </c>
      <c r="E52" s="37" t="s">
        <v>70</v>
      </c>
      <c r="F52" s="37" t="s">
        <v>48</v>
      </c>
      <c r="G52" s="37" t="s">
        <v>160</v>
      </c>
      <c r="H52" s="37" t="s">
        <v>275</v>
      </c>
      <c r="I52" s="37" t="s">
        <v>92</v>
      </c>
      <c r="J52" s="38" t="n">
        <v>376</v>
      </c>
      <c r="K52" s="37" t="s">
        <v>28</v>
      </c>
      <c r="L52" s="37" t="s">
        <v>41</v>
      </c>
      <c r="M52" s="39" t="n">
        <v>1.3</v>
      </c>
      <c r="N52" s="39" t="n">
        <v>11.6</v>
      </c>
      <c r="O52" s="40" t="n">
        <f aca="false">IF(OR(M52="",N52=""),"",M52/N52)</f>
        <v>0.112068965517241</v>
      </c>
      <c r="P52" s="41" t="n">
        <v>20</v>
      </c>
      <c r="Q52" s="37" t="str">
        <f aca="false">IF(P52="","",IF(P52=0,"Free","Paid"))</f>
        <v>Paid</v>
      </c>
      <c r="R52" s="39" t="n">
        <v>3.3</v>
      </c>
      <c r="S52" s="37" t="n">
        <v>4</v>
      </c>
      <c r="T52" s="37" t="n">
        <v>5</v>
      </c>
      <c r="U52" s="39" t="n">
        <v>3.2</v>
      </c>
      <c r="V52" s="42" t="n">
        <f aca="false">IF(OR(U52="",M52="",M52=0),"",U52/(M52*7))</f>
        <v>0.351648351648352</v>
      </c>
      <c r="W52" s="37" t="s">
        <v>88</v>
      </c>
      <c r="X52" s="37"/>
      <c r="Y52" s="37" t="s">
        <v>276</v>
      </c>
    </row>
    <row r="53" customFormat="false" ht="15" hidden="false" customHeight="false" outlineLevel="0" collapsed="false">
      <c r="A53" s="37" t="s">
        <v>277</v>
      </c>
      <c r="B53" s="37" t="n">
        <v>44</v>
      </c>
      <c r="C53" s="37" t="str">
        <f aca="false">IF(B53="","",IF(B53&lt;18,"Under 18",IF(B53&lt;25,"18-24",IF(B53&lt;35,"25-34",IF(B53&lt;45,"35-44","45+")))))</f>
        <v>35-44</v>
      </c>
      <c r="D53" s="37" t="s">
        <v>278</v>
      </c>
      <c r="E53" s="37" t="s">
        <v>156</v>
      </c>
      <c r="F53" s="37" t="s">
        <v>48</v>
      </c>
      <c r="G53" s="37" t="s">
        <v>139</v>
      </c>
      <c r="H53" s="37" t="s">
        <v>279</v>
      </c>
      <c r="I53" s="37" t="s">
        <v>92</v>
      </c>
      <c r="J53" s="38" t="n">
        <v>3477</v>
      </c>
      <c r="K53" s="37" t="s">
        <v>25</v>
      </c>
      <c r="L53" s="37" t="s">
        <v>41</v>
      </c>
      <c r="M53" s="39" t="n">
        <v>2.2</v>
      </c>
      <c r="N53" s="39" t="n">
        <v>10.7</v>
      </c>
      <c r="O53" s="40" t="n">
        <f aca="false">IF(OR(M53="",N53=""),"",M53/N53)</f>
        <v>0.205607476635514</v>
      </c>
      <c r="P53" s="41" t="n">
        <v>0</v>
      </c>
      <c r="Q53" s="37" t="str">
        <f aca="false">IF(P53="","",IF(P53=0,"Free","Paid"))</f>
        <v>Free</v>
      </c>
      <c r="R53" s="39" t="n">
        <v>5</v>
      </c>
      <c r="S53" s="37" t="n">
        <v>4</v>
      </c>
      <c r="T53" s="37"/>
      <c r="U53" s="39" t="n">
        <v>2.8</v>
      </c>
      <c r="V53" s="42" t="n">
        <f aca="false">IF(OR(U53="",M53="",M53=0),"",U53/(M53*7))</f>
        <v>0.181818181818182</v>
      </c>
      <c r="W53" s="37" t="s">
        <v>87</v>
      </c>
      <c r="X53" s="37"/>
      <c r="Y53" s="37" t="s">
        <v>280</v>
      </c>
    </row>
    <row r="54" customFormat="false" ht="15" hidden="false" customHeight="false" outlineLevel="0" collapsed="false">
      <c r="A54" s="37" t="s">
        <v>281</v>
      </c>
      <c r="B54" s="37"/>
      <c r="C54" s="37" t="str">
        <f aca="false">IF(B54="","",IF(B54&lt;18,"Under 18",IF(B54&lt;25,"18-24",IF(B54&lt;35,"25-34",IF(B54&lt;45,"35-44","45+")))))</f>
        <v/>
      </c>
      <c r="D54" s="37" t="s">
        <v>278</v>
      </c>
      <c r="E54" s="37" t="s">
        <v>65</v>
      </c>
      <c r="F54" s="37" t="s">
        <v>47</v>
      </c>
      <c r="G54" s="37" t="s">
        <v>149</v>
      </c>
      <c r="H54" s="37" t="s">
        <v>189</v>
      </c>
      <c r="I54" s="37" t="s">
        <v>92</v>
      </c>
      <c r="J54" s="38" t="n">
        <v>100</v>
      </c>
      <c r="K54" s="37" t="s">
        <v>25</v>
      </c>
      <c r="L54" s="37" t="s">
        <v>38</v>
      </c>
      <c r="M54" s="39" t="n">
        <v>1.2</v>
      </c>
      <c r="N54" s="39" t="n">
        <v>5.7</v>
      </c>
      <c r="O54" s="40" t="n">
        <f aca="false">IF(OR(M54="",N54=""),"",M54/N54)</f>
        <v>0.210526315789474</v>
      </c>
      <c r="P54" s="41" t="n">
        <v>50</v>
      </c>
      <c r="Q54" s="37" t="str">
        <f aca="false">IF(P54="","",IF(P54=0,"Free","Paid"))</f>
        <v>Paid</v>
      </c>
      <c r="R54" s="39" t="n">
        <v>5.8</v>
      </c>
      <c r="S54" s="37" t="n">
        <v>4</v>
      </c>
      <c r="T54" s="37" t="n">
        <v>7</v>
      </c>
      <c r="U54" s="39"/>
      <c r="V54" s="42" t="str">
        <f aca="false">IF(OR(U54="",M54="",M54=0),"",U54/(M54*7))</f>
        <v/>
      </c>
      <c r="W54" s="37" t="s">
        <v>87</v>
      </c>
      <c r="X54" s="37"/>
      <c r="Y54" s="37" t="s">
        <v>282</v>
      </c>
    </row>
    <row r="55" customFormat="false" ht="15" hidden="false" customHeight="false" outlineLevel="0" collapsed="false">
      <c r="A55" s="37" t="s">
        <v>283</v>
      </c>
      <c r="B55" s="37" t="n">
        <v>26</v>
      </c>
      <c r="C55" s="37" t="str">
        <f aca="false">IF(B55="","",IF(B55&lt;18,"Under 18",IF(B55&lt;25,"18-24",IF(B55&lt;35,"25-34",IF(B55&lt;45,"35-44","45+")))))</f>
        <v>25-34</v>
      </c>
      <c r="D55" s="37"/>
      <c r="E55" s="37" t="s">
        <v>70</v>
      </c>
      <c r="F55" s="37" t="s">
        <v>47</v>
      </c>
      <c r="G55" s="37" t="s">
        <v>160</v>
      </c>
      <c r="H55" s="37" t="s">
        <v>143</v>
      </c>
      <c r="I55" s="37" t="s">
        <v>93</v>
      </c>
      <c r="J55" s="38" t="n">
        <v>0</v>
      </c>
      <c r="K55" s="37" t="s">
        <v>25</v>
      </c>
      <c r="L55" s="37" t="s">
        <v>37</v>
      </c>
      <c r="M55" s="39" t="n">
        <v>0.6</v>
      </c>
      <c r="N55" s="39" t="n">
        <v>8.8</v>
      </c>
      <c r="O55" s="40" t="n">
        <f aca="false">IF(OR(M55="",N55=""),"",M55/N55)</f>
        <v>0.0681818181818182</v>
      </c>
      <c r="P55" s="41" t="n">
        <v>0</v>
      </c>
      <c r="Q55" s="37" t="str">
        <f aca="false">IF(P55="","",IF(P55=0,"Free","Paid"))</f>
        <v>Free</v>
      </c>
      <c r="R55" s="39" t="n">
        <v>3.2</v>
      </c>
      <c r="S55" s="37" t="n">
        <v>2</v>
      </c>
      <c r="T55" s="37" t="n">
        <v>5</v>
      </c>
      <c r="U55" s="39" t="n">
        <v>2.2</v>
      </c>
      <c r="V55" s="42" t="n">
        <f aca="false">IF(OR(U55="",M55="",M55=0),"",U55/(M55*7))</f>
        <v>0.523809523809524</v>
      </c>
      <c r="W55" s="37" t="s">
        <v>87</v>
      </c>
      <c r="X55" s="37"/>
      <c r="Y55" s="37" t="s">
        <v>284</v>
      </c>
    </row>
    <row r="56" customFormat="false" ht="15" hidden="false" customHeight="false" outlineLevel="0" collapsed="false">
      <c r="A56" s="37" t="s">
        <v>285</v>
      </c>
      <c r="B56" s="37" t="n">
        <v>33</v>
      </c>
      <c r="C56" s="37" t="str">
        <f aca="false">IF(B56="","",IF(B56&lt;18,"Under 18",IF(B56&lt;25,"18-24",IF(B56&lt;35,"25-34",IF(B56&lt;45,"35-44","45+")))))</f>
        <v>25-34</v>
      </c>
      <c r="D56" s="37" t="s">
        <v>145</v>
      </c>
      <c r="E56" s="37" t="s">
        <v>69</v>
      </c>
      <c r="F56" s="37" t="s">
        <v>48</v>
      </c>
      <c r="G56" s="37" t="s">
        <v>195</v>
      </c>
      <c r="H56" s="37" t="s">
        <v>286</v>
      </c>
      <c r="I56" s="37" t="s">
        <v>92</v>
      </c>
      <c r="J56" s="38" t="n">
        <v>6197</v>
      </c>
      <c r="K56" s="37" t="s">
        <v>25</v>
      </c>
      <c r="L56" s="37" t="s">
        <v>38</v>
      </c>
      <c r="M56" s="39" t="n">
        <v>1.9</v>
      </c>
      <c r="N56" s="39" t="n">
        <v>11</v>
      </c>
      <c r="O56" s="40" t="n">
        <f aca="false">IF(OR(M56="",N56=""),"",M56/N56)</f>
        <v>0.172727272727273</v>
      </c>
      <c r="P56" s="41"/>
      <c r="Q56" s="37" t="str">
        <f aca="false">IF(P56="","",IF(P56=0,"Free","Paid"))</f>
        <v/>
      </c>
      <c r="R56" s="39" t="n">
        <v>5.4</v>
      </c>
      <c r="S56" s="37" t="n">
        <v>4</v>
      </c>
      <c r="T56" s="37" t="n">
        <v>7</v>
      </c>
      <c r="U56" s="39" t="n">
        <v>6</v>
      </c>
      <c r="V56" s="42" t="n">
        <f aca="false">IF(OR(U56="",M56="",M56=0),"",U56/(M56*7))</f>
        <v>0.451127819548872</v>
      </c>
      <c r="W56" s="37" t="s">
        <v>87</v>
      </c>
      <c r="X56" s="37"/>
      <c r="Y56" s="37" t="s">
        <v>287</v>
      </c>
    </row>
    <row r="57" customFormat="false" ht="15" hidden="false" customHeight="false" outlineLevel="0" collapsed="false">
      <c r="A57" s="37" t="s">
        <v>288</v>
      </c>
      <c r="B57" s="37" t="n">
        <v>31</v>
      </c>
      <c r="C57" s="37" t="str">
        <f aca="false">IF(B57="","",IF(B57&lt;18,"Under 18",IF(B57&lt;25,"18-24",IF(B57&lt;35,"25-34",IF(B57&lt;45,"35-44","45+")))))</f>
        <v>25-34</v>
      </c>
      <c r="D57" s="37" t="s">
        <v>134</v>
      </c>
      <c r="E57" s="37" t="s">
        <v>69</v>
      </c>
      <c r="F57" s="37" t="s">
        <v>48</v>
      </c>
      <c r="G57" s="37" t="s">
        <v>139</v>
      </c>
      <c r="H57" s="37" t="s">
        <v>140</v>
      </c>
      <c r="I57" s="37" t="s">
        <v>43</v>
      </c>
      <c r="J57" s="38" t="n">
        <v>5355</v>
      </c>
      <c r="K57" s="37" t="s">
        <v>26</v>
      </c>
      <c r="L57" s="37" t="s">
        <v>43</v>
      </c>
      <c r="M57" s="39" t="n">
        <v>4.6</v>
      </c>
      <c r="N57" s="39" t="n">
        <v>8.7</v>
      </c>
      <c r="O57" s="40" t="n">
        <f aca="false">IF(OR(M57="",N57=""),"",M57/N57)</f>
        <v>0.528735632183908</v>
      </c>
      <c r="P57" s="41" t="n">
        <v>0</v>
      </c>
      <c r="Q57" s="37" t="str">
        <f aca="false">IF(P57="","",IF(P57=0,"Free","Paid"))</f>
        <v>Free</v>
      </c>
      <c r="R57" s="39" t="n">
        <v>8.8</v>
      </c>
      <c r="S57" s="37" t="n">
        <v>2</v>
      </c>
      <c r="T57" s="37" t="n">
        <v>6</v>
      </c>
      <c r="U57" s="39" t="n">
        <v>11.5</v>
      </c>
      <c r="V57" s="42" t="n">
        <f aca="false">IF(OR(U57="",M57="",M57=0),"",U57/(M57*7))</f>
        <v>0.357142857142857</v>
      </c>
      <c r="W57" s="37" t="s">
        <v>87</v>
      </c>
      <c r="X57" s="37"/>
      <c r="Y57" s="37" t="s">
        <v>289</v>
      </c>
    </row>
    <row r="58" customFormat="false" ht="15" hidden="false" customHeight="false" outlineLevel="0" collapsed="false">
      <c r="A58" s="37" t="s">
        <v>290</v>
      </c>
      <c r="B58" s="37" t="n">
        <v>22</v>
      </c>
      <c r="C58" s="37" t="str">
        <f aca="false">IF(B58="","",IF(B58&lt;18,"Under 18",IF(B58&lt;25,"18-24",IF(B58&lt;35,"25-34",IF(B58&lt;45,"35-44","45+")))))</f>
        <v>18-24</v>
      </c>
      <c r="D58" s="37" t="s">
        <v>134</v>
      </c>
      <c r="E58" s="37" t="s">
        <v>67</v>
      </c>
      <c r="F58" s="37" t="s">
        <v>47</v>
      </c>
      <c r="G58" s="37" t="s">
        <v>160</v>
      </c>
      <c r="H58" s="37" t="s">
        <v>172</v>
      </c>
      <c r="I58" s="37" t="s">
        <v>96</v>
      </c>
      <c r="J58" s="38" t="n">
        <v>86</v>
      </c>
      <c r="K58" s="37" t="s">
        <v>26</v>
      </c>
      <c r="L58" s="37" t="s">
        <v>39</v>
      </c>
      <c r="M58" s="39" t="n">
        <v>1.4</v>
      </c>
      <c r="N58" s="39"/>
      <c r="O58" s="40" t="str">
        <f aca="false">IF(OR(M58="",N58=""),"",M58/N58)</f>
        <v/>
      </c>
      <c r="P58" s="41" t="n">
        <v>0</v>
      </c>
      <c r="Q58" s="37" t="str">
        <f aca="false">IF(P58="","",IF(P58=0,"Free","Paid"))</f>
        <v>Free</v>
      </c>
      <c r="R58" s="39" t="n">
        <v>1.9</v>
      </c>
      <c r="S58" s="37" t="n">
        <v>3</v>
      </c>
      <c r="T58" s="37" t="n">
        <v>5</v>
      </c>
      <c r="U58" s="39" t="n">
        <v>1.7</v>
      </c>
      <c r="V58" s="42" t="n">
        <f aca="false">IF(OR(U58="",M58="",M58=0),"",U58/(M58*7))</f>
        <v>0.173469387755102</v>
      </c>
      <c r="W58" s="37" t="s">
        <v>87</v>
      </c>
      <c r="X58" s="37"/>
      <c r="Y58" s="37" t="s">
        <v>291</v>
      </c>
    </row>
    <row r="59" customFormat="false" ht="15" hidden="false" customHeight="false" outlineLevel="0" collapsed="false">
      <c r="A59" s="37" t="s">
        <v>292</v>
      </c>
      <c r="B59" s="37" t="n">
        <v>21</v>
      </c>
      <c r="C59" s="37" t="str">
        <f aca="false">IF(B59="","",IF(B59&lt;18,"Under 18",IF(B59&lt;25,"18-24",IF(B59&lt;35,"25-34",IF(B59&lt;45,"35-44","45+")))))</f>
        <v>18-24</v>
      </c>
      <c r="D59" s="37" t="s">
        <v>134</v>
      </c>
      <c r="E59" s="37" t="s">
        <v>65</v>
      </c>
      <c r="F59" s="37" t="s">
        <v>47</v>
      </c>
      <c r="G59" s="37" t="s">
        <v>160</v>
      </c>
      <c r="H59" s="37" t="s">
        <v>293</v>
      </c>
      <c r="I59" s="37" t="s">
        <v>92</v>
      </c>
      <c r="J59" s="38" t="n">
        <v>62</v>
      </c>
      <c r="K59" s="37" t="s">
        <v>25</v>
      </c>
      <c r="L59" s="37" t="s">
        <v>41</v>
      </c>
      <c r="M59" s="39" t="n">
        <v>7.2</v>
      </c>
      <c r="N59" s="39" t="n">
        <v>6.1</v>
      </c>
      <c r="O59" s="40" t="n">
        <f aca="false">IF(OR(M59="",N59=""),"",M59/N59)</f>
        <v>1.18032786885246</v>
      </c>
      <c r="P59" s="41" t="n">
        <v>10</v>
      </c>
      <c r="Q59" s="37" t="str">
        <f aca="false">IF(P59="","",IF(P59=0,"Free","Paid"))</f>
        <v>Paid</v>
      </c>
      <c r="R59" s="39" t="n">
        <v>6.8</v>
      </c>
      <c r="S59" s="37" t="n">
        <v>4</v>
      </c>
      <c r="T59" s="37" t="n">
        <v>7</v>
      </c>
      <c r="U59" s="39" t="n">
        <v>13.2</v>
      </c>
      <c r="V59" s="42" t="n">
        <f aca="false">IF(OR(U59="",M59="",M59=0),"",U59/(M59*7))</f>
        <v>0.261904761904762</v>
      </c>
      <c r="W59" s="37" t="s">
        <v>87</v>
      </c>
      <c r="X59" s="37" t="s">
        <v>179</v>
      </c>
      <c r="Y59" s="37" t="s">
        <v>294</v>
      </c>
    </row>
    <row r="60" customFormat="false" ht="15" hidden="false" customHeight="false" outlineLevel="0" collapsed="false">
      <c r="A60" s="37" t="s">
        <v>295</v>
      </c>
      <c r="B60" s="37" t="n">
        <v>32</v>
      </c>
      <c r="C60" s="37" t="str">
        <f aca="false">IF(B60="","",IF(B60&lt;18,"Under 18",IF(B60&lt;25,"18-24",IF(B60&lt;35,"25-34",IF(B60&lt;45,"35-44","45+")))))</f>
        <v>25-34</v>
      </c>
      <c r="D60" s="37" t="s">
        <v>134</v>
      </c>
      <c r="E60" s="37" t="s">
        <v>64</v>
      </c>
      <c r="F60" s="37" t="s">
        <v>48</v>
      </c>
      <c r="G60" s="37" t="s">
        <v>139</v>
      </c>
      <c r="H60" s="37" t="s">
        <v>296</v>
      </c>
      <c r="I60" s="37" t="s">
        <v>92</v>
      </c>
      <c r="J60" s="38" t="n">
        <v>3337</v>
      </c>
      <c r="K60" s="37" t="s">
        <v>25</v>
      </c>
      <c r="L60" s="37"/>
      <c r="M60" s="39" t="n">
        <v>1.3</v>
      </c>
      <c r="N60" s="39" t="n">
        <v>7.6</v>
      </c>
      <c r="O60" s="40" t="n">
        <f aca="false">IF(OR(M60="",N60=""),"",M60/N60)</f>
        <v>0.171052631578947</v>
      </c>
      <c r="P60" s="41" t="n">
        <v>0</v>
      </c>
      <c r="Q60" s="37" t="str">
        <f aca="false">IF(P60="","",IF(P60=0,"Free","Paid"))</f>
        <v>Free</v>
      </c>
      <c r="R60" s="39" t="n">
        <v>3.8</v>
      </c>
      <c r="S60" s="37" t="n">
        <v>4</v>
      </c>
      <c r="T60" s="37" t="n">
        <v>7</v>
      </c>
      <c r="U60" s="39" t="n">
        <v>2.9</v>
      </c>
      <c r="V60" s="42" t="n">
        <f aca="false">IF(OR(U60="",M60="",M60=0),"",U60/(M60*7))</f>
        <v>0.318681318681319</v>
      </c>
      <c r="W60" s="37" t="s">
        <v>87</v>
      </c>
      <c r="X60" s="37"/>
      <c r="Y60" s="37" t="s">
        <v>297</v>
      </c>
    </row>
    <row r="61" customFormat="false" ht="15" hidden="false" customHeight="false" outlineLevel="0" collapsed="false">
      <c r="A61" s="37" t="s">
        <v>298</v>
      </c>
      <c r="B61" s="37" t="n">
        <v>22</v>
      </c>
      <c r="C61" s="37" t="str">
        <f aca="false">IF(B61="","",IF(B61&lt;18,"Under 18",IF(B61&lt;25,"18-24",IF(B61&lt;35,"25-34",IF(B61&lt;45,"35-44","45+")))))</f>
        <v>18-24</v>
      </c>
      <c r="D61" s="37" t="s">
        <v>134</v>
      </c>
      <c r="E61" s="37" t="s">
        <v>65</v>
      </c>
      <c r="F61" s="37" t="s">
        <v>47</v>
      </c>
      <c r="G61" s="37" t="s">
        <v>139</v>
      </c>
      <c r="H61" s="37" t="s">
        <v>143</v>
      </c>
      <c r="I61" s="37" t="s">
        <v>93</v>
      </c>
      <c r="J61" s="38" t="n">
        <v>113</v>
      </c>
      <c r="K61" s="37" t="s">
        <v>29</v>
      </c>
      <c r="L61" s="37" t="s">
        <v>42</v>
      </c>
      <c r="M61" s="39" t="n">
        <v>1</v>
      </c>
      <c r="N61" s="39" t="n">
        <v>6.5</v>
      </c>
      <c r="O61" s="40" t="n">
        <f aca="false">IF(OR(M61="",N61=""),"",M61/N61)</f>
        <v>0.153846153846154</v>
      </c>
      <c r="P61" s="41" t="n">
        <v>0</v>
      </c>
      <c r="Q61" s="37" t="str">
        <f aca="false">IF(P61="","",IF(P61=0,"Free","Paid"))</f>
        <v>Free</v>
      </c>
      <c r="R61" s="39" t="n">
        <v>3.2</v>
      </c>
      <c r="S61" s="37" t="n">
        <v>3</v>
      </c>
      <c r="T61" s="37" t="n">
        <v>3</v>
      </c>
      <c r="U61" s="39" t="n">
        <v>4.2</v>
      </c>
      <c r="V61" s="42" t="n">
        <f aca="false">IF(OR(U61="",M61="",M61=0),"",U61/(M61*7))</f>
        <v>0.6</v>
      </c>
      <c r="W61" s="37" t="s">
        <v>89</v>
      </c>
      <c r="X61" s="37"/>
      <c r="Y61" s="37" t="s">
        <v>299</v>
      </c>
    </row>
    <row r="62" customFormat="false" ht="15" hidden="false" customHeight="false" outlineLevel="0" collapsed="false">
      <c r="A62" s="37" t="s">
        <v>300</v>
      </c>
      <c r="B62" s="37" t="n">
        <v>21</v>
      </c>
      <c r="C62" s="37" t="str">
        <f aca="false">IF(B62="","",IF(B62&lt;18,"Under 18",IF(B62&lt;25,"18-24",IF(B62&lt;35,"25-34",IF(B62&lt;45,"35-44","45+")))))</f>
        <v>18-24</v>
      </c>
      <c r="D62" s="37" t="s">
        <v>134</v>
      </c>
      <c r="E62" s="37" t="s">
        <v>66</v>
      </c>
      <c r="F62" s="37" t="s">
        <v>47</v>
      </c>
      <c r="G62" s="37" t="s">
        <v>149</v>
      </c>
      <c r="H62" s="37" t="s">
        <v>143</v>
      </c>
      <c r="I62" s="37" t="s">
        <v>93</v>
      </c>
      <c r="J62" s="38" t="n">
        <v>118</v>
      </c>
      <c r="K62" s="37" t="s">
        <v>26</v>
      </c>
      <c r="L62" s="37" t="s">
        <v>37</v>
      </c>
      <c r="M62" s="39"/>
      <c r="N62" s="39" t="n">
        <v>6.3</v>
      </c>
      <c r="O62" s="40" t="str">
        <f aca="false">IF(OR(M62="",N62=""),"",M62/N62)</f>
        <v/>
      </c>
      <c r="P62" s="41" t="n">
        <v>0</v>
      </c>
      <c r="Q62" s="37" t="str">
        <f aca="false">IF(P62="","",IF(P62=0,"Free","Paid"))</f>
        <v>Free</v>
      </c>
      <c r="R62" s="39" t="n">
        <v>7.6</v>
      </c>
      <c r="S62" s="37" t="n">
        <v>2</v>
      </c>
      <c r="T62" s="37" t="n">
        <v>6</v>
      </c>
      <c r="U62" s="39" t="n">
        <v>12.4</v>
      </c>
      <c r="V62" s="42" t="str">
        <f aca="false">IF(OR(U62="",M62="",M62=0),"",U62/(M62*7))</f>
        <v/>
      </c>
      <c r="W62" s="37" t="s">
        <v>87</v>
      </c>
      <c r="X62" s="37"/>
      <c r="Y62" s="37"/>
    </row>
    <row r="63" customFormat="false" ht="15" hidden="false" customHeight="false" outlineLevel="0" collapsed="false">
      <c r="A63" s="37" t="s">
        <v>301</v>
      </c>
      <c r="B63" s="37" t="n">
        <v>47</v>
      </c>
      <c r="C63" s="37" t="str">
        <f aca="false">IF(B63="","",IF(B63&lt;18,"Under 18",IF(B63&lt;25,"18-24",IF(B63&lt;35,"25-34",IF(B63&lt;45,"35-44","45+")))))</f>
        <v>45+</v>
      </c>
      <c r="D63" s="37" t="s">
        <v>134</v>
      </c>
      <c r="E63" s="37" t="s">
        <v>70</v>
      </c>
      <c r="F63" s="37" t="s">
        <v>48</v>
      </c>
      <c r="G63" s="37" t="s">
        <v>139</v>
      </c>
      <c r="H63" s="37" t="s">
        <v>302</v>
      </c>
      <c r="I63" s="37" t="s">
        <v>94</v>
      </c>
      <c r="J63" s="38" t="n">
        <v>1104</v>
      </c>
      <c r="K63" s="37" t="s">
        <v>30</v>
      </c>
      <c r="L63" s="37" t="s">
        <v>42</v>
      </c>
      <c r="M63" s="39" t="n">
        <v>3.4</v>
      </c>
      <c r="N63" s="39" t="n">
        <v>7.3</v>
      </c>
      <c r="O63" s="40" t="n">
        <f aca="false">IF(OR(M63="",N63=""),"",M63/N63)</f>
        <v>0.465753424657534</v>
      </c>
      <c r="P63" s="41" t="n">
        <v>20</v>
      </c>
      <c r="Q63" s="37" t="str">
        <f aca="false">IF(P63="","",IF(P63=0,"Free","Paid"))</f>
        <v>Paid</v>
      </c>
      <c r="R63" s="39" t="n">
        <v>4.9</v>
      </c>
      <c r="S63" s="37" t="n">
        <v>3</v>
      </c>
      <c r="T63" s="37" t="n">
        <v>5</v>
      </c>
      <c r="U63" s="39" t="n">
        <v>7.4</v>
      </c>
      <c r="V63" s="42" t="n">
        <f aca="false">IF(OR(U63="",M63="",M63=0),"",U63/(M63*7))</f>
        <v>0.310924369747899</v>
      </c>
      <c r="W63" s="37" t="s">
        <v>89</v>
      </c>
      <c r="X63" s="37"/>
      <c r="Y63" s="37" t="s">
        <v>303</v>
      </c>
    </row>
    <row r="64" customFormat="false" ht="15" hidden="false" customHeight="false" outlineLevel="0" collapsed="false">
      <c r="A64" s="37" t="s">
        <v>304</v>
      </c>
      <c r="B64" s="37" t="n">
        <v>33</v>
      </c>
      <c r="C64" s="37" t="str">
        <f aca="false">IF(B64="","",IF(B64&lt;18,"Under 18",IF(B64&lt;25,"18-24",IF(B64&lt;35,"25-34",IF(B64&lt;45,"35-44","45+")))))</f>
        <v>25-34</v>
      </c>
      <c r="D64" s="37" t="s">
        <v>134</v>
      </c>
      <c r="E64" s="37" t="s">
        <v>67</v>
      </c>
      <c r="F64" s="37" t="s">
        <v>48</v>
      </c>
      <c r="G64" s="37" t="s">
        <v>139</v>
      </c>
      <c r="H64" s="37" t="s">
        <v>305</v>
      </c>
      <c r="I64" s="37" t="s">
        <v>93</v>
      </c>
      <c r="J64" s="38" t="n">
        <v>552</v>
      </c>
      <c r="K64" s="37" t="s">
        <v>26</v>
      </c>
      <c r="L64" s="37" t="s">
        <v>37</v>
      </c>
      <c r="M64" s="39" t="n">
        <v>0.5</v>
      </c>
      <c r="N64" s="39" t="n">
        <v>10.2</v>
      </c>
      <c r="O64" s="40" t="n">
        <f aca="false">IF(OR(M64="",N64=""),"",M64/N64)</f>
        <v>0.0490196078431373</v>
      </c>
      <c r="P64" s="41" t="n">
        <v>20</v>
      </c>
      <c r="Q64" s="37" t="str">
        <f aca="false">IF(P64="","",IF(P64=0,"Free","Paid"))</f>
        <v>Paid</v>
      </c>
      <c r="R64" s="39" t="n">
        <v>2.9</v>
      </c>
      <c r="S64" s="37" t="n">
        <v>3</v>
      </c>
      <c r="T64" s="37" t="n">
        <v>5</v>
      </c>
      <c r="U64" s="39" t="n">
        <v>0.1</v>
      </c>
      <c r="V64" s="42" t="n">
        <f aca="false">IF(OR(U64="",M64="",M64=0),"",U64/(M64*7))</f>
        <v>0.0285714285714286</v>
      </c>
      <c r="W64" s="37" t="s">
        <v>89</v>
      </c>
      <c r="X64" s="37"/>
      <c r="Y64" s="37" t="s">
        <v>306</v>
      </c>
    </row>
    <row r="65" customFormat="false" ht="15" hidden="false" customHeight="false" outlineLevel="0" collapsed="false">
      <c r="A65" s="37" t="s">
        <v>307</v>
      </c>
      <c r="B65" s="37" t="n">
        <v>20</v>
      </c>
      <c r="C65" s="37" t="str">
        <f aca="false">IF(B65="","",IF(B65&lt;18,"Under 18",IF(B65&lt;25,"18-24",IF(B65&lt;35,"25-34",IF(B65&lt;45,"35-44","45+")))))</f>
        <v>18-24</v>
      </c>
      <c r="D65" s="37" t="s">
        <v>134</v>
      </c>
      <c r="E65" s="37" t="s">
        <v>62</v>
      </c>
      <c r="F65" s="37" t="s">
        <v>47</v>
      </c>
      <c r="G65" s="37" t="s">
        <v>149</v>
      </c>
      <c r="H65" s="37" t="s">
        <v>308</v>
      </c>
      <c r="I65" s="37" t="s">
        <v>92</v>
      </c>
      <c r="J65" s="38" t="n">
        <v>79</v>
      </c>
      <c r="K65" s="37" t="s">
        <v>26</v>
      </c>
      <c r="L65" s="37" t="s">
        <v>41</v>
      </c>
      <c r="M65" s="39" t="n">
        <v>3.5</v>
      </c>
      <c r="N65" s="39" t="n">
        <v>6.2</v>
      </c>
      <c r="O65" s="40" t="n">
        <f aca="false">IF(OR(M65="",N65=""),"",M65/N65)</f>
        <v>0.564516129032258</v>
      </c>
      <c r="P65" s="41" t="n">
        <v>20</v>
      </c>
      <c r="Q65" s="37" t="str">
        <f aca="false">IF(P65="","",IF(P65=0,"Free","Paid"))</f>
        <v>Paid</v>
      </c>
      <c r="R65" s="39" t="n">
        <v>4.7</v>
      </c>
      <c r="S65" s="37" t="n">
        <v>4</v>
      </c>
      <c r="T65" s="37" t="n">
        <v>7</v>
      </c>
      <c r="U65" s="39" t="n">
        <v>8.3</v>
      </c>
      <c r="V65" s="42" t="n">
        <f aca="false">IF(OR(U65="",M65="",M65=0),"",U65/(M65*7))</f>
        <v>0.338775510204082</v>
      </c>
      <c r="W65" s="37" t="s">
        <v>87</v>
      </c>
      <c r="X65" s="37"/>
      <c r="Y65" s="37" t="s">
        <v>309</v>
      </c>
    </row>
    <row r="66" customFormat="false" ht="15" hidden="false" customHeight="false" outlineLevel="0" collapsed="false">
      <c r="A66" s="37" t="s">
        <v>310</v>
      </c>
      <c r="B66" s="37" t="n">
        <v>23</v>
      </c>
      <c r="C66" s="37" t="str">
        <f aca="false">IF(B66="","",IF(B66&lt;18,"Under 18",IF(B66&lt;25,"18-24",IF(B66&lt;35,"25-34",IF(B66&lt;45,"35-44","45+")))))</f>
        <v>18-24</v>
      </c>
      <c r="D66" s="37" t="s">
        <v>134</v>
      </c>
      <c r="E66" s="37" t="s">
        <v>66</v>
      </c>
      <c r="F66" s="37" t="s">
        <v>47</v>
      </c>
      <c r="G66" s="37" t="s">
        <v>135</v>
      </c>
      <c r="H66" s="37" t="s">
        <v>311</v>
      </c>
      <c r="I66" s="37" t="s">
        <v>95</v>
      </c>
      <c r="J66" s="38" t="n">
        <v>614</v>
      </c>
      <c r="K66" s="37" t="s">
        <v>28</v>
      </c>
      <c r="L66" s="37" t="s">
        <v>40</v>
      </c>
      <c r="M66" s="39" t="n">
        <v>1</v>
      </c>
      <c r="N66" s="39" t="n">
        <v>6.6</v>
      </c>
      <c r="O66" s="40" t="n">
        <f aca="false">IF(OR(M66="",N66=""),"",M66/N66)</f>
        <v>0.151515151515152</v>
      </c>
      <c r="P66" s="41" t="n">
        <v>20</v>
      </c>
      <c r="Q66" s="37" t="str">
        <f aca="false">IF(P66="","",IF(P66=0,"Free","Paid"))</f>
        <v>Paid</v>
      </c>
      <c r="R66" s="39" t="n">
        <v>2.5</v>
      </c>
      <c r="S66" s="37" t="n">
        <v>4</v>
      </c>
      <c r="T66" s="37" t="n">
        <v>6</v>
      </c>
      <c r="U66" s="39" t="n">
        <v>0.7</v>
      </c>
      <c r="V66" s="42" t="n">
        <f aca="false">IF(OR(U66="",M66="",M66=0),"",U66/(M66*7))</f>
        <v>0.1</v>
      </c>
      <c r="W66" s="37" t="s">
        <v>88</v>
      </c>
      <c r="X66" s="37"/>
      <c r="Y66" s="37" t="s">
        <v>312</v>
      </c>
    </row>
    <row r="67" customFormat="false" ht="15" hidden="false" customHeight="false" outlineLevel="0" collapsed="false">
      <c r="A67" s="37" t="s">
        <v>313</v>
      </c>
      <c r="B67" s="37" t="n">
        <v>37</v>
      </c>
      <c r="C67" s="37" t="str">
        <f aca="false">IF(B67="","",IF(B67&lt;18,"Under 18",IF(B67&lt;25,"18-24",IF(B67&lt;35,"25-34",IF(B67&lt;45,"35-44","45+")))))</f>
        <v>35-44</v>
      </c>
      <c r="D67" s="37" t="s">
        <v>145</v>
      </c>
      <c r="E67" s="37" t="s">
        <v>62</v>
      </c>
      <c r="F67" s="37" t="s">
        <v>48</v>
      </c>
      <c r="G67" s="37" t="s">
        <v>195</v>
      </c>
      <c r="H67" s="37" t="s">
        <v>175</v>
      </c>
      <c r="I67" s="37" t="s">
        <v>93</v>
      </c>
      <c r="J67" s="38" t="n">
        <v>1404</v>
      </c>
      <c r="K67" s="37" t="s">
        <v>25</v>
      </c>
      <c r="L67" s="37" t="s">
        <v>37</v>
      </c>
      <c r="M67" s="39" t="n">
        <v>1.7</v>
      </c>
      <c r="N67" s="39" t="n">
        <v>6.4</v>
      </c>
      <c r="O67" s="40" t="n">
        <f aca="false">IF(OR(M67="",N67=""),"",M67/N67)</f>
        <v>0.265625</v>
      </c>
      <c r="P67" s="41"/>
      <c r="Q67" s="37" t="str">
        <f aca="false">IF(P67="","",IF(P67=0,"Free","Paid"))</f>
        <v/>
      </c>
      <c r="R67" s="39" t="n">
        <v>5.7</v>
      </c>
      <c r="S67" s="37" t="n">
        <v>5</v>
      </c>
      <c r="T67" s="37" t="n">
        <v>7</v>
      </c>
      <c r="U67" s="39" t="n">
        <v>3.4</v>
      </c>
      <c r="V67" s="42" t="n">
        <f aca="false">IF(OR(U67="",M67="",M67=0),"",U67/(M67*7))</f>
        <v>0.285714285714286</v>
      </c>
      <c r="W67" s="37" t="s">
        <v>87</v>
      </c>
      <c r="X67" s="37"/>
      <c r="Y67" s="37" t="s">
        <v>314</v>
      </c>
    </row>
    <row r="68" customFormat="false" ht="15" hidden="false" customHeight="false" outlineLevel="0" collapsed="false">
      <c r="A68" s="37" t="s">
        <v>315</v>
      </c>
      <c r="B68" s="37" t="n">
        <v>23</v>
      </c>
      <c r="C68" s="37" t="str">
        <f aca="false">IF(B68="","",IF(B68&lt;18,"Under 18",IF(B68&lt;25,"18-24",IF(B68&lt;35,"25-34",IF(B68&lt;45,"35-44","45+")))))</f>
        <v>18-24</v>
      </c>
      <c r="D68" s="37" t="s">
        <v>278</v>
      </c>
      <c r="E68" s="37"/>
      <c r="F68" s="37" t="s">
        <v>47</v>
      </c>
      <c r="G68" s="37" t="s">
        <v>135</v>
      </c>
      <c r="H68" s="37" t="s">
        <v>178</v>
      </c>
      <c r="I68" s="37" t="s">
        <v>93</v>
      </c>
      <c r="J68" s="38" t="n">
        <v>0</v>
      </c>
      <c r="K68" s="37" t="s">
        <v>27</v>
      </c>
      <c r="L68" s="37" t="s">
        <v>37</v>
      </c>
      <c r="M68" s="39" t="n">
        <v>1</v>
      </c>
      <c r="N68" s="39" t="n">
        <v>6.2</v>
      </c>
      <c r="O68" s="40" t="n">
        <f aca="false">IF(OR(M68="",N68=""),"",M68/N68)</f>
        <v>0.161290322580645</v>
      </c>
      <c r="P68" s="41" t="n">
        <v>20</v>
      </c>
      <c r="Q68" s="37" t="str">
        <f aca="false">IF(P68="","",IF(P68=0,"Free","Paid"))</f>
        <v>Paid</v>
      </c>
      <c r="R68" s="39" t="n">
        <v>3.3</v>
      </c>
      <c r="S68" s="37" t="n">
        <v>3</v>
      </c>
      <c r="T68" s="37" t="n">
        <v>5</v>
      </c>
      <c r="U68" s="39" t="n">
        <v>2.6</v>
      </c>
      <c r="V68" s="42" t="n">
        <f aca="false">IF(OR(U68="",M68="",M68=0),"",U68/(M68*7))</f>
        <v>0.371428571428571</v>
      </c>
      <c r="W68" s="37" t="s">
        <v>87</v>
      </c>
      <c r="X68" s="37"/>
      <c r="Y68" s="37" t="s">
        <v>316</v>
      </c>
    </row>
    <row r="69" customFormat="false" ht="15" hidden="false" customHeight="false" outlineLevel="0" collapsed="false">
      <c r="A69" s="37" t="s">
        <v>317</v>
      </c>
      <c r="B69" s="37" t="n">
        <v>20</v>
      </c>
      <c r="C69" s="37" t="str">
        <f aca="false">IF(B69="","",IF(B69&lt;18,"Under 18",IF(B69&lt;25,"18-24",IF(B69&lt;35,"25-34",IF(B69&lt;45,"35-44","45+")))))</f>
        <v>18-24</v>
      </c>
      <c r="D69" s="37" t="s">
        <v>134</v>
      </c>
      <c r="E69" s="37" t="s">
        <v>66</v>
      </c>
      <c r="F69" s="37" t="s">
        <v>47</v>
      </c>
      <c r="G69" s="37" t="s">
        <v>149</v>
      </c>
      <c r="H69" s="37" t="s">
        <v>143</v>
      </c>
      <c r="I69" s="37" t="s">
        <v>93</v>
      </c>
      <c r="J69" s="38" t="n">
        <v>0</v>
      </c>
      <c r="K69" s="37" t="s">
        <v>25</v>
      </c>
      <c r="L69" s="37" t="s">
        <v>37</v>
      </c>
      <c r="M69" s="39" t="n">
        <v>1.3</v>
      </c>
      <c r="N69" s="39" t="n">
        <v>8.1</v>
      </c>
      <c r="O69" s="40" t="n">
        <f aca="false">IF(OR(M69="",N69=""),"",M69/N69)</f>
        <v>0.160493827160494</v>
      </c>
      <c r="P69" s="41" t="n">
        <v>0</v>
      </c>
      <c r="Q69" s="37" t="str">
        <f aca="false">IF(P69="","",IF(P69=0,"Free","Paid"))</f>
        <v>Free</v>
      </c>
      <c r="R69" s="39" t="n">
        <v>4.8</v>
      </c>
      <c r="S69" s="37" t="n">
        <v>4</v>
      </c>
      <c r="T69" s="37" t="n">
        <v>7</v>
      </c>
      <c r="U69" s="39" t="n">
        <v>2.9</v>
      </c>
      <c r="V69" s="42" t="n">
        <f aca="false">IF(OR(U69="",M69="",M69=0),"",U69/(M69*7))</f>
        <v>0.318681318681319</v>
      </c>
      <c r="W69" s="37" t="s">
        <v>87</v>
      </c>
      <c r="X69" s="37"/>
      <c r="Y69" s="37" t="s">
        <v>318</v>
      </c>
    </row>
    <row r="70" customFormat="false" ht="15" hidden="false" customHeight="false" outlineLevel="0" collapsed="false">
      <c r="A70" s="37" t="s">
        <v>319</v>
      </c>
      <c r="B70" s="37" t="n">
        <v>31</v>
      </c>
      <c r="C70" s="37" t="str">
        <f aca="false">IF(B70="","",IF(B70&lt;18,"Under 18",IF(B70&lt;25,"18-24",IF(B70&lt;35,"25-34",IF(B70&lt;45,"35-44","45+")))))</f>
        <v>25-34</v>
      </c>
      <c r="D70" s="37" t="s">
        <v>145</v>
      </c>
      <c r="E70" s="37" t="s">
        <v>156</v>
      </c>
      <c r="F70" s="37" t="s">
        <v>47</v>
      </c>
      <c r="G70" s="37" t="s">
        <v>149</v>
      </c>
      <c r="H70" s="37" t="s">
        <v>150</v>
      </c>
      <c r="I70" s="37" t="s">
        <v>95</v>
      </c>
      <c r="J70" s="38" t="n">
        <v>302</v>
      </c>
      <c r="K70" s="37" t="s">
        <v>26</v>
      </c>
      <c r="L70" s="37" t="s">
        <v>39</v>
      </c>
      <c r="M70" s="39" t="n">
        <v>0.7</v>
      </c>
      <c r="N70" s="39" t="n">
        <v>4.5</v>
      </c>
      <c r="O70" s="40" t="n">
        <f aca="false">IF(OR(M70="",N70=""),"",M70/N70)</f>
        <v>0.155555555555556</v>
      </c>
      <c r="P70" s="41" t="n">
        <v>0</v>
      </c>
      <c r="Q70" s="37" t="str">
        <f aca="false">IF(P70="","",IF(P70=0,"Free","Paid"))</f>
        <v>Free</v>
      </c>
      <c r="R70" s="39" t="n">
        <v>3.4</v>
      </c>
      <c r="S70" s="37"/>
      <c r="T70" s="37" t="n">
        <v>5</v>
      </c>
      <c r="U70" s="39" t="n">
        <v>0.8</v>
      </c>
      <c r="V70" s="42" t="n">
        <f aca="false">IF(OR(U70="",M70="",M70=0),"",U70/(M70*7))</f>
        <v>0.163265306122449</v>
      </c>
      <c r="W70" s="37" t="s">
        <v>88</v>
      </c>
      <c r="X70" s="37"/>
      <c r="Y70" s="37" t="s">
        <v>320</v>
      </c>
    </row>
    <row r="71" customFormat="false" ht="15" hidden="false" customHeight="false" outlineLevel="0" collapsed="false">
      <c r="A71" s="37" t="s">
        <v>321</v>
      </c>
      <c r="B71" s="37" t="n">
        <v>35</v>
      </c>
      <c r="C71" s="37" t="str">
        <f aca="false">IF(B71="","",IF(B71&lt;18,"Under 18",IF(B71&lt;25,"18-24",IF(B71&lt;35,"25-34",IF(B71&lt;45,"35-44","45+")))))</f>
        <v>35-44</v>
      </c>
      <c r="D71" s="37"/>
      <c r="E71" s="37" t="s">
        <v>63</v>
      </c>
      <c r="F71" s="37" t="s">
        <v>48</v>
      </c>
      <c r="G71" s="37" t="s">
        <v>195</v>
      </c>
      <c r="H71" s="37" t="s">
        <v>322</v>
      </c>
      <c r="I71" s="37" t="s">
        <v>97</v>
      </c>
      <c r="J71" s="38" t="n">
        <v>5966</v>
      </c>
      <c r="K71" s="37" t="s">
        <v>25</v>
      </c>
      <c r="L71" s="37" t="s">
        <v>44</v>
      </c>
      <c r="M71" s="39" t="n">
        <v>4.9</v>
      </c>
      <c r="N71" s="39" t="n">
        <v>9.3</v>
      </c>
      <c r="O71" s="40" t="n">
        <f aca="false">IF(OR(M71="",N71=""),"",M71/N71)</f>
        <v>0.526881720430108</v>
      </c>
      <c r="P71" s="41" t="n">
        <v>20</v>
      </c>
      <c r="Q71" s="37" t="str">
        <f aca="false">IF(P71="","",IF(P71=0,"Free","Paid"))</f>
        <v>Paid</v>
      </c>
      <c r="R71" s="39" t="n">
        <v>5.7</v>
      </c>
      <c r="S71" s="37" t="n">
        <v>3</v>
      </c>
      <c r="T71" s="37" t="n">
        <v>5</v>
      </c>
      <c r="U71" s="39" t="n">
        <v>11.5</v>
      </c>
      <c r="V71" s="42" t="n">
        <f aca="false">IF(OR(U71="",M71="",M71=0),"",U71/(M71*7))</f>
        <v>0.335276967930029</v>
      </c>
      <c r="W71" s="37" t="s">
        <v>87</v>
      </c>
      <c r="X71" s="37"/>
      <c r="Y71" s="37" t="s">
        <v>323</v>
      </c>
    </row>
    <row r="72" customFormat="false" ht="15" hidden="false" customHeight="false" outlineLevel="0" collapsed="false">
      <c r="A72" s="37" t="s">
        <v>324</v>
      </c>
      <c r="B72" s="37" t="n">
        <v>28</v>
      </c>
      <c r="C72" s="37" t="str">
        <f aca="false">IF(B72="","",IF(B72&lt;18,"Under 18",IF(B72&lt;25,"18-24",IF(B72&lt;35,"25-34",IF(B72&lt;45,"35-44","45+")))))</f>
        <v>25-34</v>
      </c>
      <c r="D72" s="37" t="s">
        <v>134</v>
      </c>
      <c r="E72" s="37" t="s">
        <v>69</v>
      </c>
      <c r="F72" s="37" t="s">
        <v>48</v>
      </c>
      <c r="G72" s="37" t="s">
        <v>135</v>
      </c>
      <c r="H72" s="37" t="s">
        <v>240</v>
      </c>
      <c r="I72" s="37" t="s">
        <v>93</v>
      </c>
      <c r="J72" s="38" t="n">
        <v>3610</v>
      </c>
      <c r="K72" s="37" t="s">
        <v>26</v>
      </c>
      <c r="L72" s="37" t="s">
        <v>37</v>
      </c>
      <c r="M72" s="39" t="n">
        <v>4.3</v>
      </c>
      <c r="N72" s="39" t="n">
        <v>8.1</v>
      </c>
      <c r="O72" s="40" t="n">
        <f aca="false">IF(OR(M72="",N72=""),"",M72/N72)</f>
        <v>0.530864197530864</v>
      </c>
      <c r="P72" s="41" t="n">
        <v>0</v>
      </c>
      <c r="Q72" s="37" t="str">
        <f aca="false">IF(P72="","",IF(P72=0,"Free","Paid"))</f>
        <v>Free</v>
      </c>
      <c r="R72" s="39" t="n">
        <v>6.1</v>
      </c>
      <c r="S72" s="37" t="n">
        <v>3</v>
      </c>
      <c r="T72" s="37" t="n">
        <v>7</v>
      </c>
      <c r="U72" s="39" t="n">
        <v>6.7</v>
      </c>
      <c r="V72" s="42" t="n">
        <f aca="false">IF(OR(U72="",M72="",M72=0),"",U72/(M72*7))</f>
        <v>0.222591362126246</v>
      </c>
      <c r="W72" s="37" t="s">
        <v>87</v>
      </c>
      <c r="X72" s="37"/>
      <c r="Y72" s="37" t="s">
        <v>325</v>
      </c>
    </row>
    <row r="73" customFormat="false" ht="15" hidden="false" customHeight="false" outlineLevel="0" collapsed="false">
      <c r="A73" s="37" t="s">
        <v>326</v>
      </c>
      <c r="B73" s="37" t="n">
        <v>22</v>
      </c>
      <c r="C73" s="37" t="str">
        <f aca="false">IF(B73="","",IF(B73&lt;18,"Under 18",IF(B73&lt;25,"18-24",IF(B73&lt;35,"25-34",IF(B73&lt;45,"35-44","45+")))))</f>
        <v>18-24</v>
      </c>
      <c r="D73" s="37" t="s">
        <v>134</v>
      </c>
      <c r="E73" s="37" t="s">
        <v>70</v>
      </c>
      <c r="F73" s="37" t="s">
        <v>48</v>
      </c>
      <c r="G73" s="37" t="s">
        <v>135</v>
      </c>
      <c r="H73" s="37" t="s">
        <v>182</v>
      </c>
      <c r="I73" s="37" t="s">
        <v>94</v>
      </c>
      <c r="J73" s="38" t="n">
        <v>1091</v>
      </c>
      <c r="K73" s="37"/>
      <c r="L73" s="37" t="s">
        <v>42</v>
      </c>
      <c r="M73" s="39" t="n">
        <v>2.4</v>
      </c>
      <c r="N73" s="39" t="n">
        <v>8</v>
      </c>
      <c r="O73" s="40" t="n">
        <f aca="false">IF(OR(M73="",N73=""),"",M73/N73)</f>
        <v>0.3</v>
      </c>
      <c r="P73" s="41" t="n">
        <v>0</v>
      </c>
      <c r="Q73" s="37" t="str">
        <f aca="false">IF(P73="","",IF(P73=0,"Free","Paid"))</f>
        <v>Free</v>
      </c>
      <c r="R73" s="39" t="n">
        <v>5.4</v>
      </c>
      <c r="S73" s="37" t="n">
        <v>4</v>
      </c>
      <c r="T73" s="37" t="n">
        <v>5</v>
      </c>
      <c r="U73" s="39" t="n">
        <v>2.6</v>
      </c>
      <c r="V73" s="42" t="n">
        <f aca="false">IF(OR(U73="",M73="",M73=0),"",U73/(M73*7))</f>
        <v>0.154761904761905</v>
      </c>
      <c r="W73" s="37" t="s">
        <v>87</v>
      </c>
      <c r="X73" s="37"/>
      <c r="Y73" s="37" t="s">
        <v>327</v>
      </c>
    </row>
    <row r="74" customFormat="false" ht="15" hidden="false" customHeight="false" outlineLevel="0" collapsed="false">
      <c r="A74" s="37" t="s">
        <v>328</v>
      </c>
      <c r="B74" s="37" t="n">
        <v>22</v>
      </c>
      <c r="C74" s="37" t="str">
        <f aca="false">IF(B74="","",IF(B74&lt;18,"Under 18",IF(B74&lt;25,"18-24",IF(B74&lt;35,"25-34",IF(B74&lt;45,"35-44","45+")))))</f>
        <v>18-24</v>
      </c>
      <c r="D74" s="37" t="s">
        <v>278</v>
      </c>
      <c r="E74" s="37" t="s">
        <v>62</v>
      </c>
      <c r="F74" s="37" t="s">
        <v>47</v>
      </c>
      <c r="G74" s="37" t="s">
        <v>149</v>
      </c>
      <c r="H74" s="37" t="s">
        <v>329</v>
      </c>
      <c r="I74" s="37" t="s">
        <v>95</v>
      </c>
      <c r="J74" s="38" t="n">
        <v>68</v>
      </c>
      <c r="K74" s="37" t="s">
        <v>25</v>
      </c>
      <c r="L74" s="37"/>
      <c r="M74" s="39" t="n">
        <v>0.7</v>
      </c>
      <c r="N74" s="39" t="n">
        <v>8.6</v>
      </c>
      <c r="O74" s="40" t="n">
        <f aca="false">IF(OR(M74="",N74=""),"",M74/N74)</f>
        <v>0.0813953488372093</v>
      </c>
      <c r="P74" s="41" t="n">
        <v>0</v>
      </c>
      <c r="Q74" s="37" t="str">
        <f aca="false">IF(P74="","",IF(P74=0,"Free","Paid"))</f>
        <v>Free</v>
      </c>
      <c r="R74" s="39" t="n">
        <v>4.1</v>
      </c>
      <c r="S74" s="37" t="n">
        <v>4</v>
      </c>
      <c r="T74" s="37" t="n">
        <v>6</v>
      </c>
      <c r="U74" s="39" t="n">
        <v>2.1</v>
      </c>
      <c r="V74" s="42" t="n">
        <f aca="false">IF(OR(U74="",M74="",M74=0),"",U74/(M74*7))</f>
        <v>0.428571428571429</v>
      </c>
      <c r="W74" s="37" t="s">
        <v>89</v>
      </c>
      <c r="X74" s="37"/>
      <c r="Y74" s="37" t="s">
        <v>330</v>
      </c>
    </row>
    <row r="75" customFormat="false" ht="15" hidden="false" customHeight="false" outlineLevel="0" collapsed="false">
      <c r="A75" s="37" t="s">
        <v>331</v>
      </c>
      <c r="B75" s="37"/>
      <c r="C75" s="37" t="str">
        <f aca="false">IF(B75="","",IF(B75&lt;18,"Under 18",IF(B75&lt;25,"18-24",IF(B75&lt;35,"25-34",IF(B75&lt;45,"35-44","45+")))))</f>
        <v/>
      </c>
      <c r="D75" s="37" t="s">
        <v>145</v>
      </c>
      <c r="E75" s="37" t="s">
        <v>70</v>
      </c>
      <c r="F75" s="37" t="s">
        <v>47</v>
      </c>
      <c r="G75" s="37" t="s">
        <v>139</v>
      </c>
      <c r="H75" s="37" t="s">
        <v>189</v>
      </c>
      <c r="I75" s="37" t="s">
        <v>92</v>
      </c>
      <c r="J75" s="38"/>
      <c r="K75" s="37" t="s">
        <v>25</v>
      </c>
      <c r="L75" s="37" t="s">
        <v>38</v>
      </c>
      <c r="M75" s="39" t="n">
        <v>2.1</v>
      </c>
      <c r="N75" s="39" t="n">
        <v>5.9</v>
      </c>
      <c r="O75" s="40" t="n">
        <f aca="false">IF(OR(M75="",N75=""),"",M75/N75)</f>
        <v>0.355932203389831</v>
      </c>
      <c r="P75" s="41" t="n">
        <v>0</v>
      </c>
      <c r="Q75" s="37" t="str">
        <f aca="false">IF(P75="","",IF(P75=0,"Free","Paid"))</f>
        <v>Free</v>
      </c>
      <c r="R75" s="39" t="n">
        <v>4.7</v>
      </c>
      <c r="S75" s="37" t="n">
        <v>5</v>
      </c>
      <c r="T75" s="37" t="n">
        <v>8</v>
      </c>
      <c r="U75" s="39"/>
      <c r="V75" s="42" t="str">
        <f aca="false">IF(OR(U75="",M75="",M75=0),"",U75/(M75*7))</f>
        <v/>
      </c>
      <c r="W75" s="37" t="s">
        <v>87</v>
      </c>
      <c r="X75" s="37"/>
      <c r="Y75" s="37" t="s">
        <v>332</v>
      </c>
    </row>
    <row r="76" customFormat="false" ht="15" hidden="false" customHeight="false" outlineLevel="0" collapsed="false">
      <c r="A76" s="37" t="s">
        <v>333</v>
      </c>
      <c r="B76" s="37" t="n">
        <v>36</v>
      </c>
      <c r="C76" s="37" t="str">
        <f aca="false">IF(B76="","",IF(B76&lt;18,"Under 18",IF(B76&lt;25,"18-24",IF(B76&lt;35,"25-34",IF(B76&lt;45,"35-44","45+")))))</f>
        <v>35-44</v>
      </c>
      <c r="D76" s="37" t="s">
        <v>145</v>
      </c>
      <c r="E76" s="37" t="s">
        <v>68</v>
      </c>
      <c r="F76" s="37" t="s">
        <v>48</v>
      </c>
      <c r="G76" s="37" t="s">
        <v>246</v>
      </c>
      <c r="H76" s="37" t="s">
        <v>334</v>
      </c>
      <c r="I76" s="37" t="s">
        <v>93</v>
      </c>
      <c r="J76" s="38" t="n">
        <v>1378</v>
      </c>
      <c r="K76" s="37" t="s">
        <v>29</v>
      </c>
      <c r="L76" s="37" t="s">
        <v>37</v>
      </c>
      <c r="M76" s="39" t="n">
        <v>2.1</v>
      </c>
      <c r="N76" s="39" t="n">
        <v>7.8</v>
      </c>
      <c r="O76" s="40" t="n">
        <f aca="false">IF(OR(M76="",N76=""),"",M76/N76)</f>
        <v>0.269230769230769</v>
      </c>
      <c r="P76" s="41" t="n">
        <v>0</v>
      </c>
      <c r="Q76" s="37" t="str">
        <f aca="false">IF(P76="","",IF(P76=0,"Free","Paid"))</f>
        <v>Free</v>
      </c>
      <c r="R76" s="39" t="n">
        <v>3.8</v>
      </c>
      <c r="S76" s="37" t="n">
        <v>4</v>
      </c>
      <c r="T76" s="37" t="n">
        <v>5</v>
      </c>
      <c r="U76" s="39" t="n">
        <v>2.8</v>
      </c>
      <c r="V76" s="42" t="n">
        <f aca="false">IF(OR(U76="",M76="",M76=0),"",U76/(M76*7))</f>
        <v>0.19047619047619</v>
      </c>
      <c r="W76" s="37" t="s">
        <v>87</v>
      </c>
      <c r="X76" s="37"/>
      <c r="Y76" s="37"/>
    </row>
    <row r="77" customFormat="false" ht="15" hidden="false" customHeight="false" outlineLevel="0" collapsed="false">
      <c r="A77" s="37" t="s">
        <v>335</v>
      </c>
      <c r="B77" s="37" t="n">
        <v>17</v>
      </c>
      <c r="C77" s="37" t="str">
        <f aca="false">IF(B77="","",IF(B77&lt;18,"Under 18",IF(B77&lt;25,"18-24",IF(B77&lt;35,"25-34",IF(B77&lt;45,"35-44","45+")))))</f>
        <v>Under 18</v>
      </c>
      <c r="D77" s="37" t="s">
        <v>134</v>
      </c>
      <c r="E77" s="37" t="s">
        <v>63</v>
      </c>
      <c r="F77" s="37" t="s">
        <v>47</v>
      </c>
      <c r="G77" s="37" t="s">
        <v>160</v>
      </c>
      <c r="H77" s="37" t="s">
        <v>336</v>
      </c>
      <c r="I77" s="37" t="s">
        <v>95</v>
      </c>
      <c r="J77" s="38" t="n">
        <v>884</v>
      </c>
      <c r="K77" s="37"/>
      <c r="L77" s="37" t="s">
        <v>40</v>
      </c>
      <c r="M77" s="39" t="n">
        <v>7</v>
      </c>
      <c r="N77" s="39" t="n">
        <v>5.8</v>
      </c>
      <c r="O77" s="40" t="n">
        <f aca="false">IF(OR(M77="",N77=""),"",M77/N77)</f>
        <v>1.20689655172414</v>
      </c>
      <c r="P77" s="41" t="n">
        <v>20</v>
      </c>
      <c r="Q77" s="37" t="str">
        <f aca="false">IF(P77="","",IF(P77=0,"Free","Paid"))</f>
        <v>Paid</v>
      </c>
      <c r="R77" s="39" t="n">
        <v>9.7</v>
      </c>
      <c r="S77" s="37" t="n">
        <v>4</v>
      </c>
      <c r="T77" s="37" t="n">
        <v>10</v>
      </c>
      <c r="U77" s="39" t="n">
        <v>12.8</v>
      </c>
      <c r="V77" s="42" t="n">
        <f aca="false">IF(OR(U77="",M77="",M77=0),"",U77/(M77*7))</f>
        <v>0.261224489795918</v>
      </c>
      <c r="W77" s="37" t="s">
        <v>87</v>
      </c>
      <c r="X77" s="37" t="s">
        <v>179</v>
      </c>
      <c r="Y77" s="37"/>
    </row>
    <row r="78" customFormat="false" ht="15" hidden="false" customHeight="false" outlineLevel="0" collapsed="false">
      <c r="A78" s="37" t="s">
        <v>337</v>
      </c>
      <c r="B78" s="37" t="n">
        <v>39</v>
      </c>
      <c r="C78" s="37" t="str">
        <f aca="false">IF(B78="","",IF(B78&lt;18,"Under 18",IF(B78&lt;25,"18-24",IF(B78&lt;35,"25-34",IF(B78&lt;45,"35-44","45+")))))</f>
        <v>35-44</v>
      </c>
      <c r="D78" s="37" t="s">
        <v>145</v>
      </c>
      <c r="E78" s="37" t="s">
        <v>63</v>
      </c>
      <c r="F78" s="37" t="s">
        <v>48</v>
      </c>
      <c r="G78" s="37" t="s">
        <v>139</v>
      </c>
      <c r="H78" s="37" t="s">
        <v>182</v>
      </c>
      <c r="I78" s="37" t="s">
        <v>94</v>
      </c>
      <c r="J78" s="38" t="n">
        <v>3204</v>
      </c>
      <c r="K78" s="37" t="s">
        <v>25</v>
      </c>
      <c r="L78" s="37" t="s">
        <v>42</v>
      </c>
      <c r="M78" s="39" t="n">
        <v>2.6</v>
      </c>
      <c r="N78" s="39" t="n">
        <v>9.2</v>
      </c>
      <c r="O78" s="40" t="n">
        <f aca="false">IF(OR(M78="",N78=""),"",M78/N78)</f>
        <v>0.282608695652174</v>
      </c>
      <c r="P78" s="41" t="n">
        <v>0</v>
      </c>
      <c r="Q78" s="37" t="str">
        <f aca="false">IF(P78="","",IF(P78=0,"Free","Paid"))</f>
        <v>Free</v>
      </c>
      <c r="R78" s="39"/>
      <c r="S78" s="37" t="n">
        <v>3</v>
      </c>
      <c r="T78" s="37" t="n">
        <v>6</v>
      </c>
      <c r="U78" s="39" t="n">
        <v>3.6</v>
      </c>
      <c r="V78" s="42" t="n">
        <f aca="false">IF(OR(U78="",M78="",M78=0),"",U78/(M78*7))</f>
        <v>0.197802197802198</v>
      </c>
      <c r="W78" s="37" t="s">
        <v>87</v>
      </c>
      <c r="X78" s="37"/>
      <c r="Y78" s="37" t="s">
        <v>338</v>
      </c>
    </row>
    <row r="79" customFormat="false" ht="15" hidden="false" customHeight="false" outlineLevel="0" collapsed="false">
      <c r="A79" s="37" t="s">
        <v>339</v>
      </c>
      <c r="B79" s="37"/>
      <c r="C79" s="37" t="str">
        <f aca="false">IF(B79="","",IF(B79&lt;18,"Under 18",IF(B79&lt;25,"18-24",IF(B79&lt;35,"25-34",IF(B79&lt;45,"35-44","45+")))))</f>
        <v/>
      </c>
      <c r="D79" s="37" t="s">
        <v>134</v>
      </c>
      <c r="E79" s="37" t="s">
        <v>192</v>
      </c>
      <c r="F79" s="37" t="s">
        <v>48</v>
      </c>
      <c r="G79" s="37" t="s">
        <v>160</v>
      </c>
      <c r="H79" s="37" t="s">
        <v>322</v>
      </c>
      <c r="I79" s="37" t="s">
        <v>97</v>
      </c>
      <c r="J79" s="38" t="n">
        <v>557</v>
      </c>
      <c r="K79" s="37" t="s">
        <v>25</v>
      </c>
      <c r="L79" s="37" t="s">
        <v>44</v>
      </c>
      <c r="M79" s="39" t="n">
        <v>9.9</v>
      </c>
      <c r="N79" s="39" t="n">
        <v>8.5</v>
      </c>
      <c r="O79" s="40" t="n">
        <f aca="false">IF(OR(M79="",N79=""),"",M79/N79)</f>
        <v>1.16470588235294</v>
      </c>
      <c r="P79" s="41" t="n">
        <v>0</v>
      </c>
      <c r="Q79" s="37" t="str">
        <f aca="false">IF(P79="","",IF(P79=0,"Free","Paid"))</f>
        <v>Free</v>
      </c>
      <c r="R79" s="39" t="n">
        <v>8.8</v>
      </c>
      <c r="S79" s="37" t="n">
        <v>5</v>
      </c>
      <c r="T79" s="37" t="n">
        <v>9</v>
      </c>
      <c r="U79" s="39" t="n">
        <v>16.2</v>
      </c>
      <c r="V79" s="42" t="n">
        <f aca="false">IF(OR(U79="",M79="",M79=0),"",U79/(M79*7))</f>
        <v>0.233766233766234</v>
      </c>
      <c r="W79" s="37" t="s">
        <v>87</v>
      </c>
      <c r="X79" s="37" t="s">
        <v>179</v>
      </c>
      <c r="Y79" s="37"/>
    </row>
    <row r="80" customFormat="false" ht="15" hidden="false" customHeight="false" outlineLevel="0" collapsed="false">
      <c r="A80" s="37" t="s">
        <v>340</v>
      </c>
      <c r="B80" s="37" t="n">
        <v>25</v>
      </c>
      <c r="C80" s="37" t="str">
        <f aca="false">IF(B80="","",IF(B80&lt;18,"Under 18",IF(B80&lt;25,"18-24",IF(B80&lt;35,"25-34",IF(B80&lt;45,"35-44","45+")))))</f>
        <v>25-34</v>
      </c>
      <c r="D80" s="37" t="s">
        <v>145</v>
      </c>
      <c r="E80" s="37" t="s">
        <v>71</v>
      </c>
      <c r="F80" s="37" t="s">
        <v>48</v>
      </c>
      <c r="G80" s="37" t="s">
        <v>135</v>
      </c>
      <c r="H80" s="37" t="s">
        <v>341</v>
      </c>
      <c r="I80" s="37" t="s">
        <v>93</v>
      </c>
      <c r="J80" s="38" t="n">
        <v>6851</v>
      </c>
      <c r="K80" s="37" t="s">
        <v>26</v>
      </c>
      <c r="L80" s="37" t="s">
        <v>37</v>
      </c>
      <c r="M80" s="39" t="n">
        <v>4.1</v>
      </c>
      <c r="N80" s="39"/>
      <c r="O80" s="40" t="str">
        <f aca="false">IF(OR(M80="",N80=""),"",M80/N80)</f>
        <v/>
      </c>
      <c r="P80" s="41" t="n">
        <v>0</v>
      </c>
      <c r="Q80" s="37" t="str">
        <f aca="false">IF(P80="","",IF(P80=0,"Free","Paid"))</f>
        <v>Free</v>
      </c>
      <c r="R80" s="39" t="n">
        <v>6</v>
      </c>
      <c r="S80" s="37" t="n">
        <v>4</v>
      </c>
      <c r="T80" s="37" t="n">
        <v>7</v>
      </c>
      <c r="U80" s="39" t="n">
        <v>7.2</v>
      </c>
      <c r="V80" s="42" t="n">
        <f aca="false">IF(OR(U80="",M80="",M80=0),"",U80/(M80*7))</f>
        <v>0.250871080139373</v>
      </c>
      <c r="W80" s="37" t="s">
        <v>87</v>
      </c>
      <c r="X80" s="37"/>
      <c r="Y80" s="37" t="s">
        <v>342</v>
      </c>
    </row>
    <row r="81" customFormat="false" ht="15" hidden="false" customHeight="false" outlineLevel="0" collapsed="false">
      <c r="A81" s="37" t="s">
        <v>343</v>
      </c>
      <c r="B81" s="37" t="n">
        <v>46</v>
      </c>
      <c r="C81" s="37" t="str">
        <f aca="false">IF(B81="","",IF(B81&lt;18,"Under 18",IF(B81&lt;25,"18-24",IF(B81&lt;35,"25-34",IF(B81&lt;45,"35-44","45+")))))</f>
        <v>45+</v>
      </c>
      <c r="D81" s="37" t="s">
        <v>145</v>
      </c>
      <c r="E81" s="37" t="s">
        <v>66</v>
      </c>
      <c r="F81" s="37" t="s">
        <v>48</v>
      </c>
      <c r="G81" s="37" t="s">
        <v>139</v>
      </c>
      <c r="H81" s="37" t="s">
        <v>344</v>
      </c>
      <c r="I81" s="37" t="s">
        <v>43</v>
      </c>
      <c r="J81" s="38" t="n">
        <v>3159</v>
      </c>
      <c r="K81" s="37" t="s">
        <v>29</v>
      </c>
      <c r="L81" s="37" t="s">
        <v>43</v>
      </c>
      <c r="M81" s="39" t="n">
        <v>1.9</v>
      </c>
      <c r="N81" s="39" t="n">
        <v>8.6</v>
      </c>
      <c r="O81" s="40" t="n">
        <f aca="false">IF(OR(M81="",N81=""),"",M81/N81)</f>
        <v>0.22093023255814</v>
      </c>
      <c r="P81" s="41" t="n">
        <v>0</v>
      </c>
      <c r="Q81" s="37" t="str">
        <f aca="false">IF(P81="","",IF(P81=0,"Free","Paid"))</f>
        <v>Free</v>
      </c>
      <c r="R81" s="39" t="n">
        <v>3.4</v>
      </c>
      <c r="S81" s="37"/>
      <c r="T81" s="37" t="n">
        <v>7</v>
      </c>
      <c r="U81" s="39" t="n">
        <v>4.1</v>
      </c>
      <c r="V81" s="42" t="n">
        <f aca="false">IF(OR(U81="",M81="",M81=0),"",U81/(M81*7))</f>
        <v>0.308270676691729</v>
      </c>
      <c r="W81" s="37" t="s">
        <v>87</v>
      </c>
      <c r="X81" s="37"/>
      <c r="Y81" s="37" t="s">
        <v>345</v>
      </c>
    </row>
    <row r="82" customFormat="false" ht="15" hidden="false" customHeight="false" outlineLevel="0" collapsed="false">
      <c r="A82" s="37" t="s">
        <v>346</v>
      </c>
      <c r="B82" s="37" t="n">
        <v>34</v>
      </c>
      <c r="C82" s="37" t="str">
        <f aca="false">IF(B82="","",IF(B82&lt;18,"Under 18",IF(B82&lt;25,"18-24",IF(B82&lt;35,"25-34",IF(B82&lt;45,"35-44","45+")))))</f>
        <v>25-34</v>
      </c>
      <c r="D82" s="37" t="s">
        <v>145</v>
      </c>
      <c r="E82" s="37" t="s">
        <v>63</v>
      </c>
      <c r="F82" s="37" t="s">
        <v>48</v>
      </c>
      <c r="G82" s="37" t="s">
        <v>160</v>
      </c>
      <c r="H82" s="37" t="s">
        <v>347</v>
      </c>
      <c r="I82" s="37" t="s">
        <v>94</v>
      </c>
      <c r="J82" s="38" t="n">
        <v>3878</v>
      </c>
      <c r="K82" s="37"/>
      <c r="L82" s="37" t="s">
        <v>42</v>
      </c>
      <c r="M82" s="39" t="n">
        <v>4.8</v>
      </c>
      <c r="N82" s="39" t="n">
        <v>8.7</v>
      </c>
      <c r="O82" s="40" t="n">
        <f aca="false">IF(OR(M82="",N82=""),"",M82/N82)</f>
        <v>0.551724137931035</v>
      </c>
      <c r="P82" s="41" t="n">
        <v>30</v>
      </c>
      <c r="Q82" s="37" t="str">
        <f aca="false">IF(P82="","",IF(P82=0,"Free","Paid"))</f>
        <v>Paid</v>
      </c>
      <c r="R82" s="39" t="n">
        <v>7.7</v>
      </c>
      <c r="S82" s="37" t="n">
        <v>3</v>
      </c>
      <c r="T82" s="37" t="n">
        <v>6</v>
      </c>
      <c r="U82" s="39" t="n">
        <v>5.7</v>
      </c>
      <c r="V82" s="42" t="n">
        <f aca="false">IF(OR(U82="",M82="",M82=0),"",U82/(M82*7))</f>
        <v>0.169642857142857</v>
      </c>
      <c r="W82" s="37" t="s">
        <v>89</v>
      </c>
      <c r="X82" s="37"/>
      <c r="Y82" s="37" t="s">
        <v>348</v>
      </c>
    </row>
    <row r="83" customFormat="false" ht="15" hidden="false" customHeight="false" outlineLevel="0" collapsed="false">
      <c r="A83" s="37" t="s">
        <v>349</v>
      </c>
      <c r="B83" s="37" t="n">
        <v>24</v>
      </c>
      <c r="C83" s="37" t="str">
        <f aca="false">IF(B83="","",IF(B83&lt;18,"Under 18",IF(B83&lt;25,"18-24",IF(B83&lt;35,"25-34",IF(B83&lt;45,"35-44","45+")))))</f>
        <v>18-24</v>
      </c>
      <c r="D83" s="37" t="s">
        <v>134</v>
      </c>
      <c r="E83" s="37" t="s">
        <v>62</v>
      </c>
      <c r="F83" s="37" t="s">
        <v>48</v>
      </c>
      <c r="G83" s="37" t="s">
        <v>160</v>
      </c>
      <c r="H83" s="37" t="s">
        <v>350</v>
      </c>
      <c r="I83" s="37" t="s">
        <v>94</v>
      </c>
      <c r="J83" s="38" t="n">
        <v>1761</v>
      </c>
      <c r="K83" s="37" t="s">
        <v>26</v>
      </c>
      <c r="L83" s="37" t="s">
        <v>42</v>
      </c>
      <c r="M83" s="39" t="n">
        <v>0.6</v>
      </c>
      <c r="N83" s="39" t="n">
        <v>10.5</v>
      </c>
      <c r="O83" s="40" t="n">
        <f aca="false">IF(OR(M83="",N83=""),"",M83/N83)</f>
        <v>0.0571428571428571</v>
      </c>
      <c r="P83" s="41" t="n">
        <v>50</v>
      </c>
      <c r="Q83" s="37" t="str">
        <f aca="false">IF(P83="","",IF(P83=0,"Free","Paid"))</f>
        <v>Paid</v>
      </c>
      <c r="R83" s="39" t="n">
        <v>3.3</v>
      </c>
      <c r="S83" s="37" t="n">
        <v>3</v>
      </c>
      <c r="T83" s="37" t="n">
        <v>5</v>
      </c>
      <c r="U83" s="39" t="n">
        <v>4.2</v>
      </c>
      <c r="V83" s="42" t="n">
        <f aca="false">IF(OR(U83="",M83="",M83=0),"",U83/(M83*7))</f>
        <v>1</v>
      </c>
      <c r="W83" s="37" t="s">
        <v>87</v>
      </c>
      <c r="X83" s="37"/>
      <c r="Y83" s="37" t="s">
        <v>351</v>
      </c>
    </row>
    <row r="84" customFormat="false" ht="15" hidden="false" customHeight="false" outlineLevel="0" collapsed="false">
      <c r="A84" s="37" t="s">
        <v>352</v>
      </c>
      <c r="B84" s="37" t="n">
        <v>25</v>
      </c>
      <c r="C84" s="37" t="str">
        <f aca="false">IF(B84="","",IF(B84&lt;18,"Under 18",IF(B84&lt;25,"18-24",IF(B84&lt;35,"25-34",IF(B84&lt;45,"35-44","45+")))))</f>
        <v>25-34</v>
      </c>
      <c r="D84" s="37" t="s">
        <v>134</v>
      </c>
      <c r="E84" s="37" t="s">
        <v>64</v>
      </c>
      <c r="F84" s="37" t="s">
        <v>47</v>
      </c>
      <c r="G84" s="37" t="s">
        <v>246</v>
      </c>
      <c r="H84" s="37" t="s">
        <v>353</v>
      </c>
      <c r="I84" s="37" t="s">
        <v>93</v>
      </c>
      <c r="J84" s="38" t="n">
        <v>0</v>
      </c>
      <c r="K84" s="37" t="s">
        <v>25</v>
      </c>
      <c r="L84" s="37" t="s">
        <v>39</v>
      </c>
      <c r="M84" s="39" t="n">
        <v>1.9</v>
      </c>
      <c r="N84" s="39" t="n">
        <v>2.1</v>
      </c>
      <c r="O84" s="40" t="n">
        <f aca="false">IF(OR(M84="",N84=""),"",M84/N84)</f>
        <v>0.904761904761905</v>
      </c>
      <c r="P84" s="41" t="n">
        <v>10</v>
      </c>
      <c r="Q84" s="37" t="str">
        <f aca="false">IF(P84="","",IF(P84=0,"Free","Paid"))</f>
        <v>Paid</v>
      </c>
      <c r="R84" s="39" t="n">
        <v>5.5</v>
      </c>
      <c r="S84" s="37" t="n">
        <v>3</v>
      </c>
      <c r="T84" s="37" t="n">
        <v>5</v>
      </c>
      <c r="U84" s="39" t="n">
        <v>2.9</v>
      </c>
      <c r="V84" s="42" t="n">
        <f aca="false">IF(OR(U84="",M84="",M84=0),"",U84/(M84*7))</f>
        <v>0.218045112781955</v>
      </c>
      <c r="W84" s="37" t="s">
        <v>88</v>
      </c>
      <c r="X84" s="37"/>
      <c r="Y84" s="37" t="s">
        <v>354</v>
      </c>
    </row>
    <row r="85" customFormat="false" ht="15" hidden="false" customHeight="false" outlineLevel="0" collapsed="false">
      <c r="A85" s="37" t="s">
        <v>355</v>
      </c>
      <c r="B85" s="37" t="n">
        <v>29</v>
      </c>
      <c r="C85" s="37" t="str">
        <f aca="false">IF(B85="","",IF(B85&lt;18,"Under 18",IF(B85&lt;25,"18-24",IF(B85&lt;35,"25-34",IF(B85&lt;45,"35-44","45+")))))</f>
        <v>25-34</v>
      </c>
      <c r="D85" s="37" t="s">
        <v>145</v>
      </c>
      <c r="E85" s="37" t="s">
        <v>62</v>
      </c>
      <c r="F85" s="37" t="s">
        <v>48</v>
      </c>
      <c r="G85" s="37" t="s">
        <v>135</v>
      </c>
      <c r="H85" s="37" t="s">
        <v>356</v>
      </c>
      <c r="I85" s="37" t="s">
        <v>92</v>
      </c>
      <c r="J85" s="38" t="n">
        <v>2090</v>
      </c>
      <c r="K85" s="37" t="s">
        <v>25</v>
      </c>
      <c r="L85" s="37" t="s">
        <v>41</v>
      </c>
      <c r="M85" s="39" t="n">
        <v>1.3</v>
      </c>
      <c r="N85" s="39" t="n">
        <v>9.9</v>
      </c>
      <c r="O85" s="40" t="n">
        <f aca="false">IF(OR(M85="",N85=""),"",M85/N85)</f>
        <v>0.131313131313131</v>
      </c>
      <c r="P85" s="41" t="n">
        <v>0</v>
      </c>
      <c r="Q85" s="37" t="str">
        <f aca="false">IF(P85="","",IF(P85=0,"Free","Paid"))</f>
        <v>Free</v>
      </c>
      <c r="R85" s="39" t="n">
        <v>4.3</v>
      </c>
      <c r="S85" s="37" t="n">
        <v>3</v>
      </c>
      <c r="T85" s="37" t="n">
        <v>7</v>
      </c>
      <c r="U85" s="39" t="n">
        <v>2.6</v>
      </c>
      <c r="V85" s="42" t="n">
        <f aca="false">IF(OR(U85="",M85="",M85=0),"",U85/(M85*7))</f>
        <v>0.285714285714286</v>
      </c>
      <c r="W85" s="37" t="s">
        <v>87</v>
      </c>
      <c r="X85" s="37"/>
      <c r="Y85" s="37" t="s">
        <v>357</v>
      </c>
    </row>
    <row r="86" customFormat="false" ht="15" hidden="false" customHeight="false" outlineLevel="0" collapsed="false">
      <c r="A86" s="37" t="s">
        <v>358</v>
      </c>
      <c r="B86" s="37" t="n">
        <v>30</v>
      </c>
      <c r="C86" s="37" t="str">
        <f aca="false">IF(B86="","",IF(B86&lt;18,"Under 18",IF(B86&lt;25,"18-24",IF(B86&lt;35,"25-34",IF(B86&lt;45,"35-44","45+")))))</f>
        <v>25-34</v>
      </c>
      <c r="D86" s="37" t="s">
        <v>134</v>
      </c>
      <c r="E86" s="37" t="s">
        <v>68</v>
      </c>
      <c r="F86" s="37" t="s">
        <v>48</v>
      </c>
      <c r="G86" s="37" t="s">
        <v>135</v>
      </c>
      <c r="H86" s="37" t="s">
        <v>240</v>
      </c>
      <c r="I86" s="37" t="s">
        <v>93</v>
      </c>
      <c r="J86" s="38" t="n">
        <v>579</v>
      </c>
      <c r="K86" s="37" t="s">
        <v>27</v>
      </c>
      <c r="L86" s="37" t="s">
        <v>37</v>
      </c>
      <c r="M86" s="39" t="n">
        <v>3.8</v>
      </c>
      <c r="N86" s="39" t="n">
        <v>7.4</v>
      </c>
      <c r="O86" s="40" t="n">
        <f aca="false">IF(OR(M86="",N86=""),"",M86/N86)</f>
        <v>0.513513513513514</v>
      </c>
      <c r="P86" s="41" t="n">
        <v>0</v>
      </c>
      <c r="Q86" s="37" t="str">
        <f aca="false">IF(P86="","",IF(P86=0,"Free","Paid"))</f>
        <v>Free</v>
      </c>
      <c r="R86" s="39" t="n">
        <v>6.1</v>
      </c>
      <c r="S86" s="37" t="n">
        <v>4</v>
      </c>
      <c r="T86" s="37" t="n">
        <v>6</v>
      </c>
      <c r="U86" s="39" t="n">
        <v>9.4</v>
      </c>
      <c r="V86" s="42" t="n">
        <f aca="false">IF(OR(U86="",M86="",M86=0),"",U86/(M86*7))</f>
        <v>0.353383458646617</v>
      </c>
      <c r="W86" s="37" t="s">
        <v>88</v>
      </c>
      <c r="X86" s="37"/>
      <c r="Y86" s="37" t="s">
        <v>359</v>
      </c>
    </row>
    <row r="87" customFormat="false" ht="15" hidden="false" customHeight="false" outlineLevel="0" collapsed="false">
      <c r="A87" s="37" t="s">
        <v>360</v>
      </c>
      <c r="B87" s="37" t="n">
        <v>24</v>
      </c>
      <c r="C87" s="37" t="str">
        <f aca="false">IF(B87="","",IF(B87&lt;18,"Under 18",IF(B87&lt;25,"18-24",IF(B87&lt;35,"25-34",IF(B87&lt;45,"35-44","45+")))))</f>
        <v>18-24</v>
      </c>
      <c r="D87" s="37" t="s">
        <v>134</v>
      </c>
      <c r="E87" s="37" t="s">
        <v>66</v>
      </c>
      <c r="F87" s="37" t="s">
        <v>47</v>
      </c>
      <c r="G87" s="37" t="s">
        <v>139</v>
      </c>
      <c r="H87" s="37" t="s">
        <v>361</v>
      </c>
      <c r="I87" s="37" t="s">
        <v>95</v>
      </c>
      <c r="J87" s="38" t="n">
        <v>0</v>
      </c>
      <c r="K87" s="37" t="s">
        <v>27</v>
      </c>
      <c r="L87" s="37" t="s">
        <v>40</v>
      </c>
      <c r="M87" s="39" t="n">
        <v>1.3</v>
      </c>
      <c r="N87" s="39" t="n">
        <v>4.8</v>
      </c>
      <c r="O87" s="40" t="n">
        <f aca="false">IF(OR(M87="",N87=""),"",M87/N87)</f>
        <v>0.270833333333333</v>
      </c>
      <c r="P87" s="41" t="n">
        <v>0</v>
      </c>
      <c r="Q87" s="37" t="str">
        <f aca="false">IF(P87="","",IF(P87=0,"Free","Paid"))</f>
        <v>Free</v>
      </c>
      <c r="R87" s="39" t="n">
        <v>5.2</v>
      </c>
      <c r="S87" s="37" t="n">
        <v>4</v>
      </c>
      <c r="T87" s="37" t="n">
        <v>7</v>
      </c>
      <c r="U87" s="39" t="n">
        <v>2.7</v>
      </c>
      <c r="V87" s="42" t="n">
        <f aca="false">IF(OR(U87="",M87="",M87=0),"",U87/(M87*7))</f>
        <v>0.296703296703297</v>
      </c>
      <c r="W87" s="37" t="s">
        <v>87</v>
      </c>
      <c r="X87" s="37"/>
      <c r="Y87" s="37" t="s">
        <v>362</v>
      </c>
    </row>
    <row r="88" customFormat="false" ht="15" hidden="false" customHeight="false" outlineLevel="0" collapsed="false">
      <c r="A88" s="37" t="s">
        <v>363</v>
      </c>
      <c r="B88" s="37"/>
      <c r="C88" s="37" t="str">
        <f aca="false">IF(B88="","",IF(B88&lt;18,"Under 18",IF(B88&lt;25,"18-24",IF(B88&lt;35,"25-34",IF(B88&lt;45,"35-44","45+")))))</f>
        <v/>
      </c>
      <c r="D88" s="37" t="s">
        <v>145</v>
      </c>
      <c r="E88" s="37" t="s">
        <v>69</v>
      </c>
      <c r="F88" s="37" t="s">
        <v>48</v>
      </c>
      <c r="G88" s="37" t="s">
        <v>135</v>
      </c>
      <c r="H88" s="37" t="s">
        <v>364</v>
      </c>
      <c r="I88" s="37" t="s">
        <v>92</v>
      </c>
      <c r="J88" s="38" t="n">
        <v>6779</v>
      </c>
      <c r="K88" s="37" t="s">
        <v>25</v>
      </c>
      <c r="L88" s="37" t="s">
        <v>41</v>
      </c>
      <c r="M88" s="39" t="n">
        <v>2.3</v>
      </c>
      <c r="N88" s="39" t="n">
        <v>11.2</v>
      </c>
      <c r="O88" s="40" t="n">
        <f aca="false">IF(OR(M88="",N88=""),"",M88/N88)</f>
        <v>0.205357142857143</v>
      </c>
      <c r="P88" s="41" t="n">
        <v>0</v>
      </c>
      <c r="Q88" s="37" t="str">
        <f aca="false">IF(P88="","",IF(P88=0,"Free","Paid"))</f>
        <v>Free</v>
      </c>
      <c r="R88" s="39" t="n">
        <v>4.8</v>
      </c>
      <c r="S88" s="37" t="n">
        <v>3</v>
      </c>
      <c r="T88" s="37"/>
      <c r="U88" s="39" t="n">
        <v>2.4</v>
      </c>
      <c r="V88" s="42" t="n">
        <f aca="false">IF(OR(U88="",M88="",M88=0),"",U88/(M88*7))</f>
        <v>0.149068322981366</v>
      </c>
      <c r="W88" s="37" t="s">
        <v>89</v>
      </c>
      <c r="X88" s="37" t="s">
        <v>365</v>
      </c>
      <c r="Y88" s="37" t="s">
        <v>366</v>
      </c>
    </row>
    <row r="89" customFormat="false" ht="15" hidden="false" customHeight="false" outlineLevel="0" collapsed="false">
      <c r="A89" s="37" t="s">
        <v>367</v>
      </c>
      <c r="B89" s="37" t="n">
        <v>33</v>
      </c>
      <c r="C89" s="37" t="str">
        <f aca="false">IF(B89="","",IF(B89&lt;18,"Under 18",IF(B89&lt;25,"18-24",IF(B89&lt;35,"25-34",IF(B89&lt;45,"35-44","45+")))))</f>
        <v>25-34</v>
      </c>
      <c r="D89" s="37" t="s">
        <v>134</v>
      </c>
      <c r="E89" s="37" t="s">
        <v>66</v>
      </c>
      <c r="F89" s="37" t="s">
        <v>48</v>
      </c>
      <c r="G89" s="37" t="s">
        <v>246</v>
      </c>
      <c r="H89" s="37" t="s">
        <v>368</v>
      </c>
      <c r="I89" s="37" t="s">
        <v>93</v>
      </c>
      <c r="J89" s="38" t="n">
        <v>8205</v>
      </c>
      <c r="K89" s="37" t="s">
        <v>25</v>
      </c>
      <c r="L89" s="37" t="s">
        <v>37</v>
      </c>
      <c r="M89" s="39" t="n">
        <v>1.5</v>
      </c>
      <c r="N89" s="39" t="n">
        <v>8.4</v>
      </c>
      <c r="O89" s="40" t="n">
        <f aca="false">IF(OR(M89="",N89=""),"",M89/N89)</f>
        <v>0.178571428571429</v>
      </c>
      <c r="P89" s="41" t="n">
        <v>10</v>
      </c>
      <c r="Q89" s="37" t="str">
        <f aca="false">IF(P89="","",IF(P89=0,"Free","Paid"))</f>
        <v>Paid</v>
      </c>
      <c r="R89" s="39" t="n">
        <v>5</v>
      </c>
      <c r="S89" s="37" t="n">
        <v>4</v>
      </c>
      <c r="T89" s="37" t="n">
        <v>7</v>
      </c>
      <c r="U89" s="39" t="n">
        <v>1.8</v>
      </c>
      <c r="V89" s="42" t="n">
        <f aca="false">IF(OR(U89="",M89="",M89=0),"",U89/(M89*7))</f>
        <v>0.171428571428571</v>
      </c>
      <c r="W89" s="37" t="s">
        <v>87</v>
      </c>
      <c r="X89" s="37"/>
      <c r="Y89" s="37" t="s">
        <v>369</v>
      </c>
    </row>
    <row r="90" customFormat="false" ht="15" hidden="false" customHeight="false" outlineLevel="0" collapsed="false">
      <c r="A90" s="37" t="s">
        <v>370</v>
      </c>
      <c r="B90" s="37" t="n">
        <v>40</v>
      </c>
      <c r="C90" s="37" t="str">
        <f aca="false">IF(B90="","",IF(B90&lt;18,"Under 18",IF(B90&lt;25,"18-24",IF(B90&lt;35,"25-34",IF(B90&lt;45,"35-44","45+")))))</f>
        <v>35-44</v>
      </c>
      <c r="D90" s="37" t="s">
        <v>134</v>
      </c>
      <c r="E90" s="37" t="s">
        <v>62</v>
      </c>
      <c r="F90" s="37" t="s">
        <v>48</v>
      </c>
      <c r="G90" s="37" t="s">
        <v>135</v>
      </c>
      <c r="H90" s="37" t="s">
        <v>371</v>
      </c>
      <c r="I90" s="37" t="s">
        <v>94</v>
      </c>
      <c r="J90" s="38" t="n">
        <v>1575</v>
      </c>
      <c r="K90" s="37" t="s">
        <v>25</v>
      </c>
      <c r="L90" s="37" t="s">
        <v>42</v>
      </c>
      <c r="M90" s="39" t="n">
        <v>0.7</v>
      </c>
      <c r="N90" s="39" t="n">
        <v>8.3</v>
      </c>
      <c r="O90" s="40" t="n">
        <f aca="false">IF(OR(M90="",N90=""),"",M90/N90)</f>
        <v>0.0843373493975904</v>
      </c>
      <c r="P90" s="41" t="n">
        <v>0</v>
      </c>
      <c r="Q90" s="37" t="str">
        <f aca="false">IF(P90="","",IF(P90=0,"Free","Paid"))</f>
        <v>Free</v>
      </c>
      <c r="R90" s="39" t="n">
        <v>3.8</v>
      </c>
      <c r="S90" s="37" t="n">
        <v>4</v>
      </c>
      <c r="T90" s="37" t="n">
        <v>8</v>
      </c>
      <c r="U90" s="39" t="n">
        <v>0.6</v>
      </c>
      <c r="V90" s="42" t="n">
        <f aca="false">IF(OR(U90="",M90="",M90=0),"",U90/(M90*7))</f>
        <v>0.122448979591837</v>
      </c>
      <c r="W90" s="37" t="s">
        <v>89</v>
      </c>
      <c r="X90" s="37"/>
      <c r="Y90" s="37" t="s">
        <v>372</v>
      </c>
    </row>
    <row r="91" customFormat="false" ht="15" hidden="false" customHeight="false" outlineLevel="0" collapsed="false">
      <c r="A91" s="37" t="s">
        <v>373</v>
      </c>
      <c r="B91" s="37" t="n">
        <v>54</v>
      </c>
      <c r="C91" s="37" t="str">
        <f aca="false">IF(B91="","",IF(B91&lt;18,"Under 18",IF(B91&lt;25,"18-24",IF(B91&lt;35,"25-34",IF(B91&lt;45,"35-44","45+")))))</f>
        <v>45+</v>
      </c>
      <c r="D91" s="37" t="s">
        <v>145</v>
      </c>
      <c r="E91" s="37" t="s">
        <v>62</v>
      </c>
      <c r="F91" s="37" t="s">
        <v>48</v>
      </c>
      <c r="G91" s="37" t="s">
        <v>139</v>
      </c>
      <c r="H91" s="37" t="s">
        <v>322</v>
      </c>
      <c r="I91" s="37" t="s">
        <v>97</v>
      </c>
      <c r="J91" s="38" t="n">
        <v>2464</v>
      </c>
      <c r="K91" s="37" t="s">
        <v>26</v>
      </c>
      <c r="L91" s="37" t="s">
        <v>44</v>
      </c>
      <c r="M91" s="39" t="n">
        <v>3.9</v>
      </c>
      <c r="N91" s="39" t="n">
        <v>7.6</v>
      </c>
      <c r="O91" s="40" t="n">
        <f aca="false">IF(OR(M91="",N91=""),"",M91/N91)</f>
        <v>0.513157894736842</v>
      </c>
      <c r="P91" s="41" t="n">
        <v>0</v>
      </c>
      <c r="Q91" s="37" t="str">
        <f aca="false">IF(P91="","",IF(P91=0,"Free","Paid"))</f>
        <v>Free</v>
      </c>
      <c r="R91" s="39" t="n">
        <v>7.7</v>
      </c>
      <c r="S91" s="37" t="n">
        <v>4</v>
      </c>
      <c r="T91" s="37" t="n">
        <v>8</v>
      </c>
      <c r="U91" s="39" t="n">
        <v>6.8</v>
      </c>
      <c r="V91" s="42" t="n">
        <f aca="false">IF(OR(U91="",M91="",M91=0),"",U91/(M91*7))</f>
        <v>0.249084249084249</v>
      </c>
      <c r="W91" s="37" t="s">
        <v>87</v>
      </c>
      <c r="X91" s="37"/>
      <c r="Y91" s="37" t="s">
        <v>374</v>
      </c>
    </row>
    <row r="92" customFormat="false" ht="15" hidden="false" customHeight="false" outlineLevel="0" collapsed="false">
      <c r="A92" s="37" t="s">
        <v>375</v>
      </c>
      <c r="B92" s="37" t="n">
        <v>43</v>
      </c>
      <c r="C92" s="37" t="str">
        <f aca="false">IF(B92="","",IF(B92&lt;18,"Under 18",IF(B92&lt;25,"18-24",IF(B92&lt;35,"25-34",IF(B92&lt;45,"35-44","45+")))))</f>
        <v>35-44</v>
      </c>
      <c r="D92" s="37" t="s">
        <v>145</v>
      </c>
      <c r="E92" s="37" t="s">
        <v>65</v>
      </c>
      <c r="F92" s="37" t="s">
        <v>48</v>
      </c>
      <c r="G92" s="37" t="s">
        <v>135</v>
      </c>
      <c r="H92" s="37" t="s">
        <v>376</v>
      </c>
      <c r="I92" s="37" t="s">
        <v>92</v>
      </c>
      <c r="J92" s="38" t="n">
        <v>730</v>
      </c>
      <c r="K92" s="37" t="s">
        <v>25</v>
      </c>
      <c r="L92" s="37" t="s">
        <v>38</v>
      </c>
      <c r="M92" s="39" t="n">
        <v>1.6</v>
      </c>
      <c r="N92" s="39" t="n">
        <v>9.7</v>
      </c>
      <c r="O92" s="40" t="n">
        <f aca="false">IF(OR(M92="",N92=""),"",M92/N92)</f>
        <v>0.164948453608247</v>
      </c>
      <c r="P92" s="41" t="n">
        <v>20</v>
      </c>
      <c r="Q92" s="37" t="str">
        <f aca="false">IF(P92="","",IF(P92=0,"Free","Paid"))</f>
        <v>Paid</v>
      </c>
      <c r="R92" s="39" t="n">
        <v>5.1</v>
      </c>
      <c r="S92" s="37" t="n">
        <v>4</v>
      </c>
      <c r="T92" s="37" t="n">
        <v>5</v>
      </c>
      <c r="U92" s="39" t="n">
        <v>4.7</v>
      </c>
      <c r="V92" s="42" t="n">
        <f aca="false">IF(OR(U92="",M92="",M92=0),"",U92/(M92*7))</f>
        <v>0.419642857142857</v>
      </c>
      <c r="W92" s="37" t="s">
        <v>88</v>
      </c>
      <c r="X92" s="37"/>
      <c r="Y92" s="37" t="s">
        <v>377</v>
      </c>
    </row>
    <row r="93" customFormat="false" ht="15" hidden="false" customHeight="false" outlineLevel="0" collapsed="false">
      <c r="A93" s="37" t="s">
        <v>378</v>
      </c>
      <c r="B93" s="37" t="n">
        <v>31</v>
      </c>
      <c r="C93" s="37" t="str">
        <f aca="false">IF(B93="","",IF(B93&lt;18,"Under 18",IF(B93&lt;25,"18-24",IF(B93&lt;35,"25-34",IF(B93&lt;45,"35-44","45+")))))</f>
        <v>25-34</v>
      </c>
      <c r="D93" s="37" t="s">
        <v>134</v>
      </c>
      <c r="E93" s="37" t="s">
        <v>62</v>
      </c>
      <c r="F93" s="37" t="s">
        <v>47</v>
      </c>
      <c r="G93" s="37" t="s">
        <v>149</v>
      </c>
      <c r="H93" s="37" t="s">
        <v>379</v>
      </c>
      <c r="I93" s="37" t="s">
        <v>96</v>
      </c>
      <c r="J93" s="38" t="n">
        <v>157</v>
      </c>
      <c r="K93" s="37" t="s">
        <v>25</v>
      </c>
      <c r="L93" s="37" t="s">
        <v>39</v>
      </c>
      <c r="M93" s="39" t="n">
        <v>0.9</v>
      </c>
      <c r="N93" s="39" t="n">
        <v>6.4</v>
      </c>
      <c r="O93" s="40" t="n">
        <f aca="false">IF(OR(M93="",N93=""),"",M93/N93)</f>
        <v>0.140625</v>
      </c>
      <c r="P93" s="41" t="n">
        <v>25</v>
      </c>
      <c r="Q93" s="37" t="str">
        <f aca="false">IF(P93="","",IF(P93=0,"Free","Paid"))</f>
        <v>Paid</v>
      </c>
      <c r="R93" s="39" t="n">
        <v>3.7</v>
      </c>
      <c r="S93" s="37" t="n">
        <v>4</v>
      </c>
      <c r="T93" s="37" t="n">
        <v>6</v>
      </c>
      <c r="U93" s="39" t="n">
        <v>0</v>
      </c>
      <c r="V93" s="42" t="n">
        <f aca="false">IF(OR(U93="",M93="",M93=0),"",U93/(M93*7))</f>
        <v>0</v>
      </c>
      <c r="W93" s="37"/>
      <c r="X93" s="37"/>
      <c r="Y93" s="37" t="s">
        <v>380</v>
      </c>
    </row>
    <row r="94" customFormat="false" ht="15" hidden="false" customHeight="false" outlineLevel="0" collapsed="false">
      <c r="A94" s="37" t="s">
        <v>381</v>
      </c>
      <c r="B94" s="37" t="n">
        <v>25</v>
      </c>
      <c r="C94" s="37" t="str">
        <f aca="false">IF(B94="","",IF(B94&lt;18,"Under 18",IF(B94&lt;25,"18-24",IF(B94&lt;35,"25-34",IF(B94&lt;45,"35-44","45+")))))</f>
        <v>25-34</v>
      </c>
      <c r="D94" s="37" t="s">
        <v>145</v>
      </c>
      <c r="E94" s="37" t="s">
        <v>66</v>
      </c>
      <c r="F94" s="37" t="s">
        <v>48</v>
      </c>
      <c r="G94" s="37"/>
      <c r="H94" s="37" t="s">
        <v>382</v>
      </c>
      <c r="I94" s="37" t="s">
        <v>93</v>
      </c>
      <c r="J94" s="38" t="n">
        <v>2945</v>
      </c>
      <c r="K94" s="37" t="s">
        <v>29</v>
      </c>
      <c r="L94" s="37" t="s">
        <v>37</v>
      </c>
      <c r="M94" s="39"/>
      <c r="N94" s="39" t="n">
        <v>11.3</v>
      </c>
      <c r="O94" s="40" t="str">
        <f aca="false">IF(OR(M94="",N94=""),"",M94/N94)</f>
        <v/>
      </c>
      <c r="P94" s="41" t="n">
        <v>20</v>
      </c>
      <c r="Q94" s="37" t="str">
        <f aca="false">IF(P94="","",IF(P94=0,"Free","Paid"))</f>
        <v>Paid</v>
      </c>
      <c r="R94" s="39" t="n">
        <v>9.4</v>
      </c>
      <c r="S94" s="37" t="n">
        <v>3</v>
      </c>
      <c r="T94" s="37" t="n">
        <v>8</v>
      </c>
      <c r="U94" s="39" t="n">
        <v>15.1</v>
      </c>
      <c r="V94" s="42" t="str">
        <f aca="false">IF(OR(U94="",M94="",M94=0),"",U94/(M94*7))</f>
        <v/>
      </c>
      <c r="W94" s="37" t="s">
        <v>87</v>
      </c>
      <c r="X94" s="37"/>
      <c r="Y94" s="37" t="s">
        <v>383</v>
      </c>
    </row>
    <row r="95" customFormat="false" ht="15" hidden="false" customHeight="false" outlineLevel="0" collapsed="false">
      <c r="A95" s="37" t="s">
        <v>384</v>
      </c>
      <c r="B95" s="37"/>
      <c r="C95" s="37" t="str">
        <f aca="false">IF(B95="","",IF(B95&lt;18,"Under 18",IF(B95&lt;25,"18-24",IF(B95&lt;35,"25-34",IF(B95&lt;45,"35-44","45+")))))</f>
        <v/>
      </c>
      <c r="D95" s="37" t="s">
        <v>134</v>
      </c>
      <c r="E95" s="37" t="s">
        <v>71</v>
      </c>
      <c r="F95" s="37" t="s">
        <v>47</v>
      </c>
      <c r="G95" s="37" t="s">
        <v>160</v>
      </c>
      <c r="H95" s="37" t="s">
        <v>385</v>
      </c>
      <c r="I95" s="37" t="s">
        <v>92</v>
      </c>
      <c r="J95" s="38" t="n">
        <v>366</v>
      </c>
      <c r="K95" s="37" t="s">
        <v>25</v>
      </c>
      <c r="L95" s="37" t="s">
        <v>38</v>
      </c>
      <c r="M95" s="39" t="n">
        <v>0.6</v>
      </c>
      <c r="N95" s="39" t="n">
        <v>7.6</v>
      </c>
      <c r="O95" s="40" t="n">
        <f aca="false">IF(OR(M95="",N95=""),"",M95/N95)</f>
        <v>0.0789473684210526</v>
      </c>
      <c r="P95" s="41" t="n">
        <v>25</v>
      </c>
      <c r="Q95" s="37" t="str">
        <f aca="false">IF(P95="","",IF(P95=0,"Free","Paid"))</f>
        <v>Paid</v>
      </c>
      <c r="R95" s="39" t="n">
        <v>4.1</v>
      </c>
      <c r="S95" s="37"/>
      <c r="T95" s="37" t="n">
        <v>6</v>
      </c>
      <c r="U95" s="39" t="n">
        <v>3</v>
      </c>
      <c r="V95" s="42" t="n">
        <f aca="false">IF(OR(U95="",M95="",M95=0),"",U95/(M95*7))</f>
        <v>0.714285714285714</v>
      </c>
      <c r="W95" s="37" t="s">
        <v>87</v>
      </c>
      <c r="X95" s="37"/>
      <c r="Y95" s="37" t="s">
        <v>386</v>
      </c>
    </row>
    <row r="96" customFormat="false" ht="15" hidden="false" customHeight="false" outlineLevel="0" collapsed="false">
      <c r="A96" s="37" t="s">
        <v>387</v>
      </c>
      <c r="B96" s="37"/>
      <c r="C96" s="37" t="str">
        <f aca="false">IF(B96="","",IF(B96&lt;18,"Under 18",IF(B96&lt;25,"18-24",IF(B96&lt;35,"25-34",IF(B96&lt;45,"35-44","45+")))))</f>
        <v/>
      </c>
      <c r="D96" s="37" t="s">
        <v>134</v>
      </c>
      <c r="E96" s="37" t="s">
        <v>64</v>
      </c>
      <c r="F96" s="37" t="s">
        <v>47</v>
      </c>
      <c r="G96" s="37" t="s">
        <v>149</v>
      </c>
      <c r="H96" s="37" t="s">
        <v>336</v>
      </c>
      <c r="I96" s="37" t="s">
        <v>95</v>
      </c>
      <c r="J96" s="38" t="n">
        <v>397</v>
      </c>
      <c r="K96" s="37" t="s">
        <v>26</v>
      </c>
      <c r="L96" s="37" t="s">
        <v>40</v>
      </c>
      <c r="M96" s="39" t="n">
        <v>5.4</v>
      </c>
      <c r="N96" s="39" t="n">
        <v>6.5</v>
      </c>
      <c r="O96" s="40" t="n">
        <f aca="false">IF(OR(M96="",N96=""),"",M96/N96)</f>
        <v>0.830769230769231</v>
      </c>
      <c r="P96" s="41" t="n">
        <v>0</v>
      </c>
      <c r="Q96" s="37" t="str">
        <f aca="false">IF(P96="","",IF(P96=0,"Free","Paid"))</f>
        <v>Free</v>
      </c>
      <c r="R96" s="39" t="n">
        <v>9.3</v>
      </c>
      <c r="S96" s="37" t="n">
        <v>3</v>
      </c>
      <c r="T96" s="37" t="n">
        <v>8</v>
      </c>
      <c r="U96" s="39" t="n">
        <v>13.1</v>
      </c>
      <c r="V96" s="42" t="n">
        <f aca="false">IF(OR(U96="",M96="",M96=0),"",U96/(M96*7))</f>
        <v>0.346560846560847</v>
      </c>
      <c r="W96" s="37" t="s">
        <v>87</v>
      </c>
      <c r="X96" s="37"/>
      <c r="Y96" s="37" t="s">
        <v>388</v>
      </c>
    </row>
    <row r="97" customFormat="false" ht="15" hidden="false" customHeight="false" outlineLevel="0" collapsed="false">
      <c r="A97" s="37" t="s">
        <v>389</v>
      </c>
      <c r="B97" s="37" t="n">
        <v>24</v>
      </c>
      <c r="C97" s="37" t="str">
        <f aca="false">IF(B97="","",IF(B97&lt;18,"Under 18",IF(B97&lt;25,"18-24",IF(B97&lt;35,"25-34",IF(B97&lt;45,"35-44","45+")))))</f>
        <v>18-24</v>
      </c>
      <c r="D97" s="37" t="s">
        <v>134</v>
      </c>
      <c r="E97" s="37" t="s">
        <v>71</v>
      </c>
      <c r="F97" s="37" t="s">
        <v>47</v>
      </c>
      <c r="G97" s="37" t="s">
        <v>135</v>
      </c>
      <c r="H97" s="37" t="s">
        <v>390</v>
      </c>
      <c r="I97" s="37" t="s">
        <v>93</v>
      </c>
      <c r="J97" s="38" t="n">
        <v>134</v>
      </c>
      <c r="K97" s="37" t="s">
        <v>28</v>
      </c>
      <c r="L97" s="37" t="s">
        <v>40</v>
      </c>
      <c r="M97" s="39" t="n">
        <v>3.6</v>
      </c>
      <c r="N97" s="39" t="n">
        <v>6.5</v>
      </c>
      <c r="O97" s="40" t="n">
        <f aca="false">IF(OR(M97="",N97=""),"",M97/N97)</f>
        <v>0.553846153846154</v>
      </c>
      <c r="P97" s="41" t="n">
        <v>20</v>
      </c>
      <c r="Q97" s="37" t="str">
        <f aca="false">IF(P97="","",IF(P97=0,"Free","Paid"))</f>
        <v>Paid</v>
      </c>
      <c r="R97" s="39"/>
      <c r="S97" s="37" t="n">
        <v>2</v>
      </c>
      <c r="T97" s="37" t="n">
        <v>6</v>
      </c>
      <c r="U97" s="39" t="n">
        <v>5.2</v>
      </c>
      <c r="V97" s="42" t="n">
        <f aca="false">IF(OR(U97="",M97="",M97=0),"",U97/(M97*7))</f>
        <v>0.206349206349206</v>
      </c>
      <c r="W97" s="37" t="s">
        <v>88</v>
      </c>
      <c r="X97" s="37"/>
      <c r="Y97" s="37" t="s">
        <v>391</v>
      </c>
    </row>
    <row r="98" customFormat="false" ht="15" hidden="false" customHeight="false" outlineLevel="0" collapsed="false">
      <c r="A98" s="37" t="s">
        <v>392</v>
      </c>
      <c r="B98" s="37" t="n">
        <v>35</v>
      </c>
      <c r="C98" s="37" t="str">
        <f aca="false">IF(B98="","",IF(B98&lt;18,"Under 18",IF(B98&lt;25,"18-24",IF(B98&lt;35,"25-34",IF(B98&lt;45,"35-44","45+")))))</f>
        <v>35-44</v>
      </c>
      <c r="D98" s="37" t="s">
        <v>134</v>
      </c>
      <c r="E98" s="37" t="s">
        <v>68</v>
      </c>
      <c r="F98" s="37" t="s">
        <v>48</v>
      </c>
      <c r="G98" s="37" t="s">
        <v>139</v>
      </c>
      <c r="H98" s="37" t="s">
        <v>250</v>
      </c>
      <c r="I98" s="37" t="s">
        <v>92</v>
      </c>
      <c r="J98" s="38" t="n">
        <v>1354</v>
      </c>
      <c r="K98" s="37" t="s">
        <v>25</v>
      </c>
      <c r="L98" s="37" t="s">
        <v>38</v>
      </c>
      <c r="M98" s="39" t="n">
        <v>5</v>
      </c>
      <c r="N98" s="39" t="n">
        <v>6.9</v>
      </c>
      <c r="O98" s="40" t="n">
        <f aca="false">IF(OR(M98="",N98=""),"",M98/N98)</f>
        <v>0.72463768115942</v>
      </c>
      <c r="P98" s="41" t="n">
        <v>20</v>
      </c>
      <c r="Q98" s="37" t="str">
        <f aca="false">IF(P98="","",IF(P98=0,"Free","Paid"))</f>
        <v>Paid</v>
      </c>
      <c r="R98" s="39" t="n">
        <v>6.2</v>
      </c>
      <c r="S98" s="37" t="n">
        <v>2</v>
      </c>
      <c r="T98" s="37" t="n">
        <v>6</v>
      </c>
      <c r="U98" s="39" t="n">
        <v>12</v>
      </c>
      <c r="V98" s="42" t="n">
        <f aca="false">IF(OR(U98="",M98="",M98=0),"",U98/(M98*7))</f>
        <v>0.342857142857143</v>
      </c>
      <c r="W98" s="37" t="s">
        <v>87</v>
      </c>
      <c r="X98" s="37"/>
      <c r="Y98" s="37"/>
    </row>
    <row r="99" customFormat="false" ht="15" hidden="false" customHeight="false" outlineLevel="0" collapsed="false">
      <c r="A99" s="37" t="s">
        <v>393</v>
      </c>
      <c r="B99" s="37" t="n">
        <v>31</v>
      </c>
      <c r="C99" s="37" t="str">
        <f aca="false">IF(B99="","",IF(B99&lt;18,"Under 18",IF(B99&lt;25,"18-24",IF(B99&lt;35,"25-34",IF(B99&lt;45,"35-44","45+")))))</f>
        <v>25-34</v>
      </c>
      <c r="D99" s="37"/>
      <c r="E99" s="37" t="s">
        <v>67</v>
      </c>
      <c r="F99" s="37" t="s">
        <v>47</v>
      </c>
      <c r="G99" s="37" t="s">
        <v>160</v>
      </c>
      <c r="H99" s="37" t="s">
        <v>394</v>
      </c>
      <c r="I99" s="37" t="s">
        <v>93</v>
      </c>
      <c r="J99" s="38" t="n">
        <v>191</v>
      </c>
      <c r="K99" s="37" t="s">
        <v>28</v>
      </c>
      <c r="L99" s="37" t="s">
        <v>37</v>
      </c>
      <c r="M99" s="39" t="n">
        <v>1.9</v>
      </c>
      <c r="N99" s="39" t="n">
        <v>5.1</v>
      </c>
      <c r="O99" s="40" t="n">
        <f aca="false">IF(OR(M99="",N99=""),"",M99/N99)</f>
        <v>0.372549019607843</v>
      </c>
      <c r="P99" s="41" t="n">
        <v>0</v>
      </c>
      <c r="Q99" s="37" t="str">
        <f aca="false">IF(P99="","",IF(P99=0,"Free","Paid"))</f>
        <v>Free</v>
      </c>
      <c r="R99" s="39" t="n">
        <v>4.8</v>
      </c>
      <c r="S99" s="37" t="n">
        <v>4</v>
      </c>
      <c r="T99" s="37" t="n">
        <v>7</v>
      </c>
      <c r="U99" s="39" t="n">
        <v>4.8</v>
      </c>
      <c r="V99" s="42" t="n">
        <f aca="false">IF(OR(U99="",M99="",M99=0),"",U99/(M99*7))</f>
        <v>0.360902255639098</v>
      </c>
      <c r="W99" s="37" t="s">
        <v>87</v>
      </c>
      <c r="X99" s="37"/>
      <c r="Y99" s="37" t="s">
        <v>395</v>
      </c>
    </row>
    <row r="100" customFormat="false" ht="15" hidden="false" customHeight="false" outlineLevel="0" collapsed="false">
      <c r="A100" s="37" t="s">
        <v>396</v>
      </c>
      <c r="B100" s="37" t="n">
        <v>35</v>
      </c>
      <c r="C100" s="37" t="str">
        <f aca="false">IF(B100="","",IF(B100&lt;18,"Under 18",IF(B100&lt;25,"18-24",IF(B100&lt;35,"25-34",IF(B100&lt;45,"35-44","45+")))))</f>
        <v>35-44</v>
      </c>
      <c r="D100" s="37" t="s">
        <v>134</v>
      </c>
      <c r="E100" s="37" t="s">
        <v>69</v>
      </c>
      <c r="F100" s="37" t="s">
        <v>48</v>
      </c>
      <c r="G100" s="37" t="s">
        <v>139</v>
      </c>
      <c r="H100" s="37" t="s">
        <v>397</v>
      </c>
      <c r="I100" s="37" t="s">
        <v>93</v>
      </c>
      <c r="J100" s="38" t="n">
        <v>6399</v>
      </c>
      <c r="K100" s="37" t="s">
        <v>25</v>
      </c>
      <c r="L100" s="37" t="s">
        <v>37</v>
      </c>
      <c r="M100" s="39" t="n">
        <v>1.3</v>
      </c>
      <c r="N100" s="39" t="n">
        <v>8.1</v>
      </c>
      <c r="O100" s="40" t="n">
        <f aca="false">IF(OR(M100="",N100=""),"",M100/N100)</f>
        <v>0.160493827160494</v>
      </c>
      <c r="P100" s="41" t="n">
        <v>20</v>
      </c>
      <c r="Q100" s="37" t="str">
        <f aca="false">IF(P100="","",IF(P100=0,"Free","Paid"))</f>
        <v>Paid</v>
      </c>
      <c r="R100" s="39" t="n">
        <v>3.1</v>
      </c>
      <c r="S100" s="37" t="n">
        <v>3</v>
      </c>
      <c r="T100" s="37" t="n">
        <v>4</v>
      </c>
      <c r="U100" s="39" t="n">
        <v>4.3</v>
      </c>
      <c r="V100" s="42" t="n">
        <f aca="false">IF(OR(U100="",M100="",M100=0),"",U100/(M100*7))</f>
        <v>0.472527472527473</v>
      </c>
      <c r="W100" s="37" t="s">
        <v>89</v>
      </c>
      <c r="X100" s="37"/>
      <c r="Y100" s="37" t="s">
        <v>398</v>
      </c>
    </row>
    <row r="101" customFormat="false" ht="15" hidden="false" customHeight="false" outlineLevel="0" collapsed="false">
      <c r="A101" s="37" t="s">
        <v>399</v>
      </c>
      <c r="B101" s="37" t="n">
        <v>23</v>
      </c>
      <c r="C101" s="37" t="str">
        <f aca="false">IF(B101="","",IF(B101&lt;18,"Under 18",IF(B101&lt;25,"18-24",IF(B101&lt;35,"25-34",IF(B101&lt;45,"35-44","45+")))))</f>
        <v>18-24</v>
      </c>
      <c r="D101" s="37" t="s">
        <v>145</v>
      </c>
      <c r="E101" s="37" t="s">
        <v>63</v>
      </c>
      <c r="F101" s="37" t="s">
        <v>47</v>
      </c>
      <c r="G101" s="37" t="s">
        <v>160</v>
      </c>
      <c r="H101" s="37" t="s">
        <v>150</v>
      </c>
      <c r="I101" s="37" t="s">
        <v>95</v>
      </c>
      <c r="J101" s="38" t="n">
        <v>0</v>
      </c>
      <c r="K101" s="37" t="s">
        <v>27</v>
      </c>
      <c r="L101" s="37" t="s">
        <v>39</v>
      </c>
      <c r="M101" s="39" t="n">
        <v>1.6</v>
      </c>
      <c r="N101" s="39" t="n">
        <v>7</v>
      </c>
      <c r="O101" s="40" t="n">
        <f aca="false">IF(OR(M101="",N101=""),"",M101/N101)</f>
        <v>0.228571428571429</v>
      </c>
      <c r="P101" s="41" t="n">
        <v>0</v>
      </c>
      <c r="Q101" s="37" t="str">
        <f aca="false">IF(P101="","",IF(P101=0,"Free","Paid"))</f>
        <v>Free</v>
      </c>
      <c r="R101" s="39" t="n">
        <v>4.5</v>
      </c>
      <c r="S101" s="37" t="n">
        <v>3</v>
      </c>
      <c r="T101" s="37" t="n">
        <v>6</v>
      </c>
      <c r="U101" s="39" t="n">
        <v>4.2</v>
      </c>
      <c r="V101" s="42" t="n">
        <f aca="false">IF(OR(U101="",M101="",M101=0),"",U101/(M101*7))</f>
        <v>0.375</v>
      </c>
      <c r="W101" s="37" t="s">
        <v>87</v>
      </c>
      <c r="X101" s="37"/>
      <c r="Y101" s="37" t="s">
        <v>400</v>
      </c>
    </row>
    <row r="102" customFormat="false" ht="15" hidden="false" customHeight="false" outlineLevel="0" collapsed="false">
      <c r="A102" s="37" t="s">
        <v>401</v>
      </c>
      <c r="B102" s="37" t="n">
        <v>20</v>
      </c>
      <c r="C102" s="37" t="str">
        <f aca="false">IF(B102="","",IF(B102&lt;18,"Under 18",IF(B102&lt;25,"18-24",IF(B102&lt;35,"25-34",IF(B102&lt;45,"35-44","45+")))))</f>
        <v>18-24</v>
      </c>
      <c r="D102" s="37" t="s">
        <v>134</v>
      </c>
      <c r="E102" s="37" t="s">
        <v>62</v>
      </c>
      <c r="F102" s="37" t="s">
        <v>47</v>
      </c>
      <c r="G102" s="37" t="s">
        <v>149</v>
      </c>
      <c r="H102" s="37" t="s">
        <v>172</v>
      </c>
      <c r="I102" s="37" t="s">
        <v>96</v>
      </c>
      <c r="J102" s="38" t="n">
        <v>126</v>
      </c>
      <c r="K102" s="37" t="s">
        <v>25</v>
      </c>
      <c r="L102" s="37" t="s">
        <v>40</v>
      </c>
      <c r="M102" s="39" t="n">
        <v>0.9</v>
      </c>
      <c r="N102" s="39" t="n">
        <v>6.3</v>
      </c>
      <c r="O102" s="40" t="n">
        <f aca="false">IF(OR(M102="",N102=""),"",M102/N102)</f>
        <v>0.142857142857143</v>
      </c>
      <c r="P102" s="41" t="n">
        <v>0</v>
      </c>
      <c r="Q102" s="37" t="str">
        <f aca="false">IF(P102="","",IF(P102=0,"Free","Paid"))</f>
        <v>Free</v>
      </c>
      <c r="R102" s="39" t="n">
        <v>3.2</v>
      </c>
      <c r="S102" s="37" t="n">
        <v>4</v>
      </c>
      <c r="T102" s="37" t="n">
        <v>4</v>
      </c>
      <c r="U102" s="39" t="n">
        <v>1.8</v>
      </c>
      <c r="V102" s="42" t="n">
        <f aca="false">IF(OR(U102="",M102="",M102=0),"",U102/(M102*7))</f>
        <v>0.285714285714286</v>
      </c>
      <c r="W102" s="37" t="s">
        <v>87</v>
      </c>
      <c r="X102" s="37"/>
      <c r="Y102" s="37" t="s">
        <v>402</v>
      </c>
    </row>
    <row r="103" customFormat="false" ht="15" hidden="false" customHeight="false" outlineLevel="0" collapsed="false">
      <c r="A103" s="37" t="s">
        <v>403</v>
      </c>
      <c r="B103" s="37" t="n">
        <v>47</v>
      </c>
      <c r="C103" s="37" t="str">
        <f aca="false">IF(B103="","",IF(B103&lt;18,"Under 18",IF(B103&lt;25,"18-24",IF(B103&lt;35,"25-34",IF(B103&lt;45,"35-44","45+")))))</f>
        <v>45+</v>
      </c>
      <c r="D103" s="37" t="s">
        <v>134</v>
      </c>
      <c r="E103" s="37" t="s">
        <v>64</v>
      </c>
      <c r="F103" s="37" t="s">
        <v>48</v>
      </c>
      <c r="G103" s="37" t="s">
        <v>139</v>
      </c>
      <c r="H103" s="37" t="s">
        <v>296</v>
      </c>
      <c r="I103" s="37" t="s">
        <v>92</v>
      </c>
      <c r="J103" s="38" t="n">
        <v>2688</v>
      </c>
      <c r="K103" s="37" t="s">
        <v>31</v>
      </c>
      <c r="L103" s="37" t="s">
        <v>38</v>
      </c>
      <c r="M103" s="39" t="n">
        <v>0.9</v>
      </c>
      <c r="N103" s="39" t="n">
        <v>9.1</v>
      </c>
      <c r="O103" s="40" t="n">
        <f aca="false">IF(OR(M103="",N103=""),"",M103/N103)</f>
        <v>0.0989010989010989</v>
      </c>
      <c r="P103" s="41" t="n">
        <v>10</v>
      </c>
      <c r="Q103" s="37" t="str">
        <f aca="false">IF(P103="","",IF(P103=0,"Free","Paid"))</f>
        <v>Paid</v>
      </c>
      <c r="R103" s="39" t="n">
        <v>3.9</v>
      </c>
      <c r="S103" s="37" t="n">
        <v>3</v>
      </c>
      <c r="T103" s="37" t="n">
        <v>5</v>
      </c>
      <c r="U103" s="39" t="n">
        <v>1.5</v>
      </c>
      <c r="V103" s="42" t="n">
        <f aca="false">IF(OR(U103="",M103="",M103=0),"",U103/(M103*7))</f>
        <v>0.238095238095238</v>
      </c>
      <c r="W103" s="37" t="s">
        <v>89</v>
      </c>
      <c r="X103" s="37"/>
      <c r="Y103" s="37" t="s">
        <v>404</v>
      </c>
    </row>
    <row r="104" customFormat="false" ht="15" hidden="false" customHeight="false" outlineLevel="0" collapsed="false">
      <c r="A104" s="37" t="s">
        <v>405</v>
      </c>
      <c r="B104" s="37" t="n">
        <v>19</v>
      </c>
      <c r="C104" s="37" t="str">
        <f aca="false">IF(B104="","",IF(B104&lt;18,"Under 18",IF(B104&lt;25,"18-24",IF(B104&lt;35,"25-34",IF(B104&lt;45,"35-44","45+")))))</f>
        <v>18-24</v>
      </c>
      <c r="D104" s="37" t="s">
        <v>134</v>
      </c>
      <c r="E104" s="37" t="s">
        <v>156</v>
      </c>
      <c r="F104" s="37" t="s">
        <v>47</v>
      </c>
      <c r="G104" s="37" t="s">
        <v>149</v>
      </c>
      <c r="H104" s="37" t="s">
        <v>406</v>
      </c>
      <c r="I104" s="37" t="s">
        <v>94</v>
      </c>
      <c r="J104" s="38" t="n">
        <v>0</v>
      </c>
      <c r="K104" s="37" t="s">
        <v>28</v>
      </c>
      <c r="L104" s="37" t="s">
        <v>39</v>
      </c>
      <c r="M104" s="39" t="n">
        <v>2</v>
      </c>
      <c r="N104" s="39" t="n">
        <v>6.3</v>
      </c>
      <c r="O104" s="40" t="n">
        <f aca="false">IF(OR(M104="",N104=""),"",M104/N104)</f>
        <v>0.317460317460317</v>
      </c>
      <c r="P104" s="41" t="n">
        <v>0</v>
      </c>
      <c r="Q104" s="37" t="str">
        <f aca="false">IF(P104="","",IF(P104=0,"Free","Paid"))</f>
        <v>Free</v>
      </c>
      <c r="R104" s="39" t="n">
        <v>4.8</v>
      </c>
      <c r="S104" s="37" t="n">
        <v>4</v>
      </c>
      <c r="T104" s="37" t="n">
        <v>6</v>
      </c>
      <c r="U104" s="39" t="n">
        <v>3</v>
      </c>
      <c r="V104" s="42" t="n">
        <f aca="false">IF(OR(U104="",M104="",M104=0),"",U104/(M104*7))</f>
        <v>0.214285714285714</v>
      </c>
      <c r="W104" s="37" t="s">
        <v>88</v>
      </c>
      <c r="X104" s="37"/>
      <c r="Y104" s="37" t="s">
        <v>407</v>
      </c>
    </row>
    <row r="105" customFormat="false" ht="15" hidden="false" customHeight="false" outlineLevel="0" collapsed="false">
      <c r="A105" s="37" t="s">
        <v>408</v>
      </c>
      <c r="B105" s="37" t="n">
        <v>30</v>
      </c>
      <c r="C105" s="37" t="str">
        <f aca="false">IF(B105="","",IF(B105&lt;18,"Under 18",IF(B105&lt;25,"18-24",IF(B105&lt;35,"25-34",IF(B105&lt;45,"35-44","45+")))))</f>
        <v>25-34</v>
      </c>
      <c r="D105" s="37" t="s">
        <v>134</v>
      </c>
      <c r="E105" s="37" t="s">
        <v>70</v>
      </c>
      <c r="F105" s="37" t="s">
        <v>48</v>
      </c>
      <c r="G105" s="37" t="s">
        <v>135</v>
      </c>
      <c r="H105" s="37" t="s">
        <v>409</v>
      </c>
      <c r="I105" s="37" t="s">
        <v>43</v>
      </c>
      <c r="J105" s="38" t="n">
        <v>1262</v>
      </c>
      <c r="K105" s="37" t="s">
        <v>26</v>
      </c>
      <c r="L105" s="37" t="s">
        <v>43</v>
      </c>
      <c r="M105" s="39" t="n">
        <v>8.5</v>
      </c>
      <c r="N105" s="39"/>
      <c r="O105" s="40" t="str">
        <f aca="false">IF(OR(M105="",N105=""),"",M105/N105)</f>
        <v/>
      </c>
      <c r="P105" s="41" t="n">
        <v>20</v>
      </c>
      <c r="Q105" s="37" t="str">
        <f aca="false">IF(P105="","",IF(P105=0,"Free","Paid"))</f>
        <v>Paid</v>
      </c>
      <c r="R105" s="39" t="n">
        <v>8.7</v>
      </c>
      <c r="S105" s="37" t="n">
        <v>5</v>
      </c>
      <c r="T105" s="37" t="n">
        <v>8</v>
      </c>
      <c r="U105" s="39" t="n">
        <v>15.6</v>
      </c>
      <c r="V105" s="42" t="n">
        <f aca="false">IF(OR(U105="",M105="",M105=0),"",U105/(M105*7))</f>
        <v>0.26218487394958</v>
      </c>
      <c r="W105" s="37" t="s">
        <v>87</v>
      </c>
      <c r="X105" s="37"/>
      <c r="Y105" s="37"/>
    </row>
    <row r="106" customFormat="false" ht="15" hidden="false" customHeight="false" outlineLevel="0" collapsed="false">
      <c r="A106" s="37" t="s">
        <v>410</v>
      </c>
      <c r="B106" s="37" t="n">
        <v>31</v>
      </c>
      <c r="C106" s="37" t="str">
        <f aca="false">IF(B106="","",IF(B106&lt;18,"Under 18",IF(B106&lt;25,"18-24",IF(B106&lt;35,"25-34",IF(B106&lt;45,"35-44","45+")))))</f>
        <v>25-34</v>
      </c>
      <c r="D106" s="37" t="s">
        <v>145</v>
      </c>
      <c r="E106" s="37" t="s">
        <v>64</v>
      </c>
      <c r="F106" s="37" t="s">
        <v>48</v>
      </c>
      <c r="G106" s="37" t="s">
        <v>246</v>
      </c>
      <c r="H106" s="37" t="s">
        <v>371</v>
      </c>
      <c r="I106" s="37" t="s">
        <v>94</v>
      </c>
      <c r="J106" s="38" t="n">
        <v>4815</v>
      </c>
      <c r="K106" s="37" t="s">
        <v>27</v>
      </c>
      <c r="L106" s="37" t="s">
        <v>42</v>
      </c>
      <c r="M106" s="39" t="n">
        <v>4.9</v>
      </c>
      <c r="N106" s="39" t="n">
        <v>12.4</v>
      </c>
      <c r="O106" s="40" t="n">
        <f aca="false">IF(OR(M106="",N106=""),"",M106/N106)</f>
        <v>0.395161290322581</v>
      </c>
      <c r="P106" s="41" t="n">
        <v>20</v>
      </c>
      <c r="Q106" s="37" t="str">
        <f aca="false">IF(P106="","",IF(P106=0,"Free","Paid"))</f>
        <v>Paid</v>
      </c>
      <c r="R106" s="39" t="n">
        <v>8.6</v>
      </c>
      <c r="S106" s="37" t="n">
        <v>4</v>
      </c>
      <c r="T106" s="37" t="n">
        <v>8</v>
      </c>
      <c r="U106" s="39" t="n">
        <v>10.7</v>
      </c>
      <c r="V106" s="42" t="n">
        <f aca="false">IF(OR(U106="",M106="",M106=0),"",U106/(M106*7))</f>
        <v>0.311953352769679</v>
      </c>
      <c r="W106" s="37"/>
      <c r="X106" s="37"/>
      <c r="Y106" s="37" t="s">
        <v>411</v>
      </c>
    </row>
    <row r="107" customFormat="false" ht="15" hidden="false" customHeight="false" outlineLevel="0" collapsed="false">
      <c r="A107" s="37" t="s">
        <v>412</v>
      </c>
      <c r="B107" s="37" t="n">
        <v>28</v>
      </c>
      <c r="C107" s="37" t="str">
        <f aca="false">IF(B107="","",IF(B107&lt;18,"Under 18",IF(B107&lt;25,"18-24",IF(B107&lt;35,"25-34",IF(B107&lt;45,"35-44","45+")))))</f>
        <v>25-34</v>
      </c>
      <c r="D107" s="37" t="s">
        <v>145</v>
      </c>
      <c r="E107" s="37" t="s">
        <v>67</v>
      </c>
      <c r="F107" s="37" t="s">
        <v>48</v>
      </c>
      <c r="G107" s="37" t="s">
        <v>135</v>
      </c>
      <c r="H107" s="37" t="s">
        <v>413</v>
      </c>
      <c r="I107" s="37" t="s">
        <v>43</v>
      </c>
      <c r="J107" s="38" t="n">
        <v>666</v>
      </c>
      <c r="K107" s="37" t="s">
        <v>25</v>
      </c>
      <c r="L107" s="37" t="s">
        <v>43</v>
      </c>
      <c r="M107" s="39" t="n">
        <v>2.2</v>
      </c>
      <c r="N107" s="39" t="n">
        <v>8.6</v>
      </c>
      <c r="O107" s="40" t="n">
        <f aca="false">IF(OR(M107="",N107=""),"",M107/N107)</f>
        <v>0.255813953488372</v>
      </c>
      <c r="P107" s="41" t="n">
        <v>0</v>
      </c>
      <c r="Q107" s="37" t="str">
        <f aca="false">IF(P107="","",IF(P107=0,"Free","Paid"))</f>
        <v>Free</v>
      </c>
      <c r="R107" s="39" t="n">
        <v>5.3</v>
      </c>
      <c r="S107" s="37" t="n">
        <v>4</v>
      </c>
      <c r="T107" s="37" t="n">
        <v>7</v>
      </c>
      <c r="U107" s="39" t="n">
        <v>5.2</v>
      </c>
      <c r="V107" s="42" t="n">
        <f aca="false">IF(OR(U107="",M107="",M107=0),"",U107/(M107*7))</f>
        <v>0.337662337662338</v>
      </c>
      <c r="W107" s="37" t="s">
        <v>87</v>
      </c>
      <c r="X107" s="37"/>
      <c r="Y107" s="37" t="s">
        <v>414</v>
      </c>
    </row>
    <row r="108" customFormat="false" ht="15" hidden="false" customHeight="false" outlineLevel="0" collapsed="false">
      <c r="A108" s="37" t="s">
        <v>415</v>
      </c>
      <c r="B108" s="37" t="n">
        <v>27</v>
      </c>
      <c r="C108" s="37" t="str">
        <f aca="false">IF(B108="","",IF(B108&lt;18,"Under 18",IF(B108&lt;25,"18-24",IF(B108&lt;35,"25-34",IF(B108&lt;45,"35-44","45+")))))</f>
        <v>25-34</v>
      </c>
      <c r="D108" s="37" t="s">
        <v>134</v>
      </c>
      <c r="E108" s="37" t="s">
        <v>156</v>
      </c>
      <c r="F108" s="37" t="s">
        <v>47</v>
      </c>
      <c r="G108" s="37" t="s">
        <v>160</v>
      </c>
      <c r="H108" s="37" t="s">
        <v>416</v>
      </c>
      <c r="I108" s="37" t="s">
        <v>92</v>
      </c>
      <c r="J108" s="38" t="n">
        <v>482</v>
      </c>
      <c r="K108" s="37" t="s">
        <v>32</v>
      </c>
      <c r="L108" s="37" t="s">
        <v>40</v>
      </c>
      <c r="M108" s="39" t="n">
        <v>6</v>
      </c>
      <c r="N108" s="39" t="n">
        <v>6.8</v>
      </c>
      <c r="O108" s="40" t="n">
        <f aca="false">IF(OR(M108="",N108=""),"",M108/N108)</f>
        <v>0.882352941176471</v>
      </c>
      <c r="P108" s="41" t="n">
        <v>0</v>
      </c>
      <c r="Q108" s="37" t="str">
        <f aca="false">IF(P108="","",IF(P108=0,"Free","Paid"))</f>
        <v>Free</v>
      </c>
      <c r="R108" s="39" t="n">
        <v>7.6</v>
      </c>
      <c r="S108" s="37" t="n">
        <v>5</v>
      </c>
      <c r="T108" s="37" t="n">
        <v>8</v>
      </c>
      <c r="U108" s="39" t="n">
        <v>13.1</v>
      </c>
      <c r="V108" s="42" t="n">
        <f aca="false">IF(OR(U108="",M108="",M108=0),"",U108/(M108*7))</f>
        <v>0.311904761904762</v>
      </c>
      <c r="W108" s="37" t="s">
        <v>87</v>
      </c>
      <c r="X108" s="37"/>
      <c r="Y108" s="37" t="s">
        <v>417</v>
      </c>
    </row>
    <row r="109" customFormat="false" ht="15" hidden="false" customHeight="false" outlineLevel="0" collapsed="false">
      <c r="A109" s="37" t="s">
        <v>418</v>
      </c>
      <c r="B109" s="37" t="n">
        <v>40</v>
      </c>
      <c r="C109" s="37" t="str">
        <f aca="false">IF(B109="","",IF(B109&lt;18,"Under 18",IF(B109&lt;25,"18-24",IF(B109&lt;35,"25-34",IF(B109&lt;45,"35-44","45+")))))</f>
        <v>35-44</v>
      </c>
      <c r="D109" s="37" t="s">
        <v>145</v>
      </c>
      <c r="E109" s="37" t="s">
        <v>70</v>
      </c>
      <c r="F109" s="37" t="s">
        <v>48</v>
      </c>
      <c r="G109" s="37" t="s">
        <v>135</v>
      </c>
      <c r="H109" s="37" t="s">
        <v>419</v>
      </c>
      <c r="I109" s="37" t="s">
        <v>43</v>
      </c>
      <c r="J109" s="38" t="n">
        <v>942</v>
      </c>
      <c r="K109" s="37" t="s">
        <v>29</v>
      </c>
      <c r="L109" s="37" t="s">
        <v>43</v>
      </c>
      <c r="M109" s="39" t="n">
        <v>1.3</v>
      </c>
      <c r="N109" s="39" t="n">
        <v>9.7</v>
      </c>
      <c r="O109" s="40" t="n">
        <f aca="false">IF(OR(M109="",N109=""),"",M109/N109)</f>
        <v>0.134020618556701</v>
      </c>
      <c r="P109" s="41" t="n">
        <v>25</v>
      </c>
      <c r="Q109" s="37" t="str">
        <f aca="false">IF(P109="","",IF(P109=0,"Free","Paid"))</f>
        <v>Paid</v>
      </c>
      <c r="R109" s="39" t="n">
        <v>2.4</v>
      </c>
      <c r="S109" s="37" t="n">
        <v>5</v>
      </c>
      <c r="T109" s="37" t="n">
        <v>5</v>
      </c>
      <c r="U109" s="39" t="n">
        <v>4.9</v>
      </c>
      <c r="V109" s="42" t="n">
        <f aca="false">IF(OR(U109="",M109="",M109=0),"",U109/(M109*7))</f>
        <v>0.538461538461539</v>
      </c>
      <c r="W109" s="37" t="s">
        <v>88</v>
      </c>
      <c r="X109" s="37"/>
      <c r="Y109" s="37" t="s">
        <v>420</v>
      </c>
    </row>
    <row r="110" customFormat="false" ht="15" hidden="false" customHeight="false" outlineLevel="0" collapsed="false">
      <c r="A110" s="37" t="s">
        <v>421</v>
      </c>
      <c r="B110" s="37" t="n">
        <v>34</v>
      </c>
      <c r="C110" s="37" t="str">
        <f aca="false">IF(B110="","",IF(B110&lt;18,"Under 18",IF(B110&lt;25,"18-24",IF(B110&lt;35,"25-34",IF(B110&lt;45,"35-44","45+")))))</f>
        <v>25-34</v>
      </c>
      <c r="D110" s="37" t="s">
        <v>134</v>
      </c>
      <c r="E110" s="37" t="s">
        <v>62</v>
      </c>
      <c r="F110" s="37" t="s">
        <v>48</v>
      </c>
      <c r="G110" s="37" t="s">
        <v>195</v>
      </c>
      <c r="H110" s="37" t="s">
        <v>422</v>
      </c>
      <c r="I110" s="37" t="s">
        <v>97</v>
      </c>
      <c r="J110" s="38" t="n">
        <v>1188</v>
      </c>
      <c r="K110" s="37" t="s">
        <v>29</v>
      </c>
      <c r="L110" s="37" t="s">
        <v>44</v>
      </c>
      <c r="M110" s="39" t="n">
        <v>0.7</v>
      </c>
      <c r="N110" s="39" t="n">
        <v>8.5</v>
      </c>
      <c r="O110" s="40" t="n">
        <f aca="false">IF(OR(M110="",N110=""),"",M110/N110)</f>
        <v>0.0823529411764706</v>
      </c>
      <c r="P110" s="41" t="n">
        <v>0</v>
      </c>
      <c r="Q110" s="37" t="str">
        <f aca="false">IF(P110="","",IF(P110=0,"Free","Paid"))</f>
        <v>Free</v>
      </c>
      <c r="R110" s="39" t="n">
        <v>4.7</v>
      </c>
      <c r="S110" s="37" t="n">
        <v>2</v>
      </c>
      <c r="T110" s="37" t="n">
        <v>5</v>
      </c>
      <c r="U110" s="39" t="n">
        <v>0.6</v>
      </c>
      <c r="V110" s="42" t="n">
        <f aca="false">IF(OR(U110="",M110="",M110=0),"",U110/(M110*7))</f>
        <v>0.122448979591837</v>
      </c>
      <c r="W110" s="37"/>
      <c r="X110" s="37"/>
      <c r="Y110" s="37" t="s">
        <v>423</v>
      </c>
    </row>
    <row r="111" customFormat="false" ht="15" hidden="false" customHeight="false" outlineLevel="0" collapsed="false">
      <c r="A111" s="37" t="s">
        <v>424</v>
      </c>
      <c r="B111" s="37" t="n">
        <v>56</v>
      </c>
      <c r="C111" s="37" t="str">
        <f aca="false">IF(B111="","",IF(B111&lt;18,"Under 18",IF(B111&lt;25,"18-24",IF(B111&lt;35,"25-34",IF(B111&lt;45,"35-44","45+")))))</f>
        <v>45+</v>
      </c>
      <c r="D111" s="37" t="s">
        <v>145</v>
      </c>
      <c r="E111" s="37" t="s">
        <v>65</v>
      </c>
      <c r="F111" s="37" t="s">
        <v>48</v>
      </c>
      <c r="G111" s="37" t="s">
        <v>160</v>
      </c>
      <c r="H111" s="37" t="s">
        <v>322</v>
      </c>
      <c r="I111" s="37" t="s">
        <v>97</v>
      </c>
      <c r="J111" s="38"/>
      <c r="K111" s="37" t="s">
        <v>28</v>
      </c>
      <c r="L111" s="37" t="s">
        <v>44</v>
      </c>
      <c r="M111" s="39" t="n">
        <v>5</v>
      </c>
      <c r="N111" s="39" t="n">
        <v>7.8</v>
      </c>
      <c r="O111" s="40" t="n">
        <f aca="false">IF(OR(M111="",N111=""),"",M111/N111)</f>
        <v>0.641025641025641</v>
      </c>
      <c r="P111" s="41" t="n">
        <v>10</v>
      </c>
      <c r="Q111" s="37" t="str">
        <f aca="false">IF(P111="","",IF(P111=0,"Free","Paid"))</f>
        <v>Paid</v>
      </c>
      <c r="R111" s="39" t="n">
        <v>7.7</v>
      </c>
      <c r="S111" s="37" t="n">
        <v>4</v>
      </c>
      <c r="T111" s="37" t="n">
        <v>7</v>
      </c>
      <c r="U111" s="39" t="n">
        <v>11.4</v>
      </c>
      <c r="V111" s="42" t="n">
        <f aca="false">IF(OR(U111="",M111="",M111=0),"",U111/(M111*7))</f>
        <v>0.325714285714286</v>
      </c>
      <c r="W111" s="37" t="s">
        <v>87</v>
      </c>
      <c r="X111" s="37"/>
      <c r="Y111" s="37" t="s">
        <v>425</v>
      </c>
    </row>
    <row r="112" customFormat="false" ht="15" hidden="false" customHeight="false" outlineLevel="0" collapsed="false">
      <c r="A112" s="37" t="s">
        <v>426</v>
      </c>
      <c r="B112" s="37" t="n">
        <v>23</v>
      </c>
      <c r="C112" s="37" t="str">
        <f aca="false">IF(B112="","",IF(B112&lt;18,"Under 18",IF(B112&lt;25,"18-24",IF(B112&lt;35,"25-34",IF(B112&lt;45,"35-44","45+")))))</f>
        <v>18-24</v>
      </c>
      <c r="D112" s="37" t="s">
        <v>134</v>
      </c>
      <c r="E112" s="37" t="s">
        <v>192</v>
      </c>
      <c r="F112" s="37" t="s">
        <v>47</v>
      </c>
      <c r="G112" s="37" t="s">
        <v>135</v>
      </c>
      <c r="H112" s="37" t="s">
        <v>427</v>
      </c>
      <c r="I112" s="37" t="s">
        <v>94</v>
      </c>
      <c r="J112" s="38" t="n">
        <v>137</v>
      </c>
      <c r="K112" s="37" t="s">
        <v>27</v>
      </c>
      <c r="L112" s="37"/>
      <c r="M112" s="39" t="n">
        <v>1.4</v>
      </c>
      <c r="N112" s="39"/>
      <c r="O112" s="40" t="str">
        <f aca="false">IF(OR(M112="",N112=""),"",M112/N112)</f>
        <v/>
      </c>
      <c r="P112" s="41" t="n">
        <v>25</v>
      </c>
      <c r="Q112" s="37" t="str">
        <f aca="false">IF(P112="","",IF(P112=0,"Free","Paid"))</f>
        <v>Paid</v>
      </c>
      <c r="R112" s="39"/>
      <c r="S112" s="37" t="n">
        <v>3</v>
      </c>
      <c r="T112" s="37" t="n">
        <v>6</v>
      </c>
      <c r="U112" s="39" t="n">
        <v>2.3</v>
      </c>
      <c r="V112" s="42" t="n">
        <f aca="false">IF(OR(U112="",M112="",M112=0),"",U112/(M112*7))</f>
        <v>0.23469387755102</v>
      </c>
      <c r="W112" s="37" t="s">
        <v>89</v>
      </c>
      <c r="X112" s="37"/>
      <c r="Y112" s="37" t="s">
        <v>428</v>
      </c>
    </row>
    <row r="113" customFormat="false" ht="15" hidden="false" customHeight="false" outlineLevel="0" collapsed="false">
      <c r="A113" s="37" t="s">
        <v>429</v>
      </c>
      <c r="B113" s="37" t="n">
        <v>23</v>
      </c>
      <c r="C113" s="37" t="str">
        <f aca="false">IF(B113="","",IF(B113&lt;18,"Under 18",IF(B113&lt;25,"18-24",IF(B113&lt;35,"25-34",IF(B113&lt;45,"35-44","45+")))))</f>
        <v>18-24</v>
      </c>
      <c r="D113" s="37" t="s">
        <v>134</v>
      </c>
      <c r="E113" s="37" t="s">
        <v>156</v>
      </c>
      <c r="F113" s="37" t="s">
        <v>47</v>
      </c>
      <c r="G113" s="37" t="s">
        <v>149</v>
      </c>
      <c r="H113" s="37" t="s">
        <v>143</v>
      </c>
      <c r="I113" s="37" t="s">
        <v>93</v>
      </c>
      <c r="J113" s="38" t="n">
        <v>137</v>
      </c>
      <c r="K113" s="37"/>
      <c r="L113" s="37" t="s">
        <v>37</v>
      </c>
      <c r="M113" s="39" t="n">
        <v>1.8</v>
      </c>
      <c r="N113" s="39" t="n">
        <v>5.9</v>
      </c>
      <c r="O113" s="40" t="n">
        <f aca="false">IF(OR(M113="",N113=""),"",M113/N113)</f>
        <v>0.305084745762712</v>
      </c>
      <c r="P113" s="41" t="n">
        <v>10</v>
      </c>
      <c r="Q113" s="37" t="str">
        <f aca="false">IF(P113="","",IF(P113=0,"Free","Paid"))</f>
        <v>Paid</v>
      </c>
      <c r="R113" s="39" t="n">
        <v>2.5</v>
      </c>
      <c r="S113" s="37" t="n">
        <v>4</v>
      </c>
      <c r="T113" s="37" t="n">
        <v>5</v>
      </c>
      <c r="U113" s="39" t="n">
        <v>4.1</v>
      </c>
      <c r="V113" s="42" t="n">
        <f aca="false">IF(OR(U113="",M113="",M113=0),"",U113/(M113*7))</f>
        <v>0.325396825396825</v>
      </c>
      <c r="W113" s="37" t="s">
        <v>87</v>
      </c>
      <c r="X113" s="37"/>
      <c r="Y113" s="37" t="s">
        <v>430</v>
      </c>
    </row>
    <row r="114" customFormat="false" ht="15" hidden="false" customHeight="false" outlineLevel="0" collapsed="false">
      <c r="A114" s="37" t="s">
        <v>431</v>
      </c>
      <c r="B114" s="37" t="n">
        <v>32</v>
      </c>
      <c r="C114" s="37" t="str">
        <f aca="false">IF(B114="","",IF(B114&lt;18,"Under 18",IF(B114&lt;25,"18-24",IF(B114&lt;35,"25-34",IF(B114&lt;45,"35-44","45+")))))</f>
        <v>25-34</v>
      </c>
      <c r="D114" s="37" t="s">
        <v>134</v>
      </c>
      <c r="E114" s="37" t="s">
        <v>68</v>
      </c>
      <c r="F114" s="37" t="s">
        <v>48</v>
      </c>
      <c r="G114" s="37" t="s">
        <v>135</v>
      </c>
      <c r="H114" s="37" t="s">
        <v>432</v>
      </c>
      <c r="I114" s="37" t="s">
        <v>43</v>
      </c>
      <c r="J114" s="38" t="n">
        <v>1141</v>
      </c>
      <c r="K114" s="37" t="s">
        <v>31</v>
      </c>
      <c r="L114" s="37" t="s">
        <v>43</v>
      </c>
      <c r="M114" s="39" t="n">
        <v>0.5</v>
      </c>
      <c r="N114" s="39" t="n">
        <v>8.7</v>
      </c>
      <c r="O114" s="40" t="n">
        <f aca="false">IF(OR(M114="",N114=""),"",M114/N114)</f>
        <v>0.0574712643678161</v>
      </c>
      <c r="P114" s="41" t="n">
        <v>10</v>
      </c>
      <c r="Q114" s="37" t="str">
        <f aca="false">IF(P114="","",IF(P114=0,"Free","Paid"))</f>
        <v>Paid</v>
      </c>
      <c r="R114" s="39" t="n">
        <v>5.8</v>
      </c>
      <c r="S114" s="37" t="n">
        <v>4</v>
      </c>
      <c r="T114" s="37" t="n">
        <v>8</v>
      </c>
      <c r="U114" s="39" t="n">
        <v>2.7</v>
      </c>
      <c r="V114" s="42" t="n">
        <f aca="false">IF(OR(U114="",M114="",M114=0),"",U114/(M114*7))</f>
        <v>0.771428571428572</v>
      </c>
      <c r="W114" s="37" t="s">
        <v>87</v>
      </c>
      <c r="X114" s="37"/>
      <c r="Y114" s="37" t="s">
        <v>433</v>
      </c>
    </row>
    <row r="115" customFormat="false" ht="15" hidden="false" customHeight="false" outlineLevel="0" collapsed="false">
      <c r="A115" s="37" t="s">
        <v>434</v>
      </c>
      <c r="B115" s="37" t="n">
        <v>63</v>
      </c>
      <c r="C115" s="37" t="str">
        <f aca="false">IF(B115="","",IF(B115&lt;18,"Under 18",IF(B115&lt;25,"18-24",IF(B115&lt;35,"25-34",IF(B115&lt;45,"35-44","45+")))))</f>
        <v>45+</v>
      </c>
      <c r="D115" s="37" t="s">
        <v>134</v>
      </c>
      <c r="E115" s="37" t="s">
        <v>67</v>
      </c>
      <c r="F115" s="37" t="s">
        <v>48</v>
      </c>
      <c r="G115" s="37" t="s">
        <v>195</v>
      </c>
      <c r="H115" s="37"/>
      <c r="I115" s="37"/>
      <c r="J115" s="38" t="n">
        <v>418</v>
      </c>
      <c r="K115" s="37" t="s">
        <v>25</v>
      </c>
      <c r="L115" s="37" t="s">
        <v>38</v>
      </c>
      <c r="M115" s="39" t="n">
        <v>1.6</v>
      </c>
      <c r="N115" s="39" t="n">
        <v>8.5</v>
      </c>
      <c r="O115" s="40" t="n">
        <f aca="false">IF(OR(M115="",N115=""),"",M115/N115)</f>
        <v>0.188235294117647</v>
      </c>
      <c r="P115" s="41"/>
      <c r="Q115" s="37" t="str">
        <f aca="false">IF(P115="","",IF(P115=0,"Free","Paid"))</f>
        <v/>
      </c>
      <c r="R115" s="39" t="n">
        <v>4.9</v>
      </c>
      <c r="S115" s="37" t="n">
        <v>4</v>
      </c>
      <c r="T115" s="37" t="n">
        <v>5</v>
      </c>
      <c r="U115" s="39" t="n">
        <v>4.9</v>
      </c>
      <c r="V115" s="42" t="n">
        <f aca="false">IF(OR(U115="",M115="",M115=0),"",U115/(M115*7))</f>
        <v>0.4375</v>
      </c>
      <c r="W115" s="37" t="s">
        <v>89</v>
      </c>
      <c r="X115" s="37"/>
      <c r="Y115" s="37" t="s">
        <v>435</v>
      </c>
    </row>
    <row r="116" customFormat="false" ht="15" hidden="false" customHeight="false" outlineLevel="0" collapsed="false">
      <c r="A116" s="37" t="s">
        <v>436</v>
      </c>
      <c r="B116" s="37" t="n">
        <v>41</v>
      </c>
      <c r="C116" s="37" t="str">
        <f aca="false">IF(B116="","",IF(B116&lt;18,"Under 18",IF(B116&lt;25,"18-24",IF(B116&lt;35,"25-34",IF(B116&lt;45,"35-44","45+")))))</f>
        <v>35-44</v>
      </c>
      <c r="D116" s="37" t="s">
        <v>145</v>
      </c>
      <c r="E116" s="37" t="s">
        <v>67</v>
      </c>
      <c r="F116" s="37" t="s">
        <v>48</v>
      </c>
      <c r="G116" s="37" t="s">
        <v>160</v>
      </c>
      <c r="H116" s="37" t="s">
        <v>437</v>
      </c>
      <c r="I116" s="37" t="s">
        <v>93</v>
      </c>
      <c r="J116" s="38" t="n">
        <v>1002</v>
      </c>
      <c r="K116" s="37" t="s">
        <v>31</v>
      </c>
      <c r="L116" s="37" t="s">
        <v>37</v>
      </c>
      <c r="M116" s="39" t="n">
        <v>4.6</v>
      </c>
      <c r="N116" s="39" t="n">
        <v>8.8</v>
      </c>
      <c r="O116" s="40" t="n">
        <f aca="false">IF(OR(M116="",N116=""),"",M116/N116)</f>
        <v>0.522727272727273</v>
      </c>
      <c r="P116" s="41" t="n">
        <v>0</v>
      </c>
      <c r="Q116" s="37" t="str">
        <f aca="false">IF(P116="","",IF(P116=0,"Free","Paid"))</f>
        <v>Free</v>
      </c>
      <c r="R116" s="39" t="n">
        <v>7.4</v>
      </c>
      <c r="S116" s="37" t="n">
        <v>4</v>
      </c>
      <c r="T116" s="37" t="n">
        <v>7</v>
      </c>
      <c r="U116" s="39" t="n">
        <v>7.9</v>
      </c>
      <c r="V116" s="42" t="n">
        <f aca="false">IF(OR(U116="",M116="",M116=0),"",U116/(M116*7))</f>
        <v>0.245341614906832</v>
      </c>
      <c r="W116" s="37" t="s">
        <v>87</v>
      </c>
      <c r="X116" s="37"/>
      <c r="Y116" s="37" t="s">
        <v>438</v>
      </c>
    </row>
    <row r="117" customFormat="false" ht="15" hidden="false" customHeight="false" outlineLevel="0" collapsed="false">
      <c r="A117" s="37" t="s">
        <v>439</v>
      </c>
      <c r="B117" s="37" t="n">
        <v>20</v>
      </c>
      <c r="C117" s="37" t="str">
        <f aca="false">IF(B117="","",IF(B117&lt;18,"Under 18",IF(B117&lt;25,"18-24",IF(B117&lt;35,"25-34",IF(B117&lt;45,"35-44","45+")))))</f>
        <v>18-24</v>
      </c>
      <c r="D117" s="37"/>
      <c r="E117" s="37" t="s">
        <v>65</v>
      </c>
      <c r="F117" s="37" t="s">
        <v>47</v>
      </c>
      <c r="G117" s="37" t="s">
        <v>149</v>
      </c>
      <c r="H117" s="37" t="s">
        <v>440</v>
      </c>
      <c r="I117" s="37" t="s">
        <v>92</v>
      </c>
      <c r="J117" s="38" t="n">
        <v>0</v>
      </c>
      <c r="K117" s="37" t="s">
        <v>28</v>
      </c>
      <c r="L117" s="37" t="s">
        <v>41</v>
      </c>
      <c r="M117" s="39" t="n">
        <v>3.4</v>
      </c>
      <c r="N117" s="39" t="n">
        <v>4.6</v>
      </c>
      <c r="O117" s="40" t="n">
        <f aca="false">IF(OR(M117="",N117=""),"",M117/N117)</f>
        <v>0.739130434782609</v>
      </c>
      <c r="P117" s="41" t="n">
        <v>10</v>
      </c>
      <c r="Q117" s="37" t="str">
        <f aca="false">IF(P117="","",IF(P117=0,"Free","Paid"))</f>
        <v>Paid</v>
      </c>
      <c r="R117" s="39" t="n">
        <v>6.5</v>
      </c>
      <c r="S117" s="37" t="n">
        <v>3</v>
      </c>
      <c r="T117" s="37" t="n">
        <v>6</v>
      </c>
      <c r="U117" s="39" t="n">
        <v>7.2</v>
      </c>
      <c r="V117" s="42" t="n">
        <f aca="false">IF(OR(U117="",M117="",M117=0),"",U117/(M117*7))</f>
        <v>0.302521008403361</v>
      </c>
      <c r="W117" s="37" t="s">
        <v>87</v>
      </c>
      <c r="X117" s="37"/>
      <c r="Y117" s="37" t="s">
        <v>441</v>
      </c>
    </row>
    <row r="118" customFormat="false" ht="15" hidden="false" customHeight="false" outlineLevel="0" collapsed="false">
      <c r="A118" s="37" t="s">
        <v>442</v>
      </c>
      <c r="B118" s="37" t="n">
        <v>23</v>
      </c>
      <c r="C118" s="37" t="str">
        <f aca="false">IF(B118="","",IF(B118&lt;18,"Under 18",IF(B118&lt;25,"18-24",IF(B118&lt;35,"25-34",IF(B118&lt;45,"35-44","45+")))))</f>
        <v>18-24</v>
      </c>
      <c r="D118" s="37" t="s">
        <v>145</v>
      </c>
      <c r="E118" s="37" t="s">
        <v>65</v>
      </c>
      <c r="F118" s="37" t="s">
        <v>48</v>
      </c>
      <c r="G118" s="37" t="s">
        <v>139</v>
      </c>
      <c r="H118" s="37" t="s">
        <v>250</v>
      </c>
      <c r="I118" s="37" t="s">
        <v>92</v>
      </c>
      <c r="J118" s="38" t="n">
        <v>965</v>
      </c>
      <c r="K118" s="37" t="s">
        <v>30</v>
      </c>
      <c r="L118" s="37" t="s">
        <v>38</v>
      </c>
      <c r="M118" s="39" t="n">
        <v>3.3</v>
      </c>
      <c r="N118" s="39" t="n">
        <v>9.6</v>
      </c>
      <c r="O118" s="40" t="n">
        <f aca="false">IF(OR(M118="",N118=""),"",M118/N118)</f>
        <v>0.34375</v>
      </c>
      <c r="P118" s="41" t="n">
        <v>0</v>
      </c>
      <c r="Q118" s="37" t="str">
        <f aca="false">IF(P118="","",IF(P118=0,"Free","Paid"))</f>
        <v>Free</v>
      </c>
      <c r="R118" s="39" t="n">
        <v>6.6</v>
      </c>
      <c r="S118" s="37" t="n">
        <v>4</v>
      </c>
      <c r="T118" s="37" t="n">
        <v>6</v>
      </c>
      <c r="U118" s="39" t="n">
        <v>7.7</v>
      </c>
      <c r="V118" s="42" t="n">
        <f aca="false">IF(OR(U118="",M118="",M118=0),"",U118/(M118*7))</f>
        <v>0.333333333333333</v>
      </c>
      <c r="W118" s="37" t="s">
        <v>87</v>
      </c>
      <c r="X118" s="37"/>
      <c r="Y118" s="37" t="s">
        <v>443</v>
      </c>
    </row>
    <row r="119" customFormat="false" ht="15" hidden="false" customHeight="false" outlineLevel="0" collapsed="false">
      <c r="A119" s="37" t="s">
        <v>444</v>
      </c>
      <c r="B119" s="37" t="n">
        <v>25</v>
      </c>
      <c r="C119" s="37" t="str">
        <f aca="false">IF(B119="","",IF(B119&lt;18,"Under 18",IF(B119&lt;25,"18-24",IF(B119&lt;35,"25-34",IF(B119&lt;45,"35-44","45+")))))</f>
        <v>25-34</v>
      </c>
      <c r="D119" s="37" t="s">
        <v>145</v>
      </c>
      <c r="E119" s="37" t="s">
        <v>64</v>
      </c>
      <c r="F119" s="37" t="s">
        <v>48</v>
      </c>
      <c r="G119" s="37" t="s">
        <v>135</v>
      </c>
      <c r="H119" s="37" t="s">
        <v>409</v>
      </c>
      <c r="I119" s="37" t="s">
        <v>43</v>
      </c>
      <c r="J119" s="38" t="n">
        <v>6171</v>
      </c>
      <c r="K119" s="37" t="s">
        <v>26</v>
      </c>
      <c r="L119" s="37" t="s">
        <v>43</v>
      </c>
      <c r="M119" s="39" t="n">
        <v>1.9</v>
      </c>
      <c r="N119" s="39" t="n">
        <v>7.6</v>
      </c>
      <c r="O119" s="40" t="n">
        <f aca="false">IF(OR(M119="",N119=""),"",M119/N119)</f>
        <v>0.25</v>
      </c>
      <c r="P119" s="41" t="n">
        <v>0</v>
      </c>
      <c r="Q119" s="37" t="str">
        <f aca="false">IF(P119="","",IF(P119=0,"Free","Paid"))</f>
        <v>Free</v>
      </c>
      <c r="R119" s="39" t="n">
        <v>3.7</v>
      </c>
      <c r="S119" s="37" t="n">
        <v>4</v>
      </c>
      <c r="T119" s="37" t="n">
        <v>5</v>
      </c>
      <c r="U119" s="39" t="n">
        <v>0.8</v>
      </c>
      <c r="V119" s="42" t="n">
        <f aca="false">IF(OR(U119="",M119="",M119=0),"",U119/(M119*7))</f>
        <v>0.0601503759398496</v>
      </c>
      <c r="W119" s="37" t="s">
        <v>88</v>
      </c>
      <c r="X119" s="37"/>
      <c r="Y119" s="37" t="s">
        <v>445</v>
      </c>
    </row>
    <row r="120" customFormat="false" ht="15" hidden="false" customHeight="false" outlineLevel="0" collapsed="false">
      <c r="A120" s="37" t="s">
        <v>446</v>
      </c>
      <c r="B120" s="37" t="n">
        <v>18</v>
      </c>
      <c r="C120" s="37" t="str">
        <f aca="false">IF(B120="","",IF(B120&lt;18,"Under 18",IF(B120&lt;25,"18-24",IF(B120&lt;35,"25-34",IF(B120&lt;45,"35-44","45+")))))</f>
        <v>18-24</v>
      </c>
      <c r="D120" s="37" t="s">
        <v>134</v>
      </c>
      <c r="E120" s="37" t="s">
        <v>68</v>
      </c>
      <c r="F120" s="37" t="s">
        <v>47</v>
      </c>
      <c r="G120" s="37" t="s">
        <v>149</v>
      </c>
      <c r="H120" s="37" t="s">
        <v>189</v>
      </c>
      <c r="I120" s="37" t="s">
        <v>92</v>
      </c>
      <c r="J120" s="38" t="n">
        <v>192</v>
      </c>
      <c r="K120" s="37" t="s">
        <v>25</v>
      </c>
      <c r="L120" s="37" t="s">
        <v>38</v>
      </c>
      <c r="M120" s="39" t="n">
        <v>3.8</v>
      </c>
      <c r="N120" s="39" t="n">
        <v>7.6</v>
      </c>
      <c r="O120" s="40" t="n">
        <f aca="false">IF(OR(M120="",N120=""),"",M120/N120)</f>
        <v>0.5</v>
      </c>
      <c r="P120" s="41" t="n">
        <v>0</v>
      </c>
      <c r="Q120" s="37" t="str">
        <f aca="false">IF(P120="","",IF(P120=0,"Free","Paid"))</f>
        <v>Free</v>
      </c>
      <c r="R120" s="39" t="n">
        <v>6.5</v>
      </c>
      <c r="S120" s="37" t="n">
        <v>4</v>
      </c>
      <c r="T120" s="37" t="n">
        <v>9</v>
      </c>
      <c r="U120" s="39" t="n">
        <v>7</v>
      </c>
      <c r="V120" s="42" t="n">
        <f aca="false">IF(OR(U120="",M120="",M120=0),"",U120/(M120*7))</f>
        <v>0.263157894736842</v>
      </c>
      <c r="W120" s="37" t="s">
        <v>87</v>
      </c>
      <c r="X120" s="37"/>
      <c r="Y120" s="37" t="s">
        <v>447</v>
      </c>
    </row>
    <row r="121" customFormat="false" ht="15" hidden="false" customHeight="false" outlineLevel="0" collapsed="false">
      <c r="A121" s="37" t="s">
        <v>448</v>
      </c>
      <c r="B121" s="37" t="n">
        <v>20</v>
      </c>
      <c r="C121" s="37" t="str">
        <f aca="false">IF(B121="","",IF(B121&lt;18,"Under 18",IF(B121&lt;25,"18-24",IF(B121&lt;35,"25-34",IF(B121&lt;45,"35-44","45+")))))</f>
        <v>18-24</v>
      </c>
      <c r="D121" s="37" t="s">
        <v>134</v>
      </c>
      <c r="E121" s="37" t="s">
        <v>63</v>
      </c>
      <c r="F121" s="37" t="s">
        <v>47</v>
      </c>
      <c r="G121" s="37" t="s">
        <v>135</v>
      </c>
      <c r="H121" s="37" t="s">
        <v>449</v>
      </c>
      <c r="I121" s="37" t="s">
        <v>93</v>
      </c>
      <c r="J121" s="38" t="n">
        <v>0</v>
      </c>
      <c r="K121" s="37" t="s">
        <v>25</v>
      </c>
      <c r="L121" s="37" t="s">
        <v>37</v>
      </c>
      <c r="M121" s="39" t="n">
        <v>1.4</v>
      </c>
      <c r="N121" s="39" t="n">
        <v>5.6</v>
      </c>
      <c r="O121" s="40" t="n">
        <f aca="false">IF(OR(M121="",N121=""),"",M121/N121)</f>
        <v>0.25</v>
      </c>
      <c r="P121" s="41" t="n">
        <v>0</v>
      </c>
      <c r="Q121" s="37" t="str">
        <f aca="false">IF(P121="","",IF(P121=0,"Free","Paid"))</f>
        <v>Free</v>
      </c>
      <c r="R121" s="39" t="n">
        <v>1.8</v>
      </c>
      <c r="S121" s="37" t="n">
        <v>3</v>
      </c>
      <c r="T121" s="37" t="n">
        <v>5</v>
      </c>
      <c r="U121" s="39" t="n">
        <v>1.2</v>
      </c>
      <c r="V121" s="42" t="n">
        <f aca="false">IF(OR(U121="",M121="",M121=0),"",U121/(M121*7))</f>
        <v>0.122448979591837</v>
      </c>
      <c r="W121" s="37" t="s">
        <v>87</v>
      </c>
      <c r="X121" s="37"/>
      <c r="Y121" s="37" t="s">
        <v>450</v>
      </c>
    </row>
    <row r="122" customFormat="false" ht="15" hidden="false" customHeight="false" outlineLevel="0" collapsed="false">
      <c r="A122" s="37" t="s">
        <v>451</v>
      </c>
      <c r="B122" s="37" t="n">
        <v>63</v>
      </c>
      <c r="C122" s="37" t="str">
        <f aca="false">IF(B122="","",IF(B122&lt;18,"Under 18",IF(B122&lt;25,"18-24",IF(B122&lt;35,"25-34",IF(B122&lt;45,"35-44","45+")))))</f>
        <v>45+</v>
      </c>
      <c r="D122" s="37" t="s">
        <v>145</v>
      </c>
      <c r="E122" s="37" t="s">
        <v>71</v>
      </c>
      <c r="F122" s="37" t="s">
        <v>48</v>
      </c>
      <c r="G122" s="37" t="s">
        <v>139</v>
      </c>
      <c r="H122" s="37" t="s">
        <v>452</v>
      </c>
      <c r="I122" s="37" t="s">
        <v>92</v>
      </c>
      <c r="J122" s="38" t="n">
        <v>4964</v>
      </c>
      <c r="K122" s="37" t="s">
        <v>26</v>
      </c>
      <c r="L122" s="37" t="s">
        <v>41</v>
      </c>
      <c r="M122" s="39" t="n">
        <v>0.7</v>
      </c>
      <c r="N122" s="39" t="n">
        <v>7.3</v>
      </c>
      <c r="O122" s="40" t="n">
        <f aca="false">IF(OR(M122="",N122=""),"",M122/N122)</f>
        <v>0.0958904109589041</v>
      </c>
      <c r="P122" s="41" t="n">
        <v>20</v>
      </c>
      <c r="Q122" s="37" t="str">
        <f aca="false">IF(P122="","",IF(P122=0,"Free","Paid"))</f>
        <v>Paid</v>
      </c>
      <c r="R122" s="39" t="n">
        <v>4.3</v>
      </c>
      <c r="S122" s="37" t="n">
        <v>4</v>
      </c>
      <c r="T122" s="37"/>
      <c r="U122" s="39" t="n">
        <v>3.6</v>
      </c>
      <c r="V122" s="42" t="n">
        <f aca="false">IF(OR(U122="",M122="",M122=0),"",U122/(M122*7))</f>
        <v>0.734693877551021</v>
      </c>
      <c r="W122" s="37" t="s">
        <v>88</v>
      </c>
      <c r="X122" s="37"/>
      <c r="Y122" s="37" t="s">
        <v>453</v>
      </c>
    </row>
    <row r="123" customFormat="false" ht="15" hidden="false" customHeight="false" outlineLevel="0" collapsed="false">
      <c r="A123" s="37" t="s">
        <v>454</v>
      </c>
      <c r="B123" s="37"/>
      <c r="C123" s="37" t="str">
        <f aca="false">IF(B123="","",IF(B123&lt;18,"Under 18",IF(B123&lt;25,"18-24",IF(B123&lt;35,"25-34",IF(B123&lt;45,"35-44","45+")))))</f>
        <v/>
      </c>
      <c r="D123" s="37" t="s">
        <v>134</v>
      </c>
      <c r="E123" s="37" t="s">
        <v>65</v>
      </c>
      <c r="F123" s="37" t="s">
        <v>47</v>
      </c>
      <c r="G123" s="37" t="s">
        <v>139</v>
      </c>
      <c r="H123" s="37" t="s">
        <v>178</v>
      </c>
      <c r="I123" s="37" t="s">
        <v>93</v>
      </c>
      <c r="J123" s="38" t="n">
        <v>83</v>
      </c>
      <c r="K123" s="37" t="s">
        <v>28</v>
      </c>
      <c r="L123" s="37" t="s">
        <v>39</v>
      </c>
      <c r="M123" s="39" t="n">
        <v>2.3</v>
      </c>
      <c r="N123" s="39" t="n">
        <v>6.4</v>
      </c>
      <c r="O123" s="40" t="n">
        <f aca="false">IF(OR(M123="",N123=""),"",M123/N123)</f>
        <v>0.359375</v>
      </c>
      <c r="P123" s="41" t="n">
        <v>20</v>
      </c>
      <c r="Q123" s="37" t="str">
        <f aca="false">IF(P123="","",IF(P123=0,"Free","Paid"))</f>
        <v>Paid</v>
      </c>
      <c r="R123" s="39" t="n">
        <v>6.1</v>
      </c>
      <c r="S123" s="37" t="n">
        <v>3</v>
      </c>
      <c r="T123" s="37" t="n">
        <v>5</v>
      </c>
      <c r="U123" s="39" t="n">
        <v>2.3</v>
      </c>
      <c r="V123" s="42" t="n">
        <f aca="false">IF(OR(U123="",M123="",M123=0),"",U123/(M123*7))</f>
        <v>0.142857142857143</v>
      </c>
      <c r="W123" s="37" t="s">
        <v>88</v>
      </c>
      <c r="X123" s="37"/>
      <c r="Y123" s="37"/>
    </row>
    <row r="124" customFormat="false" ht="15" hidden="false" customHeight="false" outlineLevel="0" collapsed="false">
      <c r="A124" s="37" t="s">
        <v>455</v>
      </c>
      <c r="B124" s="37" t="n">
        <v>27</v>
      </c>
      <c r="C124" s="37" t="str">
        <f aca="false">IF(B124="","",IF(B124&lt;18,"Under 18",IF(B124&lt;25,"18-24",IF(B124&lt;35,"25-34",IF(B124&lt;45,"35-44","45+")))))</f>
        <v>25-34</v>
      </c>
      <c r="D124" s="37" t="s">
        <v>134</v>
      </c>
      <c r="E124" s="37" t="s">
        <v>69</v>
      </c>
      <c r="F124" s="37" t="s">
        <v>47</v>
      </c>
      <c r="G124" s="37" t="s">
        <v>149</v>
      </c>
      <c r="H124" s="37" t="s">
        <v>172</v>
      </c>
      <c r="I124" s="37" t="s">
        <v>96</v>
      </c>
      <c r="J124" s="38" t="n">
        <v>578</v>
      </c>
      <c r="K124" s="37" t="s">
        <v>25</v>
      </c>
      <c r="L124" s="37" t="s">
        <v>39</v>
      </c>
      <c r="M124" s="39" t="n">
        <v>4</v>
      </c>
      <c r="N124" s="39" t="n">
        <v>5.3</v>
      </c>
      <c r="O124" s="40" t="n">
        <f aca="false">IF(OR(M124="",N124=""),"",M124/N124)</f>
        <v>0.754716981132076</v>
      </c>
      <c r="P124" s="41" t="n">
        <v>0</v>
      </c>
      <c r="Q124" s="37" t="str">
        <f aca="false">IF(P124="","",IF(P124=0,"Free","Paid"))</f>
        <v>Free</v>
      </c>
      <c r="R124" s="39" t="n">
        <v>7.5</v>
      </c>
      <c r="S124" s="37" t="n">
        <v>3</v>
      </c>
      <c r="T124" s="37" t="n">
        <v>8</v>
      </c>
      <c r="U124" s="39" t="n">
        <v>7.9</v>
      </c>
      <c r="V124" s="42" t="n">
        <f aca="false">IF(OR(U124="",M124="",M124=0),"",U124/(M124*7))</f>
        <v>0.282142857142857</v>
      </c>
      <c r="W124" s="37" t="s">
        <v>87</v>
      </c>
      <c r="X124" s="37"/>
      <c r="Y124" s="37" t="s">
        <v>456</v>
      </c>
    </row>
    <row r="125" customFormat="false" ht="15" hidden="false" customHeight="false" outlineLevel="0" collapsed="false">
      <c r="A125" s="37" t="s">
        <v>457</v>
      </c>
      <c r="B125" s="37" t="n">
        <v>36</v>
      </c>
      <c r="C125" s="37" t="str">
        <f aca="false">IF(B125="","",IF(B125&lt;18,"Under 18",IF(B125&lt;25,"18-24",IF(B125&lt;35,"25-34",IF(B125&lt;45,"35-44","45+")))))</f>
        <v>35-44</v>
      </c>
      <c r="D125" s="37" t="s">
        <v>145</v>
      </c>
      <c r="E125" s="37" t="s">
        <v>63</v>
      </c>
      <c r="F125" s="37" t="s">
        <v>48</v>
      </c>
      <c r="G125" s="37" t="s">
        <v>246</v>
      </c>
      <c r="H125" s="37" t="s">
        <v>458</v>
      </c>
      <c r="I125" s="37" t="s">
        <v>43</v>
      </c>
      <c r="J125" s="38" t="n">
        <v>9938</v>
      </c>
      <c r="K125" s="37" t="s">
        <v>28</v>
      </c>
      <c r="L125" s="37"/>
      <c r="M125" s="39" t="n">
        <v>1.7</v>
      </c>
      <c r="N125" s="39" t="n">
        <v>7.6</v>
      </c>
      <c r="O125" s="40" t="n">
        <f aca="false">IF(OR(M125="",N125=""),"",M125/N125)</f>
        <v>0.223684210526316</v>
      </c>
      <c r="P125" s="41" t="n">
        <v>0</v>
      </c>
      <c r="Q125" s="37" t="str">
        <f aca="false">IF(P125="","",IF(P125=0,"Free","Paid"))</f>
        <v>Free</v>
      </c>
      <c r="R125" s="39" t="n">
        <v>5.8</v>
      </c>
      <c r="S125" s="37"/>
      <c r="T125" s="37" t="n">
        <v>5</v>
      </c>
      <c r="U125" s="39" t="n">
        <v>7.1</v>
      </c>
      <c r="V125" s="42" t="n">
        <f aca="false">IF(OR(U125="",M125="",M125=0),"",U125/(M125*7))</f>
        <v>0.596638655462185</v>
      </c>
      <c r="W125" s="37" t="s">
        <v>89</v>
      </c>
      <c r="X125" s="37"/>
      <c r="Y125" s="37" t="s">
        <v>459</v>
      </c>
    </row>
    <row r="126" customFormat="false" ht="15" hidden="false" customHeight="false" outlineLevel="0" collapsed="false">
      <c r="A126" s="37" t="s">
        <v>460</v>
      </c>
      <c r="B126" s="37" t="n">
        <v>58</v>
      </c>
      <c r="C126" s="37" t="str">
        <f aca="false">IF(B126="","",IF(B126&lt;18,"Under 18",IF(B126&lt;25,"18-24",IF(B126&lt;35,"25-34",IF(B126&lt;45,"35-44","45+")))))</f>
        <v>45+</v>
      </c>
      <c r="D126" s="37" t="s">
        <v>134</v>
      </c>
      <c r="E126" s="37" t="s">
        <v>67</v>
      </c>
      <c r="F126" s="37" t="s">
        <v>48</v>
      </c>
      <c r="G126" s="37" t="s">
        <v>139</v>
      </c>
      <c r="H126" s="37" t="s">
        <v>461</v>
      </c>
      <c r="I126" s="37" t="s">
        <v>43</v>
      </c>
      <c r="J126" s="38" t="n">
        <v>1469</v>
      </c>
      <c r="K126" s="37"/>
      <c r="L126" s="37" t="s">
        <v>43</v>
      </c>
      <c r="M126" s="39" t="n">
        <v>2.2</v>
      </c>
      <c r="N126" s="39" t="n">
        <v>7.1</v>
      </c>
      <c r="O126" s="40" t="n">
        <f aca="false">IF(OR(M126="",N126=""),"",M126/N126)</f>
        <v>0.309859154929578</v>
      </c>
      <c r="P126" s="41" t="n">
        <v>0</v>
      </c>
      <c r="Q126" s="37" t="str">
        <f aca="false">IF(P126="","",IF(P126=0,"Free","Paid"))</f>
        <v>Free</v>
      </c>
      <c r="R126" s="39" t="n">
        <v>5.7</v>
      </c>
      <c r="S126" s="37" t="n">
        <v>2</v>
      </c>
      <c r="T126" s="37" t="n">
        <v>3</v>
      </c>
      <c r="U126" s="39" t="n">
        <v>1.3</v>
      </c>
      <c r="V126" s="42" t="n">
        <f aca="false">IF(OR(U126="",M126="",M126=0),"",U126/(M126*7))</f>
        <v>0.0844155844155844</v>
      </c>
      <c r="W126" s="37" t="s">
        <v>87</v>
      </c>
      <c r="X126" s="37"/>
      <c r="Y126" s="37" t="s">
        <v>462</v>
      </c>
    </row>
    <row r="127" customFormat="false" ht="15" hidden="false" customHeight="false" outlineLevel="0" collapsed="false">
      <c r="A127" s="37" t="s">
        <v>463</v>
      </c>
      <c r="B127" s="37" t="n">
        <v>17</v>
      </c>
      <c r="C127" s="37" t="str">
        <f aca="false">IF(B127="","",IF(B127&lt;18,"Under 18",IF(B127&lt;25,"18-24",IF(B127&lt;35,"25-34",IF(B127&lt;45,"35-44","45+")))))</f>
        <v>Under 18</v>
      </c>
      <c r="D127" s="37"/>
      <c r="E127" s="37" t="s">
        <v>68</v>
      </c>
      <c r="F127" s="37" t="s">
        <v>47</v>
      </c>
      <c r="G127" s="37" t="s">
        <v>135</v>
      </c>
      <c r="H127" s="37" t="s">
        <v>464</v>
      </c>
      <c r="I127" s="37" t="s">
        <v>92</v>
      </c>
      <c r="J127" s="38" t="n">
        <v>130</v>
      </c>
      <c r="K127" s="37" t="s">
        <v>28</v>
      </c>
      <c r="L127" s="37"/>
      <c r="M127" s="39" t="n">
        <v>2.4</v>
      </c>
      <c r="N127" s="39" t="n">
        <v>3.2</v>
      </c>
      <c r="O127" s="40" t="n">
        <f aca="false">IF(OR(M127="",N127=""),"",M127/N127)</f>
        <v>0.75</v>
      </c>
      <c r="P127" s="41" t="n">
        <v>20</v>
      </c>
      <c r="Q127" s="37" t="str">
        <f aca="false">IF(P127="","",IF(P127=0,"Free","Paid"))</f>
        <v>Paid</v>
      </c>
      <c r="R127" s="39" t="n">
        <v>4.8</v>
      </c>
      <c r="S127" s="37" t="n">
        <v>4</v>
      </c>
      <c r="T127" s="37" t="n">
        <v>8</v>
      </c>
      <c r="U127" s="39" t="n">
        <v>4.7</v>
      </c>
      <c r="V127" s="42" t="n">
        <f aca="false">IF(OR(U127="",M127="",M127=0),"",U127/(M127*7))</f>
        <v>0.279761904761905</v>
      </c>
      <c r="W127" s="37" t="s">
        <v>87</v>
      </c>
      <c r="X127" s="37"/>
      <c r="Y127" s="37" t="s">
        <v>465</v>
      </c>
    </row>
    <row r="128" customFormat="false" ht="15" hidden="false" customHeight="false" outlineLevel="0" collapsed="false">
      <c r="A128" s="37" t="s">
        <v>466</v>
      </c>
      <c r="B128" s="37" t="n">
        <v>23</v>
      </c>
      <c r="C128" s="37" t="str">
        <f aca="false">IF(B128="","",IF(B128&lt;18,"Under 18",IF(B128&lt;25,"18-24",IF(B128&lt;35,"25-34",IF(B128&lt;45,"35-44","45+")))))</f>
        <v>18-24</v>
      </c>
      <c r="D128" s="37" t="s">
        <v>145</v>
      </c>
      <c r="E128" s="37"/>
      <c r="F128" s="37" t="s">
        <v>48</v>
      </c>
      <c r="G128" s="37" t="s">
        <v>139</v>
      </c>
      <c r="H128" s="37" t="s">
        <v>140</v>
      </c>
      <c r="I128" s="37" t="s">
        <v>43</v>
      </c>
      <c r="J128" s="38" t="n">
        <v>5268</v>
      </c>
      <c r="K128" s="37" t="s">
        <v>29</v>
      </c>
      <c r="L128" s="37" t="s">
        <v>43</v>
      </c>
      <c r="M128" s="39" t="n">
        <v>1.2</v>
      </c>
      <c r="N128" s="39" t="n">
        <v>8.8</v>
      </c>
      <c r="O128" s="40" t="n">
        <f aca="false">IF(OR(M128="",N128=""),"",M128/N128)</f>
        <v>0.136363636363636</v>
      </c>
      <c r="P128" s="41" t="n">
        <v>0</v>
      </c>
      <c r="Q128" s="37" t="str">
        <f aca="false">IF(P128="","",IF(P128=0,"Free","Paid"))</f>
        <v>Free</v>
      </c>
      <c r="R128" s="39" t="n">
        <v>2.4</v>
      </c>
      <c r="S128" s="37" t="n">
        <v>4</v>
      </c>
      <c r="T128" s="37"/>
      <c r="U128" s="39" t="n">
        <v>0.4</v>
      </c>
      <c r="V128" s="42" t="n">
        <f aca="false">IF(OR(U128="",M128="",M128=0),"",U128/(M128*7))</f>
        <v>0.0476190476190476</v>
      </c>
      <c r="W128" s="37" t="s">
        <v>89</v>
      </c>
      <c r="X128" s="37"/>
      <c r="Y128" s="37" t="s">
        <v>467</v>
      </c>
    </row>
    <row r="129" customFormat="false" ht="15" hidden="false" customHeight="false" outlineLevel="0" collapsed="false">
      <c r="A129" s="37" t="s">
        <v>468</v>
      </c>
      <c r="B129" s="37" t="n">
        <v>23</v>
      </c>
      <c r="C129" s="37" t="str">
        <f aca="false">IF(B129="","",IF(B129&lt;18,"Under 18",IF(B129&lt;25,"18-24",IF(B129&lt;35,"25-34",IF(B129&lt;45,"35-44","45+")))))</f>
        <v>18-24</v>
      </c>
      <c r="D129" s="37" t="s">
        <v>134</v>
      </c>
      <c r="E129" s="37" t="s">
        <v>63</v>
      </c>
      <c r="F129" s="37" t="s">
        <v>47</v>
      </c>
      <c r="G129" s="37" t="s">
        <v>149</v>
      </c>
      <c r="H129" s="37" t="s">
        <v>143</v>
      </c>
      <c r="I129" s="37" t="s">
        <v>93</v>
      </c>
      <c r="J129" s="38" t="n">
        <v>221</v>
      </c>
      <c r="K129" s="37" t="s">
        <v>32</v>
      </c>
      <c r="L129" s="37" t="s">
        <v>37</v>
      </c>
      <c r="M129" s="39" t="n">
        <v>1.3</v>
      </c>
      <c r="N129" s="39" t="n">
        <v>6.3</v>
      </c>
      <c r="O129" s="40" t="n">
        <f aca="false">IF(OR(M129="",N129=""),"",M129/N129)</f>
        <v>0.206349206349206</v>
      </c>
      <c r="P129" s="41" t="n">
        <v>25</v>
      </c>
      <c r="Q129" s="37" t="str">
        <f aca="false">IF(P129="","",IF(P129=0,"Free","Paid"))</f>
        <v>Paid</v>
      </c>
      <c r="R129" s="39" t="n">
        <v>4.5</v>
      </c>
      <c r="S129" s="37" t="n">
        <v>2</v>
      </c>
      <c r="T129" s="37" t="n">
        <v>4</v>
      </c>
      <c r="U129" s="39" t="n">
        <v>3.8</v>
      </c>
      <c r="V129" s="42" t="n">
        <f aca="false">IF(OR(U129="",M129="",M129=0),"",U129/(M129*7))</f>
        <v>0.417582417582418</v>
      </c>
      <c r="W129" s="37" t="s">
        <v>89</v>
      </c>
      <c r="X129" s="37"/>
      <c r="Y129" s="37" t="s">
        <v>469</v>
      </c>
    </row>
    <row r="130" customFormat="false" ht="15" hidden="false" customHeight="false" outlineLevel="0" collapsed="false">
      <c r="A130" s="37" t="s">
        <v>470</v>
      </c>
      <c r="B130" s="37" t="n">
        <v>26</v>
      </c>
      <c r="C130" s="37" t="str">
        <f aca="false">IF(B130="","",IF(B130&lt;18,"Under 18",IF(B130&lt;25,"18-24",IF(B130&lt;35,"25-34",IF(B130&lt;45,"35-44","45+")))))</f>
        <v>25-34</v>
      </c>
      <c r="D130" s="37" t="s">
        <v>145</v>
      </c>
      <c r="E130" s="37" t="s">
        <v>63</v>
      </c>
      <c r="F130" s="37" t="s">
        <v>47</v>
      </c>
      <c r="G130" s="37" t="s">
        <v>135</v>
      </c>
      <c r="H130" s="37" t="s">
        <v>427</v>
      </c>
      <c r="I130" s="37" t="s">
        <v>94</v>
      </c>
      <c r="J130" s="38" t="n">
        <v>520</v>
      </c>
      <c r="K130" s="37" t="s">
        <v>25</v>
      </c>
      <c r="L130" s="37" t="s">
        <v>39</v>
      </c>
      <c r="M130" s="39" t="n">
        <v>2.7</v>
      </c>
      <c r="N130" s="39" t="n">
        <v>5.4</v>
      </c>
      <c r="O130" s="40" t="n">
        <f aca="false">IF(OR(M130="",N130=""),"",M130/N130)</f>
        <v>0.5</v>
      </c>
      <c r="P130" s="41" t="n">
        <v>0</v>
      </c>
      <c r="Q130" s="37" t="str">
        <f aca="false">IF(P130="","",IF(P130=0,"Free","Paid"))</f>
        <v>Free</v>
      </c>
      <c r="R130" s="39" t="n">
        <v>5.7</v>
      </c>
      <c r="S130" s="37" t="n">
        <v>4</v>
      </c>
      <c r="T130" s="37" t="n">
        <v>7</v>
      </c>
      <c r="U130" s="39" t="n">
        <v>8.4</v>
      </c>
      <c r="V130" s="42" t="n">
        <f aca="false">IF(OR(U130="",M130="",M130=0),"",U130/(M130*7))</f>
        <v>0.444444444444444</v>
      </c>
      <c r="W130" s="37" t="s">
        <v>87</v>
      </c>
      <c r="X130" s="37"/>
      <c r="Y130" s="37" t="s">
        <v>471</v>
      </c>
    </row>
    <row r="131" customFormat="false" ht="15" hidden="false" customHeight="false" outlineLevel="0" collapsed="false">
      <c r="A131" s="37" t="s">
        <v>472</v>
      </c>
      <c r="B131" s="37" t="n">
        <v>30</v>
      </c>
      <c r="C131" s="37" t="str">
        <f aca="false">IF(B131="","",IF(B131&lt;18,"Under 18",IF(B131&lt;25,"18-24",IF(B131&lt;35,"25-34",IF(B131&lt;45,"35-44","45+")))))</f>
        <v>25-34</v>
      </c>
      <c r="D131" s="37"/>
      <c r="E131" s="37" t="s">
        <v>65</v>
      </c>
      <c r="F131" s="37" t="s">
        <v>47</v>
      </c>
      <c r="G131" s="37"/>
      <c r="H131" s="37" t="s">
        <v>178</v>
      </c>
      <c r="I131" s="37" t="s">
        <v>93</v>
      </c>
      <c r="J131" s="38" t="n">
        <v>67</v>
      </c>
      <c r="K131" s="37" t="s">
        <v>25</v>
      </c>
      <c r="L131" s="37" t="s">
        <v>37</v>
      </c>
      <c r="M131" s="39" t="n">
        <v>1.4</v>
      </c>
      <c r="N131" s="39" t="n">
        <v>5.6</v>
      </c>
      <c r="O131" s="40" t="n">
        <f aca="false">IF(OR(M131="",N131=""),"",M131/N131)</f>
        <v>0.25</v>
      </c>
      <c r="P131" s="41" t="n">
        <v>20</v>
      </c>
      <c r="Q131" s="37" t="str">
        <f aca="false">IF(P131="","",IF(P131=0,"Free","Paid"))</f>
        <v>Paid</v>
      </c>
      <c r="R131" s="39" t="n">
        <v>2.9</v>
      </c>
      <c r="S131" s="37" t="n">
        <v>3</v>
      </c>
      <c r="T131" s="37" t="n">
        <v>3</v>
      </c>
      <c r="U131" s="39" t="n">
        <v>0.8</v>
      </c>
      <c r="V131" s="42" t="n">
        <f aca="false">IF(OR(U131="",M131="",M131=0),"",U131/(M131*7))</f>
        <v>0.0816326530612245</v>
      </c>
      <c r="W131" s="37" t="s">
        <v>89</v>
      </c>
      <c r="X131" s="37"/>
      <c r="Y131" s="37" t="s">
        <v>473</v>
      </c>
    </row>
    <row r="132" customFormat="false" ht="15" hidden="false" customHeight="false" outlineLevel="0" collapsed="false">
      <c r="A132" s="37" t="s">
        <v>474</v>
      </c>
      <c r="B132" s="37" t="n">
        <v>20</v>
      </c>
      <c r="C132" s="37" t="str">
        <f aca="false">IF(B132="","",IF(B132&lt;18,"Under 18",IF(B132&lt;25,"18-24",IF(B132&lt;35,"25-34",IF(B132&lt;45,"35-44","45+")))))</f>
        <v>18-24</v>
      </c>
      <c r="D132" s="37" t="s">
        <v>278</v>
      </c>
      <c r="E132" s="37" t="s">
        <v>63</v>
      </c>
      <c r="F132" s="37" t="s">
        <v>47</v>
      </c>
      <c r="G132" s="37"/>
      <c r="H132" s="37" t="s">
        <v>427</v>
      </c>
      <c r="I132" s="37" t="s">
        <v>94</v>
      </c>
      <c r="J132" s="38" t="n">
        <v>698</v>
      </c>
      <c r="K132" s="37" t="s">
        <v>26</v>
      </c>
      <c r="L132" s="37" t="s">
        <v>40</v>
      </c>
      <c r="M132" s="39" t="n">
        <v>1.2</v>
      </c>
      <c r="N132" s="39" t="n">
        <v>4.7</v>
      </c>
      <c r="O132" s="40" t="n">
        <f aca="false">IF(OR(M132="",N132=""),"",M132/N132)</f>
        <v>0.25531914893617</v>
      </c>
      <c r="P132" s="41" t="n">
        <v>0</v>
      </c>
      <c r="Q132" s="37" t="str">
        <f aca="false">IF(P132="","",IF(P132=0,"Free","Paid"))</f>
        <v>Free</v>
      </c>
      <c r="R132" s="39" t="n">
        <v>3.7</v>
      </c>
      <c r="S132" s="37" t="n">
        <v>3</v>
      </c>
      <c r="T132" s="37" t="n">
        <v>4</v>
      </c>
      <c r="U132" s="39" t="n">
        <v>1.7</v>
      </c>
      <c r="V132" s="42" t="n">
        <f aca="false">IF(OR(U132="",M132="",M132=0),"",U132/(M132*7))</f>
        <v>0.202380952380952</v>
      </c>
      <c r="W132" s="37" t="s">
        <v>89</v>
      </c>
      <c r="X132" s="37"/>
      <c r="Y132" s="37" t="s">
        <v>475</v>
      </c>
    </row>
    <row r="133" customFormat="false" ht="15" hidden="false" customHeight="false" outlineLevel="0" collapsed="false">
      <c r="A133" s="37" t="s">
        <v>476</v>
      </c>
      <c r="B133" s="37" t="n">
        <v>22</v>
      </c>
      <c r="C133" s="37" t="str">
        <f aca="false">IF(B133="","",IF(B133&lt;18,"Under 18",IF(B133&lt;25,"18-24",IF(B133&lt;35,"25-34",IF(B133&lt;45,"35-44","45+")))))</f>
        <v>18-24</v>
      </c>
      <c r="D133" s="37" t="s">
        <v>134</v>
      </c>
      <c r="E133" s="37" t="s">
        <v>63</v>
      </c>
      <c r="F133" s="37" t="s">
        <v>47</v>
      </c>
      <c r="G133" s="37" t="s">
        <v>149</v>
      </c>
      <c r="H133" s="37" t="s">
        <v>427</v>
      </c>
      <c r="I133" s="37" t="s">
        <v>94</v>
      </c>
      <c r="J133" s="38" t="n">
        <v>600</v>
      </c>
      <c r="K133" s="37" t="s">
        <v>25</v>
      </c>
      <c r="L133" s="37" t="s">
        <v>39</v>
      </c>
      <c r="M133" s="39" t="n">
        <v>1.4</v>
      </c>
      <c r="N133" s="39" t="n">
        <v>4.9</v>
      </c>
      <c r="O133" s="40" t="n">
        <f aca="false">IF(OR(M133="",N133=""),"",M133/N133)</f>
        <v>0.285714285714286</v>
      </c>
      <c r="P133" s="41" t="n">
        <v>25</v>
      </c>
      <c r="Q133" s="37" t="str">
        <f aca="false">IF(P133="","",IF(P133=0,"Free","Paid"))</f>
        <v>Paid</v>
      </c>
      <c r="R133" s="39" t="n">
        <v>2.9</v>
      </c>
      <c r="S133" s="37" t="n">
        <v>4</v>
      </c>
      <c r="T133" s="37" t="n">
        <v>4</v>
      </c>
      <c r="U133" s="39" t="n">
        <v>4.6</v>
      </c>
      <c r="V133" s="42" t="n">
        <f aca="false">IF(OR(U133="",M133="",M133=0),"",U133/(M133*7))</f>
        <v>0.469387755102041</v>
      </c>
      <c r="W133" s="37" t="s">
        <v>89</v>
      </c>
      <c r="X133" s="37"/>
      <c r="Y133" s="37" t="s">
        <v>477</v>
      </c>
    </row>
    <row r="134" customFormat="false" ht="15" hidden="false" customHeight="false" outlineLevel="0" collapsed="false">
      <c r="A134" s="37" t="s">
        <v>478</v>
      </c>
      <c r="B134" s="37" t="n">
        <v>24</v>
      </c>
      <c r="C134" s="37" t="str">
        <f aca="false">IF(B134="","",IF(B134&lt;18,"Under 18",IF(B134&lt;25,"18-24",IF(B134&lt;35,"25-34",IF(B134&lt;45,"35-44","45+")))))</f>
        <v>18-24</v>
      </c>
      <c r="D134" s="37" t="s">
        <v>134</v>
      </c>
      <c r="E134" s="37" t="s">
        <v>68</v>
      </c>
      <c r="F134" s="37" t="s">
        <v>47</v>
      </c>
      <c r="G134" s="37" t="s">
        <v>160</v>
      </c>
      <c r="H134" s="37" t="s">
        <v>189</v>
      </c>
      <c r="I134" s="37" t="s">
        <v>92</v>
      </c>
      <c r="J134" s="38" t="n">
        <v>63</v>
      </c>
      <c r="K134" s="37" t="s">
        <v>28</v>
      </c>
      <c r="L134" s="37" t="s">
        <v>38</v>
      </c>
      <c r="M134" s="39" t="n">
        <v>3</v>
      </c>
      <c r="N134" s="39" t="n">
        <v>6.4</v>
      </c>
      <c r="O134" s="40" t="n">
        <f aca="false">IF(OR(M134="",N134=""),"",M134/N134)</f>
        <v>0.46875</v>
      </c>
      <c r="P134" s="41" t="n">
        <v>0</v>
      </c>
      <c r="Q134" s="37" t="str">
        <f aca="false">IF(P134="","",IF(P134=0,"Free","Paid"))</f>
        <v>Free</v>
      </c>
      <c r="R134" s="39" t="n">
        <v>7</v>
      </c>
      <c r="S134" s="37" t="n">
        <v>4</v>
      </c>
      <c r="T134" s="37" t="n">
        <v>9</v>
      </c>
      <c r="U134" s="39" t="n">
        <v>10.5</v>
      </c>
      <c r="V134" s="42" t="n">
        <f aca="false">IF(OR(U134="",M134="",M134=0),"",U134/(M134*7))</f>
        <v>0.5</v>
      </c>
      <c r="W134" s="37" t="s">
        <v>87</v>
      </c>
      <c r="X134" s="37"/>
      <c r="Y134" s="37" t="s">
        <v>479</v>
      </c>
    </row>
    <row r="135" customFormat="false" ht="15" hidden="false" customHeight="false" outlineLevel="0" collapsed="false">
      <c r="A135" s="37" t="s">
        <v>480</v>
      </c>
      <c r="B135" s="37" t="n">
        <v>26</v>
      </c>
      <c r="C135" s="37" t="str">
        <f aca="false">IF(B135="","",IF(B135&lt;18,"Under 18",IF(B135&lt;25,"18-24",IF(B135&lt;35,"25-34",IF(B135&lt;45,"35-44","45+")))))</f>
        <v>25-34</v>
      </c>
      <c r="D135" s="37" t="s">
        <v>278</v>
      </c>
      <c r="E135" s="37" t="s">
        <v>68</v>
      </c>
      <c r="F135" s="37" t="s">
        <v>47</v>
      </c>
      <c r="G135" s="37" t="s">
        <v>246</v>
      </c>
      <c r="H135" s="37" t="s">
        <v>481</v>
      </c>
      <c r="I135" s="37" t="s">
        <v>93</v>
      </c>
      <c r="J135" s="38" t="n">
        <v>0</v>
      </c>
      <c r="K135" s="37" t="s">
        <v>26</v>
      </c>
      <c r="L135" s="37" t="s">
        <v>37</v>
      </c>
      <c r="M135" s="39" t="n">
        <v>0.8</v>
      </c>
      <c r="N135" s="39" t="n">
        <v>3.7</v>
      </c>
      <c r="O135" s="40" t="n">
        <f aca="false">IF(OR(M135="",N135=""),"",M135/N135)</f>
        <v>0.216216216216216</v>
      </c>
      <c r="P135" s="41" t="n">
        <v>0</v>
      </c>
      <c r="Q135" s="37" t="str">
        <f aca="false">IF(P135="","",IF(P135=0,"Free","Paid"))</f>
        <v>Free</v>
      </c>
      <c r="R135" s="39"/>
      <c r="S135" s="37" t="n">
        <v>2</v>
      </c>
      <c r="T135" s="37" t="n">
        <v>3</v>
      </c>
      <c r="U135" s="39" t="n">
        <v>0</v>
      </c>
      <c r="V135" s="42" t="n">
        <f aca="false">IF(OR(U135="",M135="",M135=0),"",U135/(M135*7))</f>
        <v>0</v>
      </c>
      <c r="W135" s="37" t="s">
        <v>89</v>
      </c>
      <c r="X135" s="37"/>
      <c r="Y135" s="37" t="s">
        <v>482</v>
      </c>
    </row>
    <row r="136" customFormat="false" ht="15" hidden="false" customHeight="false" outlineLevel="0" collapsed="false">
      <c r="A136" s="37" t="s">
        <v>483</v>
      </c>
      <c r="B136" s="37" t="n">
        <v>32</v>
      </c>
      <c r="C136" s="37" t="str">
        <f aca="false">IF(B136="","",IF(B136&lt;18,"Under 18",IF(B136&lt;25,"18-24",IF(B136&lt;35,"25-34",IF(B136&lt;45,"35-44","45+")))))</f>
        <v>25-34</v>
      </c>
      <c r="D136" s="37" t="s">
        <v>145</v>
      </c>
      <c r="E136" s="37" t="s">
        <v>63</v>
      </c>
      <c r="F136" s="37" t="s">
        <v>48</v>
      </c>
      <c r="G136" s="37" t="s">
        <v>139</v>
      </c>
      <c r="H136" s="37" t="s">
        <v>175</v>
      </c>
      <c r="I136" s="37" t="s">
        <v>93</v>
      </c>
      <c r="J136" s="38" t="n">
        <v>7739</v>
      </c>
      <c r="K136" s="37" t="s">
        <v>25</v>
      </c>
      <c r="L136" s="37" t="s">
        <v>37</v>
      </c>
      <c r="M136" s="39" t="n">
        <v>2.2</v>
      </c>
      <c r="N136" s="39" t="n">
        <v>5.1</v>
      </c>
      <c r="O136" s="40" t="n">
        <f aca="false">IF(OR(M136="",N136=""),"",M136/N136)</f>
        <v>0.431372549019608</v>
      </c>
      <c r="P136" s="41" t="n">
        <v>0</v>
      </c>
      <c r="Q136" s="37" t="str">
        <f aca="false">IF(P136="","",IF(P136=0,"Free","Paid"))</f>
        <v>Free</v>
      </c>
      <c r="R136" s="39" t="n">
        <v>5.1</v>
      </c>
      <c r="S136" s="37" t="n">
        <v>3</v>
      </c>
      <c r="T136" s="37" t="n">
        <v>6</v>
      </c>
      <c r="U136" s="39" t="n">
        <v>5.6</v>
      </c>
      <c r="V136" s="42" t="n">
        <f aca="false">IF(OR(U136="",M136="",M136=0),"",U136/(M136*7))</f>
        <v>0.363636363636364</v>
      </c>
      <c r="W136" s="37" t="s">
        <v>89</v>
      </c>
      <c r="X136" s="37"/>
      <c r="Y136" s="37" t="s">
        <v>484</v>
      </c>
    </row>
    <row r="137" customFormat="false" ht="15" hidden="false" customHeight="false" outlineLevel="0" collapsed="false">
      <c r="A137" s="37" t="s">
        <v>485</v>
      </c>
      <c r="B137" s="37" t="n">
        <v>29</v>
      </c>
      <c r="C137" s="37" t="str">
        <f aca="false">IF(B137="","",IF(B137&lt;18,"Under 18",IF(B137&lt;25,"18-24",IF(B137&lt;35,"25-34",IF(B137&lt;45,"35-44","45+")))))</f>
        <v>25-34</v>
      </c>
      <c r="D137" s="37" t="s">
        <v>278</v>
      </c>
      <c r="E137" s="37" t="s">
        <v>192</v>
      </c>
      <c r="F137" s="37" t="s">
        <v>48</v>
      </c>
      <c r="G137" s="37" t="s">
        <v>195</v>
      </c>
      <c r="H137" s="37" t="s">
        <v>182</v>
      </c>
      <c r="I137" s="37" t="s">
        <v>94</v>
      </c>
      <c r="J137" s="38" t="n">
        <v>898</v>
      </c>
      <c r="K137" s="37" t="s">
        <v>25</v>
      </c>
      <c r="L137" s="37" t="s">
        <v>42</v>
      </c>
      <c r="M137" s="39" t="n">
        <v>2.3</v>
      </c>
      <c r="N137" s="39" t="n">
        <v>6.4</v>
      </c>
      <c r="O137" s="40" t="n">
        <f aca="false">IF(OR(M137="",N137=""),"",M137/N137)</f>
        <v>0.359375</v>
      </c>
      <c r="P137" s="41" t="n">
        <v>0</v>
      </c>
      <c r="Q137" s="37" t="str">
        <f aca="false">IF(P137="","",IF(P137=0,"Free","Paid"))</f>
        <v>Free</v>
      </c>
      <c r="R137" s="39" t="n">
        <v>4.5</v>
      </c>
      <c r="S137" s="37" t="n">
        <v>4</v>
      </c>
      <c r="T137" s="37" t="n">
        <v>5</v>
      </c>
      <c r="U137" s="39" t="n">
        <v>4.9</v>
      </c>
      <c r="V137" s="42" t="n">
        <f aca="false">IF(OR(U137="",M137="",M137=0),"",U137/(M137*7))</f>
        <v>0.304347826086957</v>
      </c>
      <c r="W137" s="37" t="s">
        <v>87</v>
      </c>
      <c r="X137" s="37"/>
      <c r="Y137" s="37" t="s">
        <v>486</v>
      </c>
    </row>
    <row r="138" customFormat="false" ht="15" hidden="false" customHeight="false" outlineLevel="0" collapsed="false">
      <c r="A138" s="37" t="s">
        <v>487</v>
      </c>
      <c r="B138" s="37" t="n">
        <v>49</v>
      </c>
      <c r="C138" s="37" t="str">
        <f aca="false">IF(B138="","",IF(B138&lt;18,"Under 18",IF(B138&lt;25,"18-24",IF(B138&lt;35,"25-34",IF(B138&lt;45,"35-44","45+")))))</f>
        <v>45+</v>
      </c>
      <c r="D138" s="37" t="s">
        <v>145</v>
      </c>
      <c r="E138" s="37" t="s">
        <v>62</v>
      </c>
      <c r="F138" s="37" t="s">
        <v>48</v>
      </c>
      <c r="G138" s="37" t="s">
        <v>135</v>
      </c>
      <c r="H138" s="37" t="s">
        <v>488</v>
      </c>
      <c r="I138" s="37" t="s">
        <v>95</v>
      </c>
      <c r="J138" s="38" t="n">
        <v>1057</v>
      </c>
      <c r="K138" s="37" t="s">
        <v>25</v>
      </c>
      <c r="L138" s="37" t="s">
        <v>40</v>
      </c>
      <c r="M138" s="39" t="n">
        <v>2</v>
      </c>
      <c r="N138" s="39" t="n">
        <v>7.5</v>
      </c>
      <c r="O138" s="40" t="n">
        <f aca="false">IF(OR(M138="",N138=""),"",M138/N138)</f>
        <v>0.266666666666667</v>
      </c>
      <c r="P138" s="41" t="n">
        <v>25</v>
      </c>
      <c r="Q138" s="37" t="str">
        <f aca="false">IF(P138="","",IF(P138=0,"Free","Paid"))</f>
        <v>Paid</v>
      </c>
      <c r="R138" s="39" t="n">
        <v>5.2</v>
      </c>
      <c r="S138" s="37" t="n">
        <v>5</v>
      </c>
      <c r="T138" s="37" t="n">
        <v>8</v>
      </c>
      <c r="U138" s="39" t="n">
        <v>5.7</v>
      </c>
      <c r="V138" s="42" t="n">
        <f aca="false">IF(OR(U138="",M138="",M138=0),"",U138/(M138*7))</f>
        <v>0.407142857142857</v>
      </c>
      <c r="W138" s="37" t="s">
        <v>89</v>
      </c>
      <c r="X138" s="37"/>
      <c r="Y138" s="37" t="s">
        <v>489</v>
      </c>
    </row>
    <row r="139" customFormat="false" ht="15" hidden="false" customHeight="false" outlineLevel="0" collapsed="false">
      <c r="A139" s="37" t="s">
        <v>490</v>
      </c>
      <c r="B139" s="37" t="n">
        <v>21</v>
      </c>
      <c r="C139" s="37" t="str">
        <f aca="false">IF(B139="","",IF(B139&lt;18,"Under 18",IF(B139&lt;25,"18-24",IF(B139&lt;35,"25-34",IF(B139&lt;45,"35-44","45+")))))</f>
        <v>18-24</v>
      </c>
      <c r="D139" s="37" t="s">
        <v>134</v>
      </c>
      <c r="E139" s="37" t="s">
        <v>156</v>
      </c>
      <c r="F139" s="37" t="s">
        <v>47</v>
      </c>
      <c r="G139" s="37" t="s">
        <v>160</v>
      </c>
      <c r="H139" s="37" t="s">
        <v>221</v>
      </c>
      <c r="I139" s="37" t="s">
        <v>97</v>
      </c>
      <c r="J139" s="38" t="n">
        <v>221</v>
      </c>
      <c r="K139" s="37" t="s">
        <v>29</v>
      </c>
      <c r="L139" s="37" t="s">
        <v>40</v>
      </c>
      <c r="M139" s="39" t="n">
        <v>6.5</v>
      </c>
      <c r="N139" s="39" t="n">
        <v>4.8</v>
      </c>
      <c r="O139" s="40" t="n">
        <f aca="false">IF(OR(M139="",N139=""),"",M139/N139)</f>
        <v>1.35416666666667</v>
      </c>
      <c r="P139" s="41" t="n">
        <v>10</v>
      </c>
      <c r="Q139" s="37" t="str">
        <f aca="false">IF(P139="","",IF(P139=0,"Free","Paid"))</f>
        <v>Paid</v>
      </c>
      <c r="R139" s="39" t="n">
        <v>8.3</v>
      </c>
      <c r="S139" s="37" t="n">
        <v>2</v>
      </c>
      <c r="T139" s="37" t="n">
        <v>6</v>
      </c>
      <c r="U139" s="39" t="n">
        <v>14.2</v>
      </c>
      <c r="V139" s="42" t="n">
        <f aca="false">IF(OR(U139="",M139="",M139=0),"",U139/(M139*7))</f>
        <v>0.312087912087912</v>
      </c>
      <c r="W139" s="37" t="s">
        <v>89</v>
      </c>
      <c r="X139" s="37" t="s">
        <v>179</v>
      </c>
      <c r="Y139" s="37" t="s">
        <v>491</v>
      </c>
    </row>
    <row r="140" customFormat="false" ht="15" hidden="false" customHeight="false" outlineLevel="0" collapsed="false">
      <c r="A140" s="37" t="s">
        <v>492</v>
      </c>
      <c r="B140" s="37" t="n">
        <v>23</v>
      </c>
      <c r="C140" s="37" t="str">
        <f aca="false">IF(B140="","",IF(B140&lt;18,"Under 18",IF(B140&lt;25,"18-24",IF(B140&lt;35,"25-34",IF(B140&lt;45,"35-44","45+")))))</f>
        <v>18-24</v>
      </c>
      <c r="D140" s="37" t="s">
        <v>134</v>
      </c>
      <c r="E140" s="37" t="s">
        <v>63</v>
      </c>
      <c r="F140" s="37" t="s">
        <v>47</v>
      </c>
      <c r="G140" s="37" t="s">
        <v>139</v>
      </c>
      <c r="H140" s="37" t="s">
        <v>440</v>
      </c>
      <c r="I140" s="37" t="s">
        <v>92</v>
      </c>
      <c r="J140" s="38" t="n">
        <v>237</v>
      </c>
      <c r="K140" s="37" t="s">
        <v>27</v>
      </c>
      <c r="L140" s="37" t="s">
        <v>41</v>
      </c>
      <c r="M140" s="39" t="n">
        <v>2.2</v>
      </c>
      <c r="N140" s="39"/>
      <c r="O140" s="40" t="str">
        <f aca="false">IF(OR(M140="",N140=""),"",M140/N140)</f>
        <v/>
      </c>
      <c r="P140" s="41" t="n">
        <v>0</v>
      </c>
      <c r="Q140" s="37" t="str">
        <f aca="false">IF(P140="","",IF(P140=0,"Free","Paid"))</f>
        <v>Free</v>
      </c>
      <c r="R140" s="39" t="n">
        <v>4.5</v>
      </c>
      <c r="S140" s="37" t="n">
        <v>4</v>
      </c>
      <c r="T140" s="37" t="n">
        <v>5</v>
      </c>
      <c r="U140" s="39" t="n">
        <v>2</v>
      </c>
      <c r="V140" s="42" t="n">
        <f aca="false">IF(OR(U140="",M140="",M140=0),"",U140/(M140*7))</f>
        <v>0.12987012987013</v>
      </c>
      <c r="W140" s="37" t="s">
        <v>87</v>
      </c>
      <c r="X140" s="37"/>
      <c r="Y140" s="37" t="s">
        <v>493</v>
      </c>
    </row>
    <row r="141" customFormat="false" ht="15" hidden="false" customHeight="false" outlineLevel="0" collapsed="false">
      <c r="A141" s="37" t="s">
        <v>494</v>
      </c>
      <c r="B141" s="37" t="n">
        <v>31</v>
      </c>
      <c r="C141" s="37" t="str">
        <f aca="false">IF(B141="","",IF(B141&lt;18,"Under 18",IF(B141&lt;25,"18-24",IF(B141&lt;35,"25-34",IF(B141&lt;45,"35-44","45+")))))</f>
        <v>25-34</v>
      </c>
      <c r="D141" s="37" t="s">
        <v>134</v>
      </c>
      <c r="E141" s="37" t="s">
        <v>67</v>
      </c>
      <c r="F141" s="37" t="s">
        <v>48</v>
      </c>
      <c r="G141" s="37" t="s">
        <v>139</v>
      </c>
      <c r="H141" s="37" t="s">
        <v>495</v>
      </c>
      <c r="I141" s="37" t="s">
        <v>92</v>
      </c>
      <c r="J141" s="38" t="n">
        <v>1194</v>
      </c>
      <c r="K141" s="37" t="s">
        <v>28</v>
      </c>
      <c r="L141" s="37"/>
      <c r="M141" s="39" t="n">
        <v>2.1</v>
      </c>
      <c r="N141" s="39" t="n">
        <v>9.8</v>
      </c>
      <c r="O141" s="40" t="n">
        <f aca="false">IF(OR(M141="",N141=""),"",M141/N141)</f>
        <v>0.214285714285714</v>
      </c>
      <c r="P141" s="41" t="n">
        <v>0</v>
      </c>
      <c r="Q141" s="37" t="str">
        <f aca="false">IF(P141="","",IF(P141=0,"Free","Paid"))</f>
        <v>Free</v>
      </c>
      <c r="R141" s="39" t="n">
        <v>5.4</v>
      </c>
      <c r="S141" s="37" t="n">
        <v>2</v>
      </c>
      <c r="T141" s="37" t="n">
        <v>6</v>
      </c>
      <c r="U141" s="39" t="n">
        <v>2</v>
      </c>
      <c r="V141" s="42" t="n">
        <f aca="false">IF(OR(U141="",M141="",M141=0),"",U141/(M141*7))</f>
        <v>0.136054421768707</v>
      </c>
      <c r="W141" s="37" t="s">
        <v>87</v>
      </c>
      <c r="X141" s="37"/>
      <c r="Y141" s="37" t="s">
        <v>496</v>
      </c>
    </row>
    <row r="142" customFormat="false" ht="15" hidden="false" customHeight="false" outlineLevel="0" collapsed="false">
      <c r="A142" s="37" t="s">
        <v>497</v>
      </c>
      <c r="B142" s="37" t="n">
        <v>21</v>
      </c>
      <c r="C142" s="37" t="str">
        <f aca="false">IF(B142="","",IF(B142&lt;18,"Under 18",IF(B142&lt;25,"18-24",IF(B142&lt;35,"25-34",IF(B142&lt;45,"35-44","45+")))))</f>
        <v>18-24</v>
      </c>
      <c r="D142" s="37" t="s">
        <v>145</v>
      </c>
      <c r="E142" s="37" t="s">
        <v>65</v>
      </c>
      <c r="F142" s="37" t="s">
        <v>47</v>
      </c>
      <c r="G142" s="37" t="s">
        <v>149</v>
      </c>
      <c r="H142" s="37" t="s">
        <v>143</v>
      </c>
      <c r="I142" s="37" t="s">
        <v>93</v>
      </c>
      <c r="J142" s="38" t="n">
        <v>0</v>
      </c>
      <c r="K142" s="37" t="s">
        <v>32</v>
      </c>
      <c r="L142" s="37" t="s">
        <v>37</v>
      </c>
      <c r="M142" s="39" t="n">
        <v>2.9</v>
      </c>
      <c r="N142" s="39" t="n">
        <v>5.5</v>
      </c>
      <c r="O142" s="40" t="n">
        <f aca="false">IF(OR(M142="",N142=""),"",M142/N142)</f>
        <v>0.527272727272727</v>
      </c>
      <c r="P142" s="41" t="n">
        <v>20</v>
      </c>
      <c r="Q142" s="37" t="str">
        <f aca="false">IF(P142="","",IF(P142=0,"Free","Paid"))</f>
        <v>Paid</v>
      </c>
      <c r="R142" s="39" t="n">
        <v>6.6</v>
      </c>
      <c r="S142" s="37" t="n">
        <v>2</v>
      </c>
      <c r="T142" s="37" t="n">
        <v>4</v>
      </c>
      <c r="U142" s="39"/>
      <c r="V142" s="42" t="str">
        <f aca="false">IF(OR(U142="",M142="",M142=0),"",U142/(M142*7))</f>
        <v/>
      </c>
      <c r="W142" s="37"/>
      <c r="X142" s="37"/>
      <c r="Y142" s="37" t="s">
        <v>498</v>
      </c>
    </row>
    <row r="143" customFormat="false" ht="15" hidden="false" customHeight="false" outlineLevel="0" collapsed="false">
      <c r="A143" s="37" t="s">
        <v>499</v>
      </c>
      <c r="B143" s="37" t="n">
        <v>34</v>
      </c>
      <c r="C143" s="37" t="str">
        <f aca="false">IF(B143="","",IF(B143&lt;18,"Under 18",IF(B143&lt;25,"18-24",IF(B143&lt;35,"25-34",IF(B143&lt;45,"35-44","45+")))))</f>
        <v>25-34</v>
      </c>
      <c r="D143" s="37" t="s">
        <v>145</v>
      </c>
      <c r="E143" s="37" t="s">
        <v>68</v>
      </c>
      <c r="F143" s="37" t="s">
        <v>48</v>
      </c>
      <c r="G143" s="37" t="s">
        <v>195</v>
      </c>
      <c r="H143" s="37" t="s">
        <v>500</v>
      </c>
      <c r="I143" s="37" t="s">
        <v>93</v>
      </c>
      <c r="J143" s="38" t="n">
        <v>874</v>
      </c>
      <c r="K143" s="37" t="s">
        <v>25</v>
      </c>
      <c r="L143" s="37" t="s">
        <v>37</v>
      </c>
      <c r="M143" s="39" t="n">
        <v>1.9</v>
      </c>
      <c r="N143" s="39" t="n">
        <v>8.3</v>
      </c>
      <c r="O143" s="40" t="n">
        <f aca="false">IF(OR(M143="",N143=""),"",M143/N143)</f>
        <v>0.228915662650602</v>
      </c>
      <c r="P143" s="41" t="n">
        <v>0</v>
      </c>
      <c r="Q143" s="37" t="str">
        <f aca="false">IF(P143="","",IF(P143=0,"Free","Paid"))</f>
        <v>Free</v>
      </c>
      <c r="R143" s="39" t="n">
        <v>5.1</v>
      </c>
      <c r="S143" s="37" t="n">
        <v>4</v>
      </c>
      <c r="T143" s="37" t="n">
        <v>7</v>
      </c>
      <c r="U143" s="39" t="n">
        <v>4.9</v>
      </c>
      <c r="V143" s="42" t="n">
        <f aca="false">IF(OR(U143="",M143="",M143=0),"",U143/(M143*7))</f>
        <v>0.368421052631579</v>
      </c>
      <c r="W143" s="37" t="s">
        <v>87</v>
      </c>
      <c r="X143" s="37"/>
      <c r="Y143" s="37" t="s">
        <v>501</v>
      </c>
    </row>
    <row r="144" customFormat="false" ht="15" hidden="false" customHeight="false" outlineLevel="0" collapsed="false">
      <c r="A144" s="37" t="s">
        <v>502</v>
      </c>
      <c r="B144" s="37" t="n">
        <v>17</v>
      </c>
      <c r="C144" s="37" t="str">
        <f aca="false">IF(B144="","",IF(B144&lt;18,"Under 18",IF(B144&lt;25,"18-24",IF(B144&lt;35,"25-34",IF(B144&lt;45,"35-44","45+")))))</f>
        <v>Under 18</v>
      </c>
      <c r="D144" s="37" t="s">
        <v>145</v>
      </c>
      <c r="E144" s="37" t="s">
        <v>70</v>
      </c>
      <c r="F144" s="37" t="s">
        <v>47</v>
      </c>
      <c r="G144" s="37" t="s">
        <v>160</v>
      </c>
      <c r="H144" s="37" t="s">
        <v>189</v>
      </c>
      <c r="I144" s="37" t="s">
        <v>92</v>
      </c>
      <c r="J144" s="38" t="n">
        <v>0</v>
      </c>
      <c r="K144" s="37" t="s">
        <v>27</v>
      </c>
      <c r="L144" s="37" t="s">
        <v>38</v>
      </c>
      <c r="M144" s="39" t="n">
        <v>9.5</v>
      </c>
      <c r="N144" s="39" t="n">
        <v>5.7</v>
      </c>
      <c r="O144" s="40" t="n">
        <f aca="false">IF(OR(M144="",N144=""),"",M144/N144)</f>
        <v>1.66666666666667</v>
      </c>
      <c r="P144" s="41" t="n">
        <v>25</v>
      </c>
      <c r="Q144" s="37" t="str">
        <f aca="false">IF(P144="","",IF(P144=0,"Free","Paid"))</f>
        <v>Paid</v>
      </c>
      <c r="R144" s="39" t="n">
        <v>8.6</v>
      </c>
      <c r="S144" s="37" t="n">
        <v>3</v>
      </c>
      <c r="T144" s="37" t="n">
        <v>9</v>
      </c>
      <c r="U144" s="39" t="n">
        <v>15.2</v>
      </c>
      <c r="V144" s="42" t="n">
        <f aca="false">IF(OR(U144="",M144="",M144=0),"",U144/(M144*7))</f>
        <v>0.228571428571429</v>
      </c>
      <c r="W144" s="37" t="s">
        <v>87</v>
      </c>
      <c r="X144" s="37" t="s">
        <v>179</v>
      </c>
      <c r="Y144" s="37" t="s">
        <v>503</v>
      </c>
    </row>
    <row r="145" customFormat="false" ht="15" hidden="false" customHeight="false" outlineLevel="0" collapsed="false">
      <c r="A145" s="37" t="s">
        <v>504</v>
      </c>
      <c r="B145" s="37" t="n">
        <v>22</v>
      </c>
      <c r="C145" s="37" t="str">
        <f aca="false">IF(B145="","",IF(B145&lt;18,"Under 18",IF(B145&lt;25,"18-24",IF(B145&lt;35,"25-34",IF(B145&lt;45,"35-44","45+")))))</f>
        <v>18-24</v>
      </c>
      <c r="D145" s="37" t="s">
        <v>134</v>
      </c>
      <c r="E145" s="37" t="s">
        <v>68</v>
      </c>
      <c r="F145" s="37" t="s">
        <v>47</v>
      </c>
      <c r="G145" s="37" t="s">
        <v>149</v>
      </c>
      <c r="H145" s="37" t="s">
        <v>236</v>
      </c>
      <c r="I145" s="37" t="s">
        <v>93</v>
      </c>
      <c r="J145" s="38" t="n">
        <v>106</v>
      </c>
      <c r="K145" s="37" t="s">
        <v>25</v>
      </c>
      <c r="L145" s="37" t="s">
        <v>42</v>
      </c>
      <c r="M145" s="39" t="n">
        <v>4.9</v>
      </c>
      <c r="N145" s="39" t="n">
        <v>8.1</v>
      </c>
      <c r="O145" s="40" t="n">
        <f aca="false">IF(OR(M145="",N145=""),"",M145/N145)</f>
        <v>0.604938271604938</v>
      </c>
      <c r="P145" s="41" t="n">
        <v>20</v>
      </c>
      <c r="Q145" s="37" t="str">
        <f aca="false">IF(P145="","",IF(P145=0,"Free","Paid"))</f>
        <v>Paid</v>
      </c>
      <c r="R145" s="39" t="n">
        <v>5.5</v>
      </c>
      <c r="S145" s="37" t="n">
        <v>4</v>
      </c>
      <c r="T145" s="37" t="n">
        <v>6</v>
      </c>
      <c r="U145" s="39" t="n">
        <v>8.2</v>
      </c>
      <c r="V145" s="42" t="n">
        <f aca="false">IF(OR(U145="",M145="",M145=0),"",U145/(M145*7))</f>
        <v>0.239067055393586</v>
      </c>
      <c r="W145" s="37" t="s">
        <v>88</v>
      </c>
      <c r="X145" s="37"/>
      <c r="Y145" s="37" t="s">
        <v>505</v>
      </c>
    </row>
    <row r="146" customFormat="false" ht="15" hidden="false" customHeight="false" outlineLevel="0" collapsed="false">
      <c r="A146" s="37" t="s">
        <v>506</v>
      </c>
      <c r="B146" s="37" t="n">
        <v>27</v>
      </c>
      <c r="C146" s="37" t="str">
        <f aca="false">IF(B146="","",IF(B146&lt;18,"Under 18",IF(B146&lt;25,"18-24",IF(B146&lt;35,"25-34",IF(B146&lt;45,"35-44","45+")))))</f>
        <v>25-34</v>
      </c>
      <c r="D146" s="37" t="s">
        <v>145</v>
      </c>
      <c r="E146" s="37" t="s">
        <v>65</v>
      </c>
      <c r="F146" s="37" t="s">
        <v>47</v>
      </c>
      <c r="G146" s="37" t="s">
        <v>149</v>
      </c>
      <c r="H146" s="37" t="s">
        <v>440</v>
      </c>
      <c r="I146" s="37" t="s">
        <v>92</v>
      </c>
      <c r="J146" s="38" t="n">
        <v>74</v>
      </c>
      <c r="K146" s="37" t="s">
        <v>25</v>
      </c>
      <c r="L146" s="37" t="s">
        <v>41</v>
      </c>
      <c r="M146" s="39" t="n">
        <v>1.9</v>
      </c>
      <c r="N146" s="39" t="n">
        <v>7.4</v>
      </c>
      <c r="O146" s="40" t="n">
        <f aca="false">IF(OR(M146="",N146=""),"",M146/N146)</f>
        <v>0.256756756756757</v>
      </c>
      <c r="P146" s="41" t="n">
        <v>0</v>
      </c>
      <c r="Q146" s="37" t="str">
        <f aca="false">IF(P146="","",IF(P146=0,"Free","Paid"))</f>
        <v>Free</v>
      </c>
      <c r="R146" s="39"/>
      <c r="S146" s="37" t="n">
        <v>4</v>
      </c>
      <c r="T146" s="37" t="n">
        <v>7</v>
      </c>
      <c r="U146" s="39" t="n">
        <v>1.4</v>
      </c>
      <c r="V146" s="42" t="n">
        <f aca="false">IF(OR(U146="",M146="",M146=0),"",U146/(M146*7))</f>
        <v>0.105263157894737</v>
      </c>
      <c r="W146" s="37" t="s">
        <v>87</v>
      </c>
      <c r="X146" s="37"/>
      <c r="Y146" s="37" t="s">
        <v>507</v>
      </c>
    </row>
    <row r="147" customFormat="false" ht="15" hidden="false" customHeight="false" outlineLevel="0" collapsed="false">
      <c r="A147" s="37" t="s">
        <v>508</v>
      </c>
      <c r="B147" s="37" t="n">
        <v>40</v>
      </c>
      <c r="C147" s="37" t="str">
        <f aca="false">IF(B147="","",IF(B147&lt;18,"Under 18",IF(B147&lt;25,"18-24",IF(B147&lt;35,"25-34",IF(B147&lt;45,"35-44","45+")))))</f>
        <v>35-44</v>
      </c>
      <c r="D147" s="37" t="s">
        <v>145</v>
      </c>
      <c r="E147" s="37" t="s">
        <v>71</v>
      </c>
      <c r="F147" s="37" t="s">
        <v>48</v>
      </c>
      <c r="G147" s="37" t="s">
        <v>160</v>
      </c>
      <c r="H147" s="37" t="s">
        <v>509</v>
      </c>
      <c r="I147" s="37" t="s">
        <v>43</v>
      </c>
      <c r="J147" s="38" t="n">
        <v>3054</v>
      </c>
      <c r="K147" s="37" t="s">
        <v>25</v>
      </c>
      <c r="L147" s="37" t="s">
        <v>43</v>
      </c>
      <c r="M147" s="39" t="n">
        <v>1.5</v>
      </c>
      <c r="N147" s="39" t="n">
        <v>7.6</v>
      </c>
      <c r="O147" s="40" t="n">
        <f aca="false">IF(OR(M147="",N147=""),"",M147/N147)</f>
        <v>0.197368421052632</v>
      </c>
      <c r="P147" s="41" t="n">
        <v>0</v>
      </c>
      <c r="Q147" s="37" t="str">
        <f aca="false">IF(P147="","",IF(P147=0,"Free","Paid"))</f>
        <v>Free</v>
      </c>
      <c r="R147" s="39" t="n">
        <v>4</v>
      </c>
      <c r="S147" s="37" t="n">
        <v>2</v>
      </c>
      <c r="T147" s="37" t="n">
        <v>3</v>
      </c>
      <c r="U147" s="39" t="n">
        <v>7.1</v>
      </c>
      <c r="V147" s="42" t="n">
        <f aca="false">IF(OR(U147="",M147="",M147=0),"",U147/(M147*7))</f>
        <v>0.676190476190476</v>
      </c>
      <c r="W147" s="37" t="s">
        <v>89</v>
      </c>
      <c r="X147" s="37"/>
      <c r="Y147" s="37" t="s">
        <v>510</v>
      </c>
    </row>
    <row r="148" customFormat="false" ht="15" hidden="false" customHeight="false" outlineLevel="0" collapsed="false">
      <c r="A148" s="37" t="s">
        <v>511</v>
      </c>
      <c r="B148" s="37" t="n">
        <v>22</v>
      </c>
      <c r="C148" s="37" t="str">
        <f aca="false">IF(B148="","",IF(B148&lt;18,"Under 18",IF(B148&lt;25,"18-24",IF(B148&lt;35,"25-34",IF(B148&lt;45,"35-44","45+")))))</f>
        <v>18-24</v>
      </c>
      <c r="D148" s="37" t="s">
        <v>145</v>
      </c>
      <c r="E148" s="37" t="s">
        <v>71</v>
      </c>
      <c r="F148" s="37" t="s">
        <v>47</v>
      </c>
      <c r="G148" s="37" t="s">
        <v>139</v>
      </c>
      <c r="H148" s="37" t="s">
        <v>143</v>
      </c>
      <c r="I148" s="37" t="s">
        <v>93</v>
      </c>
      <c r="J148" s="38" t="n">
        <v>442</v>
      </c>
      <c r="K148" s="37" t="s">
        <v>25</v>
      </c>
      <c r="L148" s="37" t="s">
        <v>37</v>
      </c>
      <c r="M148" s="39" t="n">
        <v>1</v>
      </c>
      <c r="N148" s="39" t="n">
        <v>5.6</v>
      </c>
      <c r="O148" s="40" t="n">
        <f aca="false">IF(OR(M148="",N148=""),"",M148/N148)</f>
        <v>0.178571428571429</v>
      </c>
      <c r="P148" s="41" t="n">
        <v>0</v>
      </c>
      <c r="Q148" s="37" t="str">
        <f aca="false">IF(P148="","",IF(P148=0,"Free","Paid"))</f>
        <v>Free</v>
      </c>
      <c r="R148" s="39" t="n">
        <v>3.6</v>
      </c>
      <c r="S148" s="37" t="n">
        <v>2</v>
      </c>
      <c r="T148" s="37" t="n">
        <v>5</v>
      </c>
      <c r="U148" s="39" t="n">
        <v>0</v>
      </c>
      <c r="V148" s="42" t="n">
        <f aca="false">IF(OR(U148="",M148="",M148=0),"",U148/(M148*7))</f>
        <v>0</v>
      </c>
      <c r="W148" s="37" t="s">
        <v>87</v>
      </c>
      <c r="X148" s="37"/>
      <c r="Y148" s="37"/>
    </row>
    <row r="149" customFormat="false" ht="15" hidden="false" customHeight="false" outlineLevel="0" collapsed="false">
      <c r="A149" s="37" t="s">
        <v>512</v>
      </c>
      <c r="B149" s="37" t="n">
        <v>23</v>
      </c>
      <c r="C149" s="37" t="str">
        <f aca="false">IF(B149="","",IF(B149&lt;18,"Under 18",IF(B149&lt;25,"18-24",IF(B149&lt;35,"25-34",IF(B149&lt;45,"35-44","45+")))))</f>
        <v>18-24</v>
      </c>
      <c r="D149" s="37" t="s">
        <v>134</v>
      </c>
      <c r="E149" s="37" t="s">
        <v>62</v>
      </c>
      <c r="F149" s="37" t="s">
        <v>47</v>
      </c>
      <c r="G149" s="37" t="s">
        <v>149</v>
      </c>
      <c r="H149" s="37" t="s">
        <v>427</v>
      </c>
      <c r="I149" s="37" t="s">
        <v>94</v>
      </c>
      <c r="J149" s="38" t="n">
        <v>77</v>
      </c>
      <c r="K149" s="37" t="s">
        <v>30</v>
      </c>
      <c r="L149" s="37" t="s">
        <v>40</v>
      </c>
      <c r="M149" s="39" t="n">
        <v>1.5</v>
      </c>
      <c r="N149" s="39" t="n">
        <v>8</v>
      </c>
      <c r="O149" s="40" t="n">
        <f aca="false">IF(OR(M149="",N149=""),"",M149/N149)</f>
        <v>0.1875</v>
      </c>
      <c r="P149" s="41" t="n">
        <v>0</v>
      </c>
      <c r="Q149" s="37" t="str">
        <f aca="false">IF(P149="","",IF(P149=0,"Free","Paid"))</f>
        <v>Free</v>
      </c>
      <c r="R149" s="39" t="n">
        <v>3.4</v>
      </c>
      <c r="S149" s="37" t="n">
        <v>2</v>
      </c>
      <c r="T149" s="37" t="n">
        <v>4</v>
      </c>
      <c r="U149" s="39" t="n">
        <v>2.2</v>
      </c>
      <c r="V149" s="42" t="n">
        <f aca="false">IF(OR(U149="",M149="",M149=0),"",U149/(M149*7))</f>
        <v>0.20952380952381</v>
      </c>
      <c r="W149" s="37" t="s">
        <v>89</v>
      </c>
      <c r="X149" s="37"/>
      <c r="Y149" s="37" t="s">
        <v>513</v>
      </c>
    </row>
    <row r="150" customFormat="false" ht="15" hidden="false" customHeight="false" outlineLevel="0" collapsed="false">
      <c r="A150" s="37" t="s">
        <v>514</v>
      </c>
      <c r="B150" s="37"/>
      <c r="C150" s="37" t="str">
        <f aca="false">IF(B150="","",IF(B150&lt;18,"Under 18",IF(B150&lt;25,"18-24",IF(B150&lt;35,"25-34",IF(B150&lt;45,"35-44","45+")))))</f>
        <v/>
      </c>
      <c r="D150" s="37" t="s">
        <v>145</v>
      </c>
      <c r="E150" s="37" t="s">
        <v>64</v>
      </c>
      <c r="F150" s="37" t="s">
        <v>48</v>
      </c>
      <c r="G150" s="37" t="s">
        <v>139</v>
      </c>
      <c r="H150" s="37" t="s">
        <v>140</v>
      </c>
      <c r="I150" s="37" t="s">
        <v>43</v>
      </c>
      <c r="J150" s="38" t="n">
        <v>6705</v>
      </c>
      <c r="K150" s="37" t="s">
        <v>32</v>
      </c>
      <c r="L150" s="37" t="s">
        <v>43</v>
      </c>
      <c r="M150" s="39" t="n">
        <v>9.7</v>
      </c>
      <c r="N150" s="39" t="n">
        <v>11.6</v>
      </c>
      <c r="O150" s="40" t="n">
        <f aca="false">IF(OR(M150="",N150=""),"",M150/N150)</f>
        <v>0.836206896551724</v>
      </c>
      <c r="P150" s="41" t="n">
        <v>20</v>
      </c>
      <c r="Q150" s="37" t="str">
        <f aca="false">IF(P150="","",IF(P150=0,"Free","Paid"))</f>
        <v>Paid</v>
      </c>
      <c r="R150" s="39" t="n">
        <v>7.7</v>
      </c>
      <c r="S150" s="37" t="n">
        <v>5</v>
      </c>
      <c r="T150" s="37" t="n">
        <v>9</v>
      </c>
      <c r="U150" s="39"/>
      <c r="V150" s="42" t="str">
        <f aca="false">IF(OR(U150="",M150="",M150=0),"",U150/(M150*7))</f>
        <v/>
      </c>
      <c r="W150" s="37" t="s">
        <v>87</v>
      </c>
      <c r="X150" s="37"/>
      <c r="Y150" s="37" t="s">
        <v>515</v>
      </c>
    </row>
    <row r="151" customFormat="false" ht="15" hidden="false" customHeight="false" outlineLevel="0" collapsed="false">
      <c r="A151" s="37" t="s">
        <v>516</v>
      </c>
      <c r="B151" s="37" t="n">
        <v>36</v>
      </c>
      <c r="C151" s="37" t="str">
        <f aca="false">IF(B151="","",IF(B151&lt;18,"Under 18",IF(B151&lt;25,"18-24",IF(B151&lt;35,"25-34",IF(B151&lt;45,"35-44","45+")))))</f>
        <v>35-44</v>
      </c>
      <c r="D151" s="37" t="s">
        <v>134</v>
      </c>
      <c r="E151" s="37" t="s">
        <v>62</v>
      </c>
      <c r="F151" s="37" t="s">
        <v>48</v>
      </c>
      <c r="G151" s="37" t="s">
        <v>139</v>
      </c>
      <c r="H151" s="37" t="s">
        <v>397</v>
      </c>
      <c r="I151" s="37" t="s">
        <v>93</v>
      </c>
      <c r="J151" s="38" t="n">
        <v>987</v>
      </c>
      <c r="K151" s="37" t="s">
        <v>25</v>
      </c>
      <c r="L151" s="37" t="s">
        <v>37</v>
      </c>
      <c r="M151" s="39" t="n">
        <v>1.5</v>
      </c>
      <c r="N151" s="39" t="n">
        <v>7.6</v>
      </c>
      <c r="O151" s="40" t="n">
        <f aca="false">IF(OR(M151="",N151=""),"",M151/N151)</f>
        <v>0.197368421052632</v>
      </c>
      <c r="P151" s="41" t="n">
        <v>0</v>
      </c>
      <c r="Q151" s="37" t="str">
        <f aca="false">IF(P151="","",IF(P151=0,"Free","Paid"))</f>
        <v>Free</v>
      </c>
      <c r="R151" s="39" t="n">
        <v>4.2</v>
      </c>
      <c r="S151" s="37" t="n">
        <v>3</v>
      </c>
      <c r="T151" s="37" t="n">
        <v>6</v>
      </c>
      <c r="U151" s="39" t="n">
        <v>1.8</v>
      </c>
      <c r="V151" s="42" t="n">
        <f aca="false">IF(OR(U151="",M151="",M151=0),"",U151/(M151*7))</f>
        <v>0.171428571428571</v>
      </c>
      <c r="W151" s="37" t="s">
        <v>88</v>
      </c>
      <c r="X151" s="37"/>
      <c r="Y151" s="37" t="s">
        <v>517</v>
      </c>
    </row>
    <row r="152" customFormat="false" ht="15" hidden="false" customHeight="false" outlineLevel="0" collapsed="false">
      <c r="A152" s="37" t="s">
        <v>518</v>
      </c>
      <c r="B152" s="37" t="n">
        <v>23</v>
      </c>
      <c r="C152" s="37" t="str">
        <f aca="false">IF(B152="","",IF(B152&lt;18,"Under 18",IF(B152&lt;25,"18-24",IF(B152&lt;35,"25-34",IF(B152&lt;45,"35-44","45+")))))</f>
        <v>18-24</v>
      </c>
      <c r="D152" s="37" t="s">
        <v>134</v>
      </c>
      <c r="E152" s="37" t="s">
        <v>66</v>
      </c>
      <c r="F152" s="37" t="s">
        <v>47</v>
      </c>
      <c r="G152" s="37" t="s">
        <v>160</v>
      </c>
      <c r="H152" s="37" t="s">
        <v>221</v>
      </c>
      <c r="I152" s="37" t="s">
        <v>97</v>
      </c>
      <c r="J152" s="38" t="n">
        <v>109</v>
      </c>
      <c r="K152" s="37" t="s">
        <v>25</v>
      </c>
      <c r="L152" s="37" t="s">
        <v>39</v>
      </c>
      <c r="M152" s="39" t="n">
        <v>0.6</v>
      </c>
      <c r="N152" s="39" t="n">
        <v>2.3</v>
      </c>
      <c r="O152" s="40" t="n">
        <f aca="false">IF(OR(M152="",N152=""),"",M152/N152)</f>
        <v>0.260869565217391</v>
      </c>
      <c r="P152" s="41" t="n">
        <v>25</v>
      </c>
      <c r="Q152" s="37" t="str">
        <f aca="false">IF(P152="","",IF(P152=0,"Free","Paid"))</f>
        <v>Paid</v>
      </c>
      <c r="R152" s="39" t="n">
        <v>2.1</v>
      </c>
      <c r="S152" s="37" t="n">
        <v>4</v>
      </c>
      <c r="T152" s="37" t="n">
        <v>6</v>
      </c>
      <c r="U152" s="39" t="n">
        <v>0.1</v>
      </c>
      <c r="V152" s="42" t="n">
        <f aca="false">IF(OR(U152="",M152="",M152=0),"",U152/(M152*7))</f>
        <v>0.0238095238095238</v>
      </c>
      <c r="W152" s="37" t="s">
        <v>89</v>
      </c>
      <c r="X152" s="37"/>
      <c r="Y152" s="37" t="s">
        <v>519</v>
      </c>
    </row>
    <row r="153" customFormat="false" ht="15" hidden="false" customHeight="false" outlineLevel="0" collapsed="false">
      <c r="A153" s="37" t="s">
        <v>520</v>
      </c>
      <c r="B153" s="37" t="n">
        <v>37</v>
      </c>
      <c r="C153" s="37" t="str">
        <f aca="false">IF(B153="","",IF(B153&lt;18,"Under 18",IF(B153&lt;25,"18-24",IF(B153&lt;35,"25-34",IF(B153&lt;45,"35-44","45+")))))</f>
        <v>35-44</v>
      </c>
      <c r="D153" s="37" t="s">
        <v>145</v>
      </c>
      <c r="E153" s="37" t="s">
        <v>70</v>
      </c>
      <c r="F153" s="37" t="s">
        <v>48</v>
      </c>
      <c r="G153" s="37" t="s">
        <v>139</v>
      </c>
      <c r="H153" s="37" t="s">
        <v>250</v>
      </c>
      <c r="I153" s="37" t="s">
        <v>92</v>
      </c>
      <c r="J153" s="38" t="n">
        <v>889</v>
      </c>
      <c r="K153" s="37" t="s">
        <v>25</v>
      </c>
      <c r="L153" s="37" t="s">
        <v>38</v>
      </c>
      <c r="M153" s="39" t="n">
        <v>3.3</v>
      </c>
      <c r="N153" s="39" t="n">
        <v>8.9</v>
      </c>
      <c r="O153" s="40" t="n">
        <f aca="false">IF(OR(M153="",N153=""),"",M153/N153)</f>
        <v>0.370786516853933</v>
      </c>
      <c r="P153" s="41" t="n">
        <v>0</v>
      </c>
      <c r="Q153" s="37" t="str">
        <f aca="false">IF(P153="","",IF(P153=0,"Free","Paid"))</f>
        <v>Free</v>
      </c>
      <c r="R153" s="39" t="n">
        <v>7.8</v>
      </c>
      <c r="S153" s="37" t="n">
        <v>4</v>
      </c>
      <c r="T153" s="37" t="n">
        <v>7</v>
      </c>
      <c r="U153" s="39" t="n">
        <v>6.5</v>
      </c>
      <c r="V153" s="42" t="n">
        <f aca="false">IF(OR(U153="",M153="",M153=0),"",U153/(M153*7))</f>
        <v>0.281385281385281</v>
      </c>
      <c r="W153" s="37" t="s">
        <v>87</v>
      </c>
      <c r="X153" s="37"/>
      <c r="Y153" s="37" t="s">
        <v>521</v>
      </c>
    </row>
    <row r="154" customFormat="false" ht="15" hidden="false" customHeight="false" outlineLevel="0" collapsed="false">
      <c r="A154" s="37" t="s">
        <v>522</v>
      </c>
      <c r="B154" s="37" t="n">
        <v>21</v>
      </c>
      <c r="C154" s="37" t="str">
        <f aca="false">IF(B154="","",IF(B154&lt;18,"Under 18",IF(B154&lt;25,"18-24",IF(B154&lt;35,"25-34",IF(B154&lt;45,"35-44","45+")))))</f>
        <v>18-24</v>
      </c>
      <c r="D154" s="37" t="s">
        <v>134</v>
      </c>
      <c r="E154" s="37"/>
      <c r="F154" s="37" t="s">
        <v>47</v>
      </c>
      <c r="G154" s="37" t="s">
        <v>160</v>
      </c>
      <c r="H154" s="37" t="s">
        <v>189</v>
      </c>
      <c r="I154" s="37" t="s">
        <v>92</v>
      </c>
      <c r="J154" s="38" t="n">
        <v>59</v>
      </c>
      <c r="K154" s="37" t="s">
        <v>25</v>
      </c>
      <c r="L154" s="37" t="s">
        <v>38</v>
      </c>
      <c r="M154" s="39" t="n">
        <v>3</v>
      </c>
      <c r="N154" s="39" t="n">
        <v>8.4</v>
      </c>
      <c r="O154" s="40" t="n">
        <f aca="false">IF(OR(M154="",N154=""),"",M154/N154)</f>
        <v>0.357142857142857</v>
      </c>
      <c r="P154" s="41" t="n">
        <v>25</v>
      </c>
      <c r="Q154" s="37" t="str">
        <f aca="false">IF(P154="","",IF(P154=0,"Free","Paid"))</f>
        <v>Paid</v>
      </c>
      <c r="R154" s="39" t="n">
        <v>4.5</v>
      </c>
      <c r="S154" s="37" t="n">
        <v>4</v>
      </c>
      <c r="T154" s="37" t="n">
        <v>7</v>
      </c>
      <c r="U154" s="39" t="n">
        <v>4.9</v>
      </c>
      <c r="V154" s="42" t="n">
        <f aca="false">IF(OR(U154="",M154="",M154=0),"",U154/(M154*7))</f>
        <v>0.233333333333333</v>
      </c>
      <c r="W154" s="37" t="s">
        <v>87</v>
      </c>
      <c r="X154" s="37"/>
      <c r="Y154" s="37" t="s">
        <v>523</v>
      </c>
    </row>
    <row r="155" customFormat="false" ht="15" hidden="false" customHeight="false" outlineLevel="0" collapsed="false">
      <c r="A155" s="37" t="s">
        <v>524</v>
      </c>
      <c r="B155" s="37" t="n">
        <v>55</v>
      </c>
      <c r="C155" s="37" t="str">
        <f aca="false">IF(B155="","",IF(B155&lt;18,"Under 18",IF(B155&lt;25,"18-24",IF(B155&lt;35,"25-34",IF(B155&lt;45,"35-44","45+")))))</f>
        <v>45+</v>
      </c>
      <c r="D155" s="37" t="s">
        <v>134</v>
      </c>
      <c r="E155" s="37" t="s">
        <v>67</v>
      </c>
      <c r="F155" s="37" t="s">
        <v>48</v>
      </c>
      <c r="G155" s="37" t="s">
        <v>135</v>
      </c>
      <c r="H155" s="37" t="s">
        <v>525</v>
      </c>
      <c r="I155" s="37" t="s">
        <v>94</v>
      </c>
      <c r="J155" s="38" t="n">
        <v>2116</v>
      </c>
      <c r="K155" s="37" t="s">
        <v>26</v>
      </c>
      <c r="L155" s="37" t="s">
        <v>40</v>
      </c>
      <c r="M155" s="39" t="n">
        <v>1.4</v>
      </c>
      <c r="N155" s="39" t="n">
        <v>8.3</v>
      </c>
      <c r="O155" s="40" t="n">
        <f aca="false">IF(OR(M155="",N155=""),"",M155/N155)</f>
        <v>0.168674698795181</v>
      </c>
      <c r="P155" s="41" t="n">
        <v>0</v>
      </c>
      <c r="Q155" s="37" t="str">
        <f aca="false">IF(P155="","",IF(P155=0,"Free","Paid"))</f>
        <v>Free</v>
      </c>
      <c r="R155" s="39" t="n">
        <v>3.9</v>
      </c>
      <c r="S155" s="37" t="n">
        <v>2</v>
      </c>
      <c r="T155" s="37" t="n">
        <v>4</v>
      </c>
      <c r="U155" s="39" t="n">
        <v>1.6</v>
      </c>
      <c r="V155" s="42" t="n">
        <f aca="false">IF(OR(U155="",M155="",M155=0),"",U155/(M155*7))</f>
        <v>0.163265306122449</v>
      </c>
      <c r="W155" s="37" t="s">
        <v>87</v>
      </c>
      <c r="X155" s="37"/>
      <c r="Y155" s="37" t="s">
        <v>526</v>
      </c>
    </row>
    <row r="156" customFormat="false" ht="15" hidden="false" customHeight="false" outlineLevel="0" collapsed="false">
      <c r="A156" s="37" t="s">
        <v>527</v>
      </c>
      <c r="B156" s="37" t="n">
        <v>29</v>
      </c>
      <c r="C156" s="37" t="str">
        <f aca="false">IF(B156="","",IF(B156&lt;18,"Under 18",IF(B156&lt;25,"18-24",IF(B156&lt;35,"25-34",IF(B156&lt;45,"35-44","45+")))))</f>
        <v>25-34</v>
      </c>
      <c r="D156" s="37" t="s">
        <v>278</v>
      </c>
      <c r="E156" s="37" t="s">
        <v>68</v>
      </c>
      <c r="F156" s="37" t="s">
        <v>48</v>
      </c>
      <c r="G156" s="37" t="s">
        <v>139</v>
      </c>
      <c r="H156" s="37" t="s">
        <v>302</v>
      </c>
      <c r="I156" s="37" t="s">
        <v>94</v>
      </c>
      <c r="J156" s="38" t="n">
        <v>765</v>
      </c>
      <c r="K156" s="37" t="s">
        <v>27</v>
      </c>
      <c r="L156" s="37" t="s">
        <v>42</v>
      </c>
      <c r="M156" s="39" t="n">
        <v>2.8</v>
      </c>
      <c r="N156" s="39" t="n">
        <v>11.3</v>
      </c>
      <c r="O156" s="40" t="n">
        <f aca="false">IF(OR(M156="",N156=""),"",M156/N156)</f>
        <v>0.247787610619469</v>
      </c>
      <c r="P156" s="41" t="n">
        <v>0</v>
      </c>
      <c r="Q156" s="37" t="str">
        <f aca="false">IF(P156="","",IF(P156=0,"Free","Paid"))</f>
        <v>Free</v>
      </c>
      <c r="R156" s="39" t="n">
        <v>6.6</v>
      </c>
      <c r="S156" s="37" t="n">
        <v>4</v>
      </c>
      <c r="T156" s="37" t="n">
        <v>9</v>
      </c>
      <c r="U156" s="39" t="n">
        <v>9.4</v>
      </c>
      <c r="V156" s="42" t="n">
        <f aca="false">IF(OR(U156="",M156="",M156=0),"",U156/(M156*7))</f>
        <v>0.479591836734694</v>
      </c>
      <c r="W156" s="37" t="s">
        <v>87</v>
      </c>
      <c r="X156" s="37"/>
      <c r="Y156" s="37" t="s">
        <v>528</v>
      </c>
    </row>
    <row r="157" customFormat="false" ht="15" hidden="false" customHeight="false" outlineLevel="0" collapsed="false">
      <c r="A157" s="37" t="s">
        <v>529</v>
      </c>
      <c r="B157" s="37" t="n">
        <v>63</v>
      </c>
      <c r="C157" s="37" t="str">
        <f aca="false">IF(B157="","",IF(B157&lt;18,"Under 18",IF(B157&lt;25,"18-24",IF(B157&lt;35,"25-34",IF(B157&lt;45,"35-44","45+")))))</f>
        <v>45+</v>
      </c>
      <c r="D157" s="37" t="s">
        <v>134</v>
      </c>
      <c r="E157" s="37" t="s">
        <v>69</v>
      </c>
      <c r="F157" s="37" t="s">
        <v>48</v>
      </c>
      <c r="G157" s="37" t="s">
        <v>139</v>
      </c>
      <c r="H157" s="37" t="s">
        <v>530</v>
      </c>
      <c r="I157" s="37" t="s">
        <v>92</v>
      </c>
      <c r="J157" s="38" t="n">
        <v>7178</v>
      </c>
      <c r="K157" s="37" t="s">
        <v>25</v>
      </c>
      <c r="L157" s="37" t="s">
        <v>38</v>
      </c>
      <c r="M157" s="39" t="n">
        <v>2.3</v>
      </c>
      <c r="N157" s="39" t="n">
        <v>5.9</v>
      </c>
      <c r="O157" s="40" t="n">
        <f aca="false">IF(OR(M157="",N157=""),"",M157/N157)</f>
        <v>0.389830508474576</v>
      </c>
      <c r="P157" s="41"/>
      <c r="Q157" s="37" t="str">
        <f aca="false">IF(P157="","",IF(P157=0,"Free","Paid"))</f>
        <v/>
      </c>
      <c r="R157" s="39" t="n">
        <v>4.8</v>
      </c>
      <c r="S157" s="37" t="n">
        <v>3</v>
      </c>
      <c r="T157" s="37" t="n">
        <v>5</v>
      </c>
      <c r="U157" s="39" t="n">
        <v>2</v>
      </c>
      <c r="V157" s="42" t="n">
        <f aca="false">IF(OR(U157="",M157="",M157=0),"",U157/(M157*7))</f>
        <v>0.124223602484472</v>
      </c>
      <c r="W157" s="37" t="s">
        <v>89</v>
      </c>
      <c r="X157" s="37"/>
      <c r="Y157" s="37" t="s">
        <v>531</v>
      </c>
    </row>
    <row r="158" customFormat="false" ht="15" hidden="false" customHeight="false" outlineLevel="0" collapsed="false">
      <c r="A158" s="37" t="s">
        <v>532</v>
      </c>
      <c r="B158" s="37" t="n">
        <v>26</v>
      </c>
      <c r="C158" s="37" t="str">
        <f aca="false">IF(B158="","",IF(B158&lt;18,"Under 18",IF(B158&lt;25,"18-24",IF(B158&lt;35,"25-34",IF(B158&lt;45,"35-44","45+")))))</f>
        <v>25-34</v>
      </c>
      <c r="D158" s="37" t="s">
        <v>134</v>
      </c>
      <c r="E158" s="37" t="s">
        <v>65</v>
      </c>
      <c r="F158" s="37" t="s">
        <v>47</v>
      </c>
      <c r="G158" s="37"/>
      <c r="H158" s="37" t="s">
        <v>172</v>
      </c>
      <c r="I158" s="37" t="s">
        <v>96</v>
      </c>
      <c r="J158" s="38" t="n">
        <v>54</v>
      </c>
      <c r="K158" s="37" t="s">
        <v>25</v>
      </c>
      <c r="L158" s="37" t="s">
        <v>40</v>
      </c>
      <c r="M158" s="39" t="n">
        <v>2.7</v>
      </c>
      <c r="N158" s="39" t="n">
        <v>6.9</v>
      </c>
      <c r="O158" s="40" t="n">
        <f aca="false">IF(OR(M158="",N158=""),"",M158/N158)</f>
        <v>0.391304347826087</v>
      </c>
      <c r="P158" s="41" t="n">
        <v>20</v>
      </c>
      <c r="Q158" s="37" t="str">
        <f aca="false">IF(P158="","",IF(P158=0,"Free","Paid"))</f>
        <v>Paid</v>
      </c>
      <c r="R158" s="39"/>
      <c r="S158" s="37" t="n">
        <v>3</v>
      </c>
      <c r="T158" s="37" t="n">
        <v>5</v>
      </c>
      <c r="U158" s="39" t="n">
        <v>5</v>
      </c>
      <c r="V158" s="42" t="n">
        <f aca="false">IF(OR(U158="",M158="",M158=0),"",U158/(M158*7))</f>
        <v>0.264550264550265</v>
      </c>
      <c r="W158" s="37" t="s">
        <v>88</v>
      </c>
      <c r="X158" s="37"/>
      <c r="Y158" s="37" t="s">
        <v>533</v>
      </c>
    </row>
    <row r="159" customFormat="false" ht="15" hidden="false" customHeight="false" outlineLevel="0" collapsed="false">
      <c r="A159" s="37" t="s">
        <v>534</v>
      </c>
      <c r="B159" s="37" t="n">
        <v>21</v>
      </c>
      <c r="C159" s="37" t="str">
        <f aca="false">IF(B159="","",IF(B159&lt;18,"Under 18",IF(B159&lt;25,"18-24",IF(B159&lt;35,"25-34",IF(B159&lt;45,"35-44","45+")))))</f>
        <v>18-24</v>
      </c>
      <c r="D159" s="37" t="s">
        <v>134</v>
      </c>
      <c r="E159" s="37" t="s">
        <v>63</v>
      </c>
      <c r="F159" s="37" t="s">
        <v>47</v>
      </c>
      <c r="G159" s="37" t="s">
        <v>149</v>
      </c>
      <c r="H159" s="37" t="s">
        <v>150</v>
      </c>
      <c r="I159" s="37" t="s">
        <v>95</v>
      </c>
      <c r="J159" s="38" t="n">
        <v>98</v>
      </c>
      <c r="K159" s="37" t="s">
        <v>27</v>
      </c>
      <c r="L159" s="37"/>
      <c r="M159" s="39" t="n">
        <v>4.1</v>
      </c>
      <c r="N159" s="39" t="n">
        <v>4.6</v>
      </c>
      <c r="O159" s="40" t="n">
        <f aca="false">IF(OR(M159="",N159=""),"",M159/N159)</f>
        <v>0.891304347826087</v>
      </c>
      <c r="P159" s="41" t="n">
        <v>0</v>
      </c>
      <c r="Q159" s="37" t="str">
        <f aca="false">IF(P159="","",IF(P159=0,"Free","Paid"))</f>
        <v>Free</v>
      </c>
      <c r="R159" s="39" t="n">
        <v>6.2</v>
      </c>
      <c r="S159" s="37" t="n">
        <v>4</v>
      </c>
      <c r="T159" s="37" t="n">
        <v>7</v>
      </c>
      <c r="U159" s="39" t="n">
        <v>4.3</v>
      </c>
      <c r="V159" s="42" t="n">
        <f aca="false">IF(OR(U159="",M159="",M159=0),"",U159/(M159*7))</f>
        <v>0.149825783972125</v>
      </c>
      <c r="W159" s="37" t="s">
        <v>87</v>
      </c>
      <c r="X159" s="37"/>
      <c r="Y159" s="37" t="s">
        <v>535</v>
      </c>
    </row>
    <row r="160" customFormat="false" ht="15" hidden="false" customHeight="false" outlineLevel="0" collapsed="false">
      <c r="A160" s="37" t="s">
        <v>536</v>
      </c>
      <c r="B160" s="37" t="n">
        <v>17</v>
      </c>
      <c r="C160" s="37" t="str">
        <f aca="false">IF(B160="","",IF(B160&lt;18,"Under 18",IF(B160&lt;25,"18-24",IF(B160&lt;35,"25-34",IF(B160&lt;45,"35-44","45+")))))</f>
        <v>Under 18</v>
      </c>
      <c r="D160" s="37" t="s">
        <v>145</v>
      </c>
      <c r="E160" s="37" t="s">
        <v>64</v>
      </c>
      <c r="F160" s="37" t="s">
        <v>47</v>
      </c>
      <c r="G160" s="37" t="s">
        <v>246</v>
      </c>
      <c r="H160" s="37" t="s">
        <v>537</v>
      </c>
      <c r="I160" s="37" t="s">
        <v>95</v>
      </c>
      <c r="J160" s="38" t="n">
        <v>518</v>
      </c>
      <c r="K160" s="37"/>
      <c r="L160" s="37" t="s">
        <v>39</v>
      </c>
      <c r="M160" s="39" t="n">
        <v>3.2</v>
      </c>
      <c r="N160" s="39" t="n">
        <v>20</v>
      </c>
      <c r="O160" s="40" t="n">
        <f aca="false">IF(OR(M160="",N160=""),"",M160/N160)</f>
        <v>0.16</v>
      </c>
      <c r="P160" s="41" t="n">
        <v>20</v>
      </c>
      <c r="Q160" s="37" t="str">
        <f aca="false">IF(P160="","",IF(P160=0,"Free","Paid"))</f>
        <v>Paid</v>
      </c>
      <c r="R160" s="39" t="n">
        <v>5.2</v>
      </c>
      <c r="S160" s="37" t="n">
        <v>4</v>
      </c>
      <c r="T160" s="37" t="n">
        <v>8</v>
      </c>
      <c r="U160" s="39" t="n">
        <v>4.8</v>
      </c>
      <c r="V160" s="42" t="n">
        <f aca="false">IF(OR(U160="",M160="",M160=0),"",U160/(M160*7))</f>
        <v>0.214285714285714</v>
      </c>
      <c r="W160" s="37" t="s">
        <v>87</v>
      </c>
      <c r="X160" s="37"/>
      <c r="Y160" s="37" t="s">
        <v>538</v>
      </c>
    </row>
    <row r="161" customFormat="false" ht="15" hidden="false" customHeight="false" outlineLevel="0" collapsed="false">
      <c r="A161" s="37" t="s">
        <v>539</v>
      </c>
      <c r="B161" s="37" t="n">
        <v>39</v>
      </c>
      <c r="C161" s="37" t="str">
        <f aca="false">IF(B161="","",IF(B161&lt;18,"Under 18",IF(B161&lt;25,"18-24",IF(B161&lt;35,"25-34",IF(B161&lt;45,"35-44","45+")))))</f>
        <v>35-44</v>
      </c>
      <c r="D161" s="37" t="s">
        <v>134</v>
      </c>
      <c r="E161" s="37" t="s">
        <v>70</v>
      </c>
      <c r="F161" s="37" t="s">
        <v>48</v>
      </c>
      <c r="G161" s="37" t="s">
        <v>160</v>
      </c>
      <c r="H161" s="37" t="s">
        <v>228</v>
      </c>
      <c r="I161" s="37" t="s">
        <v>95</v>
      </c>
      <c r="J161" s="38" t="n">
        <v>488</v>
      </c>
      <c r="K161" s="37" t="s">
        <v>32</v>
      </c>
      <c r="L161" s="37" t="s">
        <v>40</v>
      </c>
      <c r="M161" s="39" t="n">
        <v>1.2</v>
      </c>
      <c r="N161" s="39" t="n">
        <v>6.8</v>
      </c>
      <c r="O161" s="40" t="n">
        <f aca="false">IF(OR(M161="",N161=""),"",M161/N161)</f>
        <v>0.176470588235294</v>
      </c>
      <c r="P161" s="41" t="n">
        <v>20</v>
      </c>
      <c r="Q161" s="37" t="str">
        <f aca="false">IF(P161="","",IF(P161=0,"Free","Paid"))</f>
        <v>Paid</v>
      </c>
      <c r="R161" s="39" t="n">
        <v>3.4</v>
      </c>
      <c r="S161" s="37" t="n">
        <v>3</v>
      </c>
      <c r="T161" s="37"/>
      <c r="U161" s="39" t="n">
        <v>2.9</v>
      </c>
      <c r="V161" s="42" t="n">
        <f aca="false">IF(OR(U161="",M161="",M161=0),"",U161/(M161*7))</f>
        <v>0.345238095238095</v>
      </c>
      <c r="W161" s="37" t="s">
        <v>88</v>
      </c>
      <c r="X161" s="37"/>
      <c r="Y161" s="37" t="s">
        <v>540</v>
      </c>
    </row>
    <row r="162" customFormat="false" ht="15" hidden="false" customHeight="false" outlineLevel="0" collapsed="false">
      <c r="A162" s="37" t="s">
        <v>541</v>
      </c>
      <c r="B162" s="37" t="n">
        <v>17</v>
      </c>
      <c r="C162" s="37" t="str">
        <f aca="false">IF(B162="","",IF(B162&lt;18,"Under 18",IF(B162&lt;25,"18-24",IF(B162&lt;35,"25-34",IF(B162&lt;45,"35-44","45+")))))</f>
        <v>Under 18</v>
      </c>
      <c r="D162" s="37" t="s">
        <v>134</v>
      </c>
      <c r="E162" s="37" t="s">
        <v>65</v>
      </c>
      <c r="F162" s="37" t="s">
        <v>47</v>
      </c>
      <c r="G162" s="37" t="s">
        <v>139</v>
      </c>
      <c r="H162" s="37" t="s">
        <v>231</v>
      </c>
      <c r="I162" s="37" t="s">
        <v>96</v>
      </c>
      <c r="J162" s="38" t="n">
        <v>75</v>
      </c>
      <c r="K162" s="37" t="s">
        <v>27</v>
      </c>
      <c r="L162" s="37" t="s">
        <v>39</v>
      </c>
      <c r="M162" s="39" t="n">
        <v>5.9</v>
      </c>
      <c r="N162" s="39"/>
      <c r="O162" s="40" t="str">
        <f aca="false">IF(OR(M162="",N162=""),"",M162/N162)</f>
        <v/>
      </c>
      <c r="P162" s="41" t="n">
        <v>0</v>
      </c>
      <c r="Q162" s="37" t="str">
        <f aca="false">IF(P162="","",IF(P162=0,"Free","Paid"))</f>
        <v>Free</v>
      </c>
      <c r="R162" s="39" t="n">
        <v>6.1</v>
      </c>
      <c r="S162" s="37" t="n">
        <v>2</v>
      </c>
      <c r="T162" s="37" t="n">
        <v>5</v>
      </c>
      <c r="U162" s="39" t="n">
        <v>12.1</v>
      </c>
      <c r="V162" s="42" t="n">
        <f aca="false">IF(OR(U162="",M162="",M162=0),"",U162/(M162*7))</f>
        <v>0.292978208232445</v>
      </c>
      <c r="W162" s="37" t="s">
        <v>89</v>
      </c>
      <c r="X162" s="37"/>
      <c r="Y162" s="37" t="s">
        <v>542</v>
      </c>
    </row>
    <row r="163" customFormat="false" ht="15" hidden="false" customHeight="false" outlineLevel="0" collapsed="false">
      <c r="A163" s="37" t="s">
        <v>543</v>
      </c>
      <c r="B163" s="37" t="n">
        <v>18</v>
      </c>
      <c r="C163" s="37" t="str">
        <f aca="false">IF(B163="","",IF(B163&lt;18,"Under 18",IF(B163&lt;25,"18-24",IF(B163&lt;35,"25-34",IF(B163&lt;45,"35-44","45+")))))</f>
        <v>18-24</v>
      </c>
      <c r="D163" s="37" t="s">
        <v>145</v>
      </c>
      <c r="E163" s="37" t="s">
        <v>62</v>
      </c>
      <c r="F163" s="37" t="s">
        <v>47</v>
      </c>
      <c r="G163" s="37" t="s">
        <v>149</v>
      </c>
      <c r="H163" s="37" t="s">
        <v>236</v>
      </c>
      <c r="I163" s="37" t="s">
        <v>93</v>
      </c>
      <c r="J163" s="38" t="n">
        <v>66</v>
      </c>
      <c r="K163" s="37" t="s">
        <v>25</v>
      </c>
      <c r="L163" s="37"/>
      <c r="M163" s="39" t="n">
        <v>1.1</v>
      </c>
      <c r="N163" s="39" t="n">
        <v>6.3</v>
      </c>
      <c r="O163" s="40" t="n">
        <f aca="false">IF(OR(M163="",N163=""),"",M163/N163)</f>
        <v>0.174603174603175</v>
      </c>
      <c r="P163" s="41" t="n">
        <v>20</v>
      </c>
      <c r="Q163" s="37" t="str">
        <f aca="false">IF(P163="","",IF(P163=0,"Free","Paid"))</f>
        <v>Paid</v>
      </c>
      <c r="R163" s="39" t="n">
        <v>4.1</v>
      </c>
      <c r="S163" s="37"/>
      <c r="T163" s="37" t="n">
        <v>7</v>
      </c>
      <c r="U163" s="39" t="n">
        <v>5.6</v>
      </c>
      <c r="V163" s="42" t="n">
        <f aca="false">IF(OR(U163="",M163="",M163=0),"",U163/(M163*7))</f>
        <v>0.727272727272727</v>
      </c>
      <c r="W163" s="37" t="s">
        <v>87</v>
      </c>
      <c r="X163" s="37"/>
      <c r="Y163" s="37" t="s">
        <v>544</v>
      </c>
    </row>
    <row r="164" customFormat="false" ht="15" hidden="false" customHeight="false" outlineLevel="0" collapsed="false">
      <c r="A164" s="37" t="s">
        <v>545</v>
      </c>
      <c r="B164" s="37"/>
      <c r="C164" s="37" t="str">
        <f aca="false">IF(B164="","",IF(B164&lt;18,"Under 18",IF(B164&lt;25,"18-24",IF(B164&lt;35,"25-34",IF(B164&lt;45,"35-44","45+")))))</f>
        <v/>
      </c>
      <c r="D164" s="37" t="s">
        <v>145</v>
      </c>
      <c r="E164" s="37" t="s">
        <v>69</v>
      </c>
      <c r="F164" s="37" t="s">
        <v>47</v>
      </c>
      <c r="G164" s="37" t="s">
        <v>149</v>
      </c>
      <c r="H164" s="37" t="s">
        <v>546</v>
      </c>
      <c r="I164" s="37" t="s">
        <v>95</v>
      </c>
      <c r="J164" s="38" t="n">
        <v>133</v>
      </c>
      <c r="K164" s="37" t="s">
        <v>25</v>
      </c>
      <c r="L164" s="37" t="s">
        <v>39</v>
      </c>
      <c r="M164" s="39" t="n">
        <v>1.2</v>
      </c>
      <c r="N164" s="39" t="n">
        <v>7.1</v>
      </c>
      <c r="O164" s="40" t="n">
        <f aca="false">IF(OR(M164="",N164=""),"",M164/N164)</f>
        <v>0.169014084507042</v>
      </c>
      <c r="P164" s="41" t="n">
        <v>0</v>
      </c>
      <c r="Q164" s="37" t="str">
        <f aca="false">IF(P164="","",IF(P164=0,"Free","Paid"))</f>
        <v>Free</v>
      </c>
      <c r="R164" s="39" t="n">
        <v>2.6</v>
      </c>
      <c r="S164" s="37" t="n">
        <v>4</v>
      </c>
      <c r="T164" s="37" t="n">
        <v>7</v>
      </c>
      <c r="U164" s="39" t="n">
        <v>5.3</v>
      </c>
      <c r="V164" s="42" t="n">
        <f aca="false">IF(OR(U164="",M164="",M164=0),"",U164/(M164*7))</f>
        <v>0.630952380952381</v>
      </c>
      <c r="W164" s="37" t="s">
        <v>87</v>
      </c>
      <c r="X164" s="37"/>
      <c r="Y164" s="37" t="s">
        <v>547</v>
      </c>
    </row>
    <row r="165" customFormat="false" ht="15" hidden="false" customHeight="false" outlineLevel="0" collapsed="false">
      <c r="A165" s="37" t="s">
        <v>548</v>
      </c>
      <c r="B165" s="37" t="n">
        <v>16</v>
      </c>
      <c r="C165" s="37" t="str">
        <f aca="false">IF(B165="","",IF(B165&lt;18,"Under 18",IF(B165&lt;25,"18-24",IF(B165&lt;35,"25-34",IF(B165&lt;45,"35-44","45+")))))</f>
        <v>Under 18</v>
      </c>
      <c r="D165" s="37" t="s">
        <v>134</v>
      </c>
      <c r="E165" s="37" t="s">
        <v>62</v>
      </c>
      <c r="F165" s="37" t="s">
        <v>47</v>
      </c>
      <c r="G165" s="37" t="s">
        <v>135</v>
      </c>
      <c r="H165" s="37" t="s">
        <v>549</v>
      </c>
      <c r="I165" s="37" t="s">
        <v>95</v>
      </c>
      <c r="J165" s="38" t="n">
        <v>96</v>
      </c>
      <c r="K165" s="37" t="s">
        <v>25</v>
      </c>
      <c r="L165" s="37" t="s">
        <v>39</v>
      </c>
      <c r="M165" s="39" t="n">
        <v>0.7</v>
      </c>
      <c r="N165" s="39"/>
      <c r="O165" s="40" t="str">
        <f aca="false">IF(OR(M165="",N165=""),"",M165/N165)</f>
        <v/>
      </c>
      <c r="P165" s="41" t="n">
        <v>0</v>
      </c>
      <c r="Q165" s="37" t="str">
        <f aca="false">IF(P165="","",IF(P165=0,"Free","Paid"))</f>
        <v>Free</v>
      </c>
      <c r="R165" s="39" t="n">
        <v>4.3</v>
      </c>
      <c r="S165" s="37" t="n">
        <v>4</v>
      </c>
      <c r="T165" s="37" t="n">
        <v>7</v>
      </c>
      <c r="U165" s="39" t="n">
        <v>0</v>
      </c>
      <c r="V165" s="42" t="n">
        <f aca="false">IF(OR(U165="",M165="",M165=0),"",U165/(M165*7))</f>
        <v>0</v>
      </c>
      <c r="W165" s="37" t="s">
        <v>87</v>
      </c>
      <c r="X165" s="37"/>
      <c r="Y165" s="37" t="s">
        <v>550</v>
      </c>
    </row>
    <row r="166" customFormat="false" ht="15" hidden="false" customHeight="false" outlineLevel="0" collapsed="false">
      <c r="A166" s="37" t="s">
        <v>551</v>
      </c>
      <c r="B166" s="37" t="n">
        <v>23</v>
      </c>
      <c r="C166" s="37" t="str">
        <f aca="false">IF(B166="","",IF(B166&lt;18,"Under 18",IF(B166&lt;25,"18-24",IF(B166&lt;35,"25-34",IF(B166&lt;45,"35-44","45+")))))</f>
        <v>18-24</v>
      </c>
      <c r="D166" s="37" t="s">
        <v>134</v>
      </c>
      <c r="E166" s="37" t="s">
        <v>66</v>
      </c>
      <c r="F166" s="37" t="s">
        <v>47</v>
      </c>
      <c r="G166" s="37" t="s">
        <v>139</v>
      </c>
      <c r="H166" s="37" t="s">
        <v>189</v>
      </c>
      <c r="I166" s="37" t="s">
        <v>92</v>
      </c>
      <c r="J166" s="38" t="n">
        <v>504</v>
      </c>
      <c r="K166" s="37" t="s">
        <v>25</v>
      </c>
      <c r="L166" s="37"/>
      <c r="M166" s="39" t="n">
        <v>0.6</v>
      </c>
      <c r="N166" s="39" t="n">
        <v>4.5</v>
      </c>
      <c r="O166" s="40" t="n">
        <f aca="false">IF(OR(M166="",N166=""),"",M166/N166)</f>
        <v>0.133333333333333</v>
      </c>
      <c r="P166" s="41" t="n">
        <v>20</v>
      </c>
      <c r="Q166" s="37" t="str">
        <f aca="false">IF(P166="","",IF(P166=0,"Free","Paid"))</f>
        <v>Paid</v>
      </c>
      <c r="R166" s="39" t="n">
        <v>1.9</v>
      </c>
      <c r="S166" s="37" t="n">
        <v>3</v>
      </c>
      <c r="T166" s="37" t="n">
        <v>4</v>
      </c>
      <c r="U166" s="39" t="n">
        <v>0</v>
      </c>
      <c r="V166" s="42" t="n">
        <f aca="false">IF(OR(U166="",M166="",M166=0),"",U166/(M166*7))</f>
        <v>0</v>
      </c>
      <c r="W166" s="37" t="s">
        <v>87</v>
      </c>
      <c r="X166" s="37"/>
      <c r="Y166" s="37" t="s">
        <v>552</v>
      </c>
    </row>
    <row r="167" customFormat="false" ht="15" hidden="false" customHeight="false" outlineLevel="0" collapsed="false">
      <c r="A167" s="37" t="s">
        <v>553</v>
      </c>
      <c r="B167" s="37" t="n">
        <v>24</v>
      </c>
      <c r="C167" s="37" t="str">
        <f aca="false">IF(B167="","",IF(B167&lt;18,"Under 18",IF(B167&lt;25,"18-24",IF(B167&lt;35,"25-34",IF(B167&lt;45,"35-44","45+")))))</f>
        <v>18-24</v>
      </c>
      <c r="D167" s="37" t="s">
        <v>145</v>
      </c>
      <c r="E167" s="37" t="s">
        <v>65</v>
      </c>
      <c r="F167" s="37" t="s">
        <v>47</v>
      </c>
      <c r="G167" s="37"/>
      <c r="H167" s="37" t="s">
        <v>189</v>
      </c>
      <c r="I167" s="37" t="s">
        <v>92</v>
      </c>
      <c r="J167" s="38" t="n">
        <v>95</v>
      </c>
      <c r="K167" s="37" t="s">
        <v>27</v>
      </c>
      <c r="L167" s="37" t="s">
        <v>38</v>
      </c>
      <c r="M167" s="39" t="n">
        <v>3.7</v>
      </c>
      <c r="N167" s="39" t="n">
        <v>9</v>
      </c>
      <c r="O167" s="40" t="n">
        <f aca="false">IF(OR(M167="",N167=""),"",M167/N167)</f>
        <v>0.411111111111111</v>
      </c>
      <c r="P167" s="41" t="n">
        <v>0</v>
      </c>
      <c r="Q167" s="37" t="str">
        <f aca="false">IF(P167="","",IF(P167=0,"Free","Paid"))</f>
        <v>Free</v>
      </c>
      <c r="R167" s="39" t="n">
        <v>7.7</v>
      </c>
      <c r="S167" s="37" t="n">
        <v>4</v>
      </c>
      <c r="T167" s="37" t="n">
        <v>7</v>
      </c>
      <c r="U167" s="39" t="n">
        <v>9.9</v>
      </c>
      <c r="V167" s="42" t="n">
        <f aca="false">IF(OR(U167="",M167="",M167=0),"",U167/(M167*7))</f>
        <v>0.382239382239382</v>
      </c>
      <c r="W167" s="37" t="s">
        <v>88</v>
      </c>
      <c r="X167" s="37"/>
      <c r="Y167" s="37" t="s">
        <v>554</v>
      </c>
    </row>
    <row r="168" customFormat="false" ht="15" hidden="false" customHeight="false" outlineLevel="0" collapsed="false">
      <c r="A168" s="37" t="s">
        <v>555</v>
      </c>
      <c r="B168" s="37" t="n">
        <v>20</v>
      </c>
      <c r="C168" s="37" t="str">
        <f aca="false">IF(B168="","",IF(B168&lt;18,"Under 18",IF(B168&lt;25,"18-24",IF(B168&lt;35,"25-34",IF(B168&lt;45,"35-44","45+")))))</f>
        <v>18-24</v>
      </c>
      <c r="D168" s="37" t="s">
        <v>134</v>
      </c>
      <c r="E168" s="37" t="s">
        <v>67</v>
      </c>
      <c r="F168" s="37" t="s">
        <v>47</v>
      </c>
      <c r="G168" s="37" t="s">
        <v>246</v>
      </c>
      <c r="H168" s="37" t="s">
        <v>556</v>
      </c>
      <c r="I168" s="37" t="s">
        <v>93</v>
      </c>
      <c r="J168" s="38" t="n">
        <v>238</v>
      </c>
      <c r="K168" s="37" t="s">
        <v>28</v>
      </c>
      <c r="L168" s="37" t="s">
        <v>41</v>
      </c>
      <c r="M168" s="39" t="n">
        <v>1</v>
      </c>
      <c r="N168" s="39" t="n">
        <v>6.2</v>
      </c>
      <c r="O168" s="40" t="n">
        <f aca="false">IF(OR(M168="",N168=""),"",M168/N168)</f>
        <v>0.161290322580645</v>
      </c>
      <c r="P168" s="41" t="n">
        <v>0</v>
      </c>
      <c r="Q168" s="37" t="str">
        <f aca="false">IF(P168="","",IF(P168=0,"Free","Paid"))</f>
        <v>Free</v>
      </c>
      <c r="R168" s="39"/>
      <c r="S168" s="37"/>
      <c r="T168" s="37" t="n">
        <v>6</v>
      </c>
      <c r="U168" s="39" t="n">
        <v>2.7</v>
      </c>
      <c r="V168" s="42" t="n">
        <f aca="false">IF(OR(U168="",M168="",M168=0),"",U168/(M168*7))</f>
        <v>0.385714285714286</v>
      </c>
      <c r="W168" s="37" t="s">
        <v>88</v>
      </c>
      <c r="X168" s="37"/>
      <c r="Y168" s="37"/>
    </row>
    <row r="169" customFormat="false" ht="15" hidden="false" customHeight="false" outlineLevel="0" collapsed="false">
      <c r="A169" s="37" t="s">
        <v>557</v>
      </c>
      <c r="B169" s="37" t="n">
        <v>23</v>
      </c>
      <c r="C169" s="37" t="str">
        <f aca="false">IF(B169="","",IF(B169&lt;18,"Under 18",IF(B169&lt;25,"18-24",IF(B169&lt;35,"25-34",IF(B169&lt;45,"35-44","45+")))))</f>
        <v>18-24</v>
      </c>
      <c r="D169" s="37" t="s">
        <v>145</v>
      </c>
      <c r="E169" s="37" t="s">
        <v>65</v>
      </c>
      <c r="F169" s="37" t="s">
        <v>47</v>
      </c>
      <c r="G169" s="37" t="s">
        <v>160</v>
      </c>
      <c r="H169" s="37" t="s">
        <v>150</v>
      </c>
      <c r="I169" s="37" t="s">
        <v>95</v>
      </c>
      <c r="J169" s="38" t="n">
        <v>0</v>
      </c>
      <c r="K169" s="37" t="s">
        <v>26</v>
      </c>
      <c r="L169" s="37" t="s">
        <v>39</v>
      </c>
      <c r="M169" s="39" t="n">
        <v>0.8</v>
      </c>
      <c r="N169" s="39" t="n">
        <v>8.6</v>
      </c>
      <c r="O169" s="40" t="n">
        <f aca="false">IF(OR(M169="",N169=""),"",M169/N169)</f>
        <v>0.0930232558139535</v>
      </c>
      <c r="P169" s="41" t="n">
        <v>20</v>
      </c>
      <c r="Q169" s="37" t="str">
        <f aca="false">IF(P169="","",IF(P169=0,"Free","Paid"))</f>
        <v>Paid</v>
      </c>
      <c r="R169" s="39" t="n">
        <v>4.3</v>
      </c>
      <c r="S169" s="37" t="n">
        <v>4</v>
      </c>
      <c r="T169" s="37" t="n">
        <v>5</v>
      </c>
      <c r="U169" s="39" t="n">
        <v>2.9</v>
      </c>
      <c r="V169" s="42" t="n">
        <f aca="false">IF(OR(U169="",M169="",M169=0),"",U169/(M169*7))</f>
        <v>0.517857142857143</v>
      </c>
      <c r="W169" s="37" t="s">
        <v>87</v>
      </c>
      <c r="X169" s="37"/>
      <c r="Y169" s="37" t="s">
        <v>558</v>
      </c>
    </row>
    <row r="170" customFormat="false" ht="15" hidden="false" customHeight="false" outlineLevel="0" collapsed="false">
      <c r="A170" s="37" t="s">
        <v>559</v>
      </c>
      <c r="B170" s="37" t="n">
        <v>22</v>
      </c>
      <c r="C170" s="37" t="str">
        <f aca="false">IF(B170="","",IF(B170&lt;18,"Under 18",IF(B170&lt;25,"18-24",IF(B170&lt;35,"25-34",IF(B170&lt;45,"35-44","45+")))))</f>
        <v>18-24</v>
      </c>
      <c r="D170" s="37" t="s">
        <v>145</v>
      </c>
      <c r="E170" s="37"/>
      <c r="F170" s="37" t="s">
        <v>47</v>
      </c>
      <c r="G170" s="37" t="s">
        <v>139</v>
      </c>
      <c r="H170" s="37" t="s">
        <v>560</v>
      </c>
      <c r="I170" s="37" t="s">
        <v>92</v>
      </c>
      <c r="J170" s="38" t="n">
        <v>0</v>
      </c>
      <c r="K170" s="37" t="s">
        <v>25</v>
      </c>
      <c r="L170" s="37" t="s">
        <v>38</v>
      </c>
      <c r="M170" s="39" t="n">
        <v>2.5</v>
      </c>
      <c r="N170" s="39" t="n">
        <v>7.8</v>
      </c>
      <c r="O170" s="40" t="n">
        <f aca="false">IF(OR(M170="",N170=""),"",M170/N170)</f>
        <v>0.320512820512821</v>
      </c>
      <c r="P170" s="41" t="n">
        <v>10</v>
      </c>
      <c r="Q170" s="37" t="str">
        <f aca="false">IF(P170="","",IF(P170=0,"Free","Paid"))</f>
        <v>Paid</v>
      </c>
      <c r="R170" s="39" t="n">
        <v>5.2</v>
      </c>
      <c r="S170" s="37" t="n">
        <v>2</v>
      </c>
      <c r="T170" s="37" t="n">
        <v>5</v>
      </c>
      <c r="U170" s="39" t="n">
        <v>4.4</v>
      </c>
      <c r="V170" s="42" t="n">
        <f aca="false">IF(OR(U170="",M170="",M170=0),"",U170/(M170*7))</f>
        <v>0.251428571428571</v>
      </c>
      <c r="W170" s="37" t="s">
        <v>89</v>
      </c>
      <c r="X170" s="37"/>
      <c r="Y170" s="37" t="s">
        <v>561</v>
      </c>
    </row>
    <row r="171" customFormat="false" ht="15" hidden="false" customHeight="false" outlineLevel="0" collapsed="false">
      <c r="A171" s="37" t="s">
        <v>562</v>
      </c>
      <c r="B171" s="37" t="n">
        <v>23</v>
      </c>
      <c r="C171" s="37" t="str">
        <f aca="false">IF(B171="","",IF(B171&lt;18,"Under 18",IF(B171&lt;25,"18-24",IF(B171&lt;35,"25-34",IF(B171&lt;45,"35-44","45+")))))</f>
        <v>18-24</v>
      </c>
      <c r="D171" s="37" t="s">
        <v>145</v>
      </c>
      <c r="E171" s="37" t="s">
        <v>62</v>
      </c>
      <c r="F171" s="37" t="s">
        <v>47</v>
      </c>
      <c r="G171" s="37" t="s">
        <v>149</v>
      </c>
      <c r="H171" s="37" t="s">
        <v>440</v>
      </c>
      <c r="I171" s="37" t="s">
        <v>92</v>
      </c>
      <c r="J171" s="38" t="n">
        <v>100</v>
      </c>
      <c r="K171" s="37" t="s">
        <v>29</v>
      </c>
      <c r="L171" s="37" t="s">
        <v>41</v>
      </c>
      <c r="M171" s="39"/>
      <c r="N171" s="39" t="n">
        <v>6</v>
      </c>
      <c r="O171" s="40" t="str">
        <f aca="false">IF(OR(M171="",N171=""),"",M171/N171)</f>
        <v/>
      </c>
      <c r="P171" s="41" t="n">
        <v>25</v>
      </c>
      <c r="Q171" s="37" t="str">
        <f aca="false">IF(P171="","",IF(P171=0,"Free","Paid"))</f>
        <v>Paid</v>
      </c>
      <c r="R171" s="39" t="n">
        <v>4.7</v>
      </c>
      <c r="S171" s="37" t="n">
        <v>3</v>
      </c>
      <c r="T171" s="37" t="n">
        <v>5</v>
      </c>
      <c r="U171" s="39" t="n">
        <v>2.1</v>
      </c>
      <c r="V171" s="42" t="str">
        <f aca="false">IF(OR(U171="",M171="",M171=0),"",U171/(M171*7))</f>
        <v/>
      </c>
      <c r="W171" s="37" t="s">
        <v>87</v>
      </c>
      <c r="X171" s="37"/>
      <c r="Y171" s="37" t="s">
        <v>563</v>
      </c>
    </row>
    <row r="172" customFormat="false" ht="15" hidden="false" customHeight="false" outlineLevel="0" collapsed="false">
      <c r="A172" s="37" t="s">
        <v>564</v>
      </c>
      <c r="B172" s="37" t="n">
        <v>61</v>
      </c>
      <c r="C172" s="37" t="str">
        <f aca="false">IF(B172="","",IF(B172&lt;18,"Under 18",IF(B172&lt;25,"18-24",IF(B172&lt;35,"25-34",IF(B172&lt;45,"35-44","45+")))))</f>
        <v>45+</v>
      </c>
      <c r="D172" s="37" t="s">
        <v>145</v>
      </c>
      <c r="E172" s="37" t="s">
        <v>67</v>
      </c>
      <c r="F172" s="37" t="s">
        <v>48</v>
      </c>
      <c r="G172" s="37" t="s">
        <v>135</v>
      </c>
      <c r="H172" s="37" t="s">
        <v>565</v>
      </c>
      <c r="I172" s="37" t="s">
        <v>94</v>
      </c>
      <c r="J172" s="38" t="n">
        <v>1884</v>
      </c>
      <c r="K172" s="37" t="s">
        <v>26</v>
      </c>
      <c r="L172" s="37" t="s">
        <v>42</v>
      </c>
      <c r="M172" s="39" t="n">
        <v>1.5</v>
      </c>
      <c r="N172" s="39" t="n">
        <v>7.7</v>
      </c>
      <c r="O172" s="40" t="n">
        <f aca="false">IF(OR(M172="",N172=""),"",M172/N172)</f>
        <v>0.194805194805195</v>
      </c>
      <c r="P172" s="41" t="n">
        <v>10</v>
      </c>
      <c r="Q172" s="37" t="str">
        <f aca="false">IF(P172="","",IF(P172=0,"Free","Paid"))</f>
        <v>Paid</v>
      </c>
      <c r="R172" s="39" t="n">
        <v>4.9</v>
      </c>
      <c r="S172" s="37"/>
      <c r="T172" s="37" t="n">
        <v>4</v>
      </c>
      <c r="U172" s="39"/>
      <c r="V172" s="42" t="str">
        <f aca="false">IF(OR(U172="",M172="",M172=0),"",U172/(M172*7))</f>
        <v/>
      </c>
      <c r="W172" s="37" t="s">
        <v>87</v>
      </c>
      <c r="X172" s="37"/>
      <c r="Y172" s="37" t="s">
        <v>566</v>
      </c>
    </row>
    <row r="173" customFormat="false" ht="15" hidden="false" customHeight="false" outlineLevel="0" collapsed="false">
      <c r="A173" s="37" t="s">
        <v>567</v>
      </c>
      <c r="B173" s="37" t="n">
        <v>17</v>
      </c>
      <c r="C173" s="37" t="str">
        <f aca="false">IF(B173="","",IF(B173&lt;18,"Under 18",IF(B173&lt;25,"18-24",IF(B173&lt;35,"25-34",IF(B173&lt;45,"35-44","45+")))))</f>
        <v>Under 18</v>
      </c>
      <c r="D173" s="37" t="s">
        <v>134</v>
      </c>
      <c r="E173" s="37"/>
      <c r="F173" s="37" t="s">
        <v>47</v>
      </c>
      <c r="G173" s="37" t="s">
        <v>149</v>
      </c>
      <c r="H173" s="37" t="s">
        <v>568</v>
      </c>
      <c r="I173" s="37" t="s">
        <v>92</v>
      </c>
      <c r="J173" s="38" t="n">
        <v>387</v>
      </c>
      <c r="K173" s="37" t="s">
        <v>27</v>
      </c>
      <c r="L173" s="37" t="s">
        <v>41</v>
      </c>
      <c r="M173" s="39" t="n">
        <v>1.5</v>
      </c>
      <c r="N173" s="39"/>
      <c r="O173" s="40" t="str">
        <f aca="false">IF(OR(M173="",N173=""),"",M173/N173)</f>
        <v/>
      </c>
      <c r="P173" s="41" t="n">
        <v>10</v>
      </c>
      <c r="Q173" s="37" t="str">
        <f aca="false">IF(P173="","",IF(P173=0,"Free","Paid"))</f>
        <v>Paid</v>
      </c>
      <c r="R173" s="39" t="n">
        <v>6.2</v>
      </c>
      <c r="S173" s="37" t="n">
        <v>3</v>
      </c>
      <c r="T173" s="37" t="n">
        <v>6</v>
      </c>
      <c r="U173" s="39" t="n">
        <v>7.5</v>
      </c>
      <c r="V173" s="42" t="n">
        <f aca="false">IF(OR(U173="",M173="",M173=0),"",U173/(M173*7))</f>
        <v>0.714285714285714</v>
      </c>
      <c r="W173" s="37" t="s">
        <v>89</v>
      </c>
      <c r="X173" s="37"/>
      <c r="Y173" s="37" t="s">
        <v>569</v>
      </c>
    </row>
    <row r="174" customFormat="false" ht="15" hidden="false" customHeight="false" outlineLevel="0" collapsed="false">
      <c r="A174" s="37" t="s">
        <v>570</v>
      </c>
      <c r="B174" s="37" t="n">
        <v>25</v>
      </c>
      <c r="C174" s="37" t="str">
        <f aca="false">IF(B174="","",IF(B174&lt;18,"Under 18",IF(B174&lt;25,"18-24",IF(B174&lt;35,"25-34",IF(B174&lt;45,"35-44","45+")))))</f>
        <v>25-34</v>
      </c>
      <c r="D174" s="37" t="s">
        <v>134</v>
      </c>
      <c r="E174" s="37"/>
      <c r="F174" s="37" t="s">
        <v>48</v>
      </c>
      <c r="G174" s="37" t="s">
        <v>246</v>
      </c>
      <c r="H174" s="37" t="s">
        <v>571</v>
      </c>
      <c r="I174" s="37" t="s">
        <v>92</v>
      </c>
      <c r="J174" s="38" t="n">
        <v>1632</v>
      </c>
      <c r="K174" s="37" t="s">
        <v>25</v>
      </c>
      <c r="L174" s="37" t="s">
        <v>41</v>
      </c>
      <c r="M174" s="39" t="n">
        <v>4.4</v>
      </c>
      <c r="N174" s="39" t="n">
        <v>5.8</v>
      </c>
      <c r="O174" s="40" t="n">
        <f aca="false">IF(OR(M174="",N174=""),"",M174/N174)</f>
        <v>0.758620689655173</v>
      </c>
      <c r="P174" s="41" t="n">
        <v>0</v>
      </c>
      <c r="Q174" s="37" t="str">
        <f aca="false">IF(P174="","",IF(P174=0,"Free","Paid"))</f>
        <v>Free</v>
      </c>
      <c r="R174" s="39" t="n">
        <v>7.8</v>
      </c>
      <c r="S174" s="37" t="n">
        <v>4</v>
      </c>
      <c r="T174" s="37" t="n">
        <v>9</v>
      </c>
      <c r="U174" s="39" t="n">
        <v>7.1</v>
      </c>
      <c r="V174" s="42" t="n">
        <f aca="false">IF(OR(U174="",M174="",M174=0),"",U174/(M174*7))</f>
        <v>0.23051948051948</v>
      </c>
      <c r="W174" s="37" t="s">
        <v>87</v>
      </c>
      <c r="X174" s="37"/>
      <c r="Y174" s="37" t="s">
        <v>572</v>
      </c>
    </row>
    <row r="175" customFormat="false" ht="15" hidden="false" customHeight="false" outlineLevel="0" collapsed="false">
      <c r="A175" s="37" t="s">
        <v>573</v>
      </c>
      <c r="B175" s="37" t="n">
        <v>49</v>
      </c>
      <c r="C175" s="37" t="str">
        <f aca="false">IF(B175="","",IF(B175&lt;18,"Under 18",IF(B175&lt;25,"18-24",IF(B175&lt;35,"25-34",IF(B175&lt;45,"35-44","45+")))))</f>
        <v>45+</v>
      </c>
      <c r="D175" s="37" t="s">
        <v>145</v>
      </c>
      <c r="E175" s="37" t="s">
        <v>68</v>
      </c>
      <c r="F175" s="37" t="s">
        <v>48</v>
      </c>
      <c r="G175" s="37" t="s">
        <v>246</v>
      </c>
      <c r="H175" s="37" t="s">
        <v>488</v>
      </c>
      <c r="I175" s="37" t="s">
        <v>95</v>
      </c>
      <c r="J175" s="38" t="n">
        <v>1193</v>
      </c>
      <c r="K175" s="37" t="s">
        <v>25</v>
      </c>
      <c r="L175" s="37" t="s">
        <v>42</v>
      </c>
      <c r="M175" s="39" t="n">
        <v>5.8</v>
      </c>
      <c r="N175" s="39" t="n">
        <v>7.9</v>
      </c>
      <c r="O175" s="40" t="n">
        <f aca="false">IF(OR(M175="",N175=""),"",M175/N175)</f>
        <v>0.734177215189873</v>
      </c>
      <c r="P175" s="41" t="n">
        <v>20</v>
      </c>
      <c r="Q175" s="37" t="str">
        <f aca="false">IF(P175="","",IF(P175=0,"Free","Paid"))</f>
        <v>Paid</v>
      </c>
      <c r="R175" s="39" t="n">
        <v>8.1</v>
      </c>
      <c r="S175" s="37" t="n">
        <v>2</v>
      </c>
      <c r="T175" s="37" t="n">
        <v>6</v>
      </c>
      <c r="U175" s="39" t="n">
        <v>13.5</v>
      </c>
      <c r="V175" s="42" t="n">
        <f aca="false">IF(OR(U175="",M175="",M175=0),"",U175/(M175*7))</f>
        <v>0.332512315270936</v>
      </c>
      <c r="W175" s="37" t="s">
        <v>88</v>
      </c>
      <c r="X175" s="37"/>
      <c r="Y175" s="37" t="s">
        <v>574</v>
      </c>
    </row>
    <row r="176" customFormat="false" ht="15" hidden="false" customHeight="false" outlineLevel="0" collapsed="false">
      <c r="A176" s="37" t="s">
        <v>575</v>
      </c>
      <c r="B176" s="37" t="n">
        <v>27</v>
      </c>
      <c r="C176" s="37" t="str">
        <f aca="false">IF(B176="","",IF(B176&lt;18,"Under 18",IF(B176&lt;25,"18-24",IF(B176&lt;35,"25-34",IF(B176&lt;45,"35-44","45+")))))</f>
        <v>25-34</v>
      </c>
      <c r="D176" s="37" t="s">
        <v>145</v>
      </c>
      <c r="E176" s="37" t="s">
        <v>71</v>
      </c>
      <c r="F176" s="37" t="s">
        <v>48</v>
      </c>
      <c r="G176" s="37" t="s">
        <v>139</v>
      </c>
      <c r="H176" s="37" t="s">
        <v>576</v>
      </c>
      <c r="I176" s="37" t="s">
        <v>93</v>
      </c>
      <c r="J176" s="38" t="n">
        <v>3622</v>
      </c>
      <c r="K176" s="37" t="s">
        <v>25</v>
      </c>
      <c r="L176" s="37" t="s">
        <v>37</v>
      </c>
      <c r="M176" s="39" t="n">
        <v>4</v>
      </c>
      <c r="N176" s="39" t="n">
        <v>8.6</v>
      </c>
      <c r="O176" s="40" t="n">
        <f aca="false">IF(OR(M176="",N176=""),"",M176/N176)</f>
        <v>0.465116279069767</v>
      </c>
      <c r="P176" s="41" t="n">
        <v>0</v>
      </c>
      <c r="Q176" s="37" t="str">
        <f aca="false">IF(P176="","",IF(P176=0,"Free","Paid"))</f>
        <v>Free</v>
      </c>
      <c r="R176" s="39" t="n">
        <v>5</v>
      </c>
      <c r="S176" s="37" t="n">
        <v>4</v>
      </c>
      <c r="T176" s="37" t="n">
        <v>6</v>
      </c>
      <c r="U176" s="39" t="n">
        <v>5.7</v>
      </c>
      <c r="V176" s="42" t="n">
        <f aca="false">IF(OR(U176="",M176="",M176=0),"",U176/(M176*7))</f>
        <v>0.203571428571429</v>
      </c>
      <c r="W176" s="37" t="s">
        <v>87</v>
      </c>
      <c r="X176" s="37"/>
      <c r="Y176" s="37" t="s">
        <v>577</v>
      </c>
    </row>
    <row r="177" customFormat="false" ht="15" hidden="false" customHeight="false" outlineLevel="0" collapsed="false">
      <c r="A177" s="37" t="s">
        <v>578</v>
      </c>
      <c r="B177" s="37" t="n">
        <v>26</v>
      </c>
      <c r="C177" s="37" t="str">
        <f aca="false">IF(B177="","",IF(B177&lt;18,"Under 18",IF(B177&lt;25,"18-24",IF(B177&lt;35,"25-34",IF(B177&lt;45,"35-44","45+")))))</f>
        <v>25-34</v>
      </c>
      <c r="D177" s="37" t="s">
        <v>145</v>
      </c>
      <c r="E177" s="37" t="s">
        <v>69</v>
      </c>
      <c r="F177" s="37" t="s">
        <v>47</v>
      </c>
      <c r="G177" s="37" t="s">
        <v>135</v>
      </c>
      <c r="H177" s="37" t="s">
        <v>464</v>
      </c>
      <c r="I177" s="37" t="s">
        <v>92</v>
      </c>
      <c r="J177" s="38" t="n">
        <v>661</v>
      </c>
      <c r="K177" s="37" t="s">
        <v>25</v>
      </c>
      <c r="L177" s="37" t="s">
        <v>38</v>
      </c>
      <c r="M177" s="39" t="n">
        <v>3.5</v>
      </c>
      <c r="N177" s="39" t="n">
        <v>6</v>
      </c>
      <c r="O177" s="40" t="n">
        <f aca="false">IF(OR(M177="",N177=""),"",M177/N177)</f>
        <v>0.583333333333333</v>
      </c>
      <c r="P177" s="41" t="n">
        <v>0</v>
      </c>
      <c r="Q177" s="37" t="str">
        <f aca="false">IF(P177="","",IF(P177=0,"Free","Paid"))</f>
        <v>Free</v>
      </c>
      <c r="R177" s="39" t="n">
        <v>4.9</v>
      </c>
      <c r="S177" s="37" t="n">
        <v>3</v>
      </c>
      <c r="T177" s="37" t="n">
        <v>4</v>
      </c>
      <c r="U177" s="39" t="n">
        <v>7</v>
      </c>
      <c r="V177" s="42" t="n">
        <f aca="false">IF(OR(U177="",M177="",M177=0),"",U177/(M177*7))</f>
        <v>0.285714285714286</v>
      </c>
      <c r="W177" s="37" t="s">
        <v>87</v>
      </c>
      <c r="X177" s="37"/>
      <c r="Y177" s="37" t="s">
        <v>579</v>
      </c>
    </row>
    <row r="178" customFormat="false" ht="15" hidden="false" customHeight="false" outlineLevel="0" collapsed="false">
      <c r="A178" s="37" t="s">
        <v>580</v>
      </c>
      <c r="B178" s="37" t="n">
        <v>39</v>
      </c>
      <c r="C178" s="37" t="str">
        <f aca="false">IF(B178="","",IF(B178&lt;18,"Under 18",IF(B178&lt;25,"18-24",IF(B178&lt;35,"25-34",IF(B178&lt;45,"35-44","45+")))))</f>
        <v>35-44</v>
      </c>
      <c r="D178" s="37" t="s">
        <v>145</v>
      </c>
      <c r="E178" s="37" t="s">
        <v>68</v>
      </c>
      <c r="F178" s="37" t="s">
        <v>48</v>
      </c>
      <c r="G178" s="37"/>
      <c r="H178" s="37" t="s">
        <v>581</v>
      </c>
      <c r="I178" s="37" t="s">
        <v>92</v>
      </c>
      <c r="J178" s="38" t="n">
        <v>1192</v>
      </c>
      <c r="K178" s="37" t="s">
        <v>25</v>
      </c>
      <c r="L178" s="37" t="s">
        <v>41</v>
      </c>
      <c r="M178" s="39" t="n">
        <v>1.4</v>
      </c>
      <c r="N178" s="39" t="n">
        <v>6.7</v>
      </c>
      <c r="O178" s="40" t="n">
        <f aca="false">IF(OR(M178="",N178=""),"",M178/N178)</f>
        <v>0.208955223880597</v>
      </c>
      <c r="P178" s="41" t="n">
        <v>30</v>
      </c>
      <c r="Q178" s="37" t="str">
        <f aca="false">IF(P178="","",IF(P178=0,"Free","Paid"))</f>
        <v>Paid</v>
      </c>
      <c r="R178" s="39" t="n">
        <v>3.5</v>
      </c>
      <c r="S178" s="37" t="n">
        <v>4</v>
      </c>
      <c r="T178" s="37" t="n">
        <v>6</v>
      </c>
      <c r="U178" s="39" t="n">
        <v>3.8</v>
      </c>
      <c r="V178" s="42" t="n">
        <f aca="false">IF(OR(U178="",M178="",M178=0),"",U178/(M178*7))</f>
        <v>0.387755102040816</v>
      </c>
      <c r="W178" s="37" t="s">
        <v>87</v>
      </c>
      <c r="X178" s="37"/>
      <c r="Y178" s="37"/>
    </row>
    <row r="179" customFormat="false" ht="15" hidden="false" customHeight="false" outlineLevel="0" collapsed="false">
      <c r="A179" s="37" t="s">
        <v>582</v>
      </c>
      <c r="B179" s="37" t="n">
        <v>22</v>
      </c>
      <c r="C179" s="37" t="str">
        <f aca="false">IF(B179="","",IF(B179&lt;18,"Under 18",IF(B179&lt;25,"18-24",IF(B179&lt;35,"25-34",IF(B179&lt;45,"35-44","45+")))))</f>
        <v>18-24</v>
      </c>
      <c r="D179" s="37" t="s">
        <v>134</v>
      </c>
      <c r="E179" s="37" t="s">
        <v>63</v>
      </c>
      <c r="F179" s="37" t="s">
        <v>47</v>
      </c>
      <c r="G179" s="37" t="s">
        <v>160</v>
      </c>
      <c r="H179" s="37" t="s">
        <v>143</v>
      </c>
      <c r="I179" s="37" t="s">
        <v>93</v>
      </c>
      <c r="J179" s="38" t="n">
        <v>0</v>
      </c>
      <c r="K179" s="37" t="s">
        <v>27</v>
      </c>
      <c r="L179" s="37"/>
      <c r="M179" s="39" t="n">
        <v>5.5</v>
      </c>
      <c r="N179" s="39" t="n">
        <v>7.4</v>
      </c>
      <c r="O179" s="40" t="n">
        <f aca="false">IF(OR(M179="",N179=""),"",M179/N179)</f>
        <v>0.743243243243243</v>
      </c>
      <c r="P179" s="41" t="n">
        <v>0</v>
      </c>
      <c r="Q179" s="37" t="str">
        <f aca="false">IF(P179="","",IF(P179=0,"Free","Paid"))</f>
        <v>Free</v>
      </c>
      <c r="R179" s="39" t="n">
        <v>8.3</v>
      </c>
      <c r="S179" s="37" t="n">
        <v>3</v>
      </c>
      <c r="T179" s="37" t="n">
        <v>8</v>
      </c>
      <c r="U179" s="39" t="n">
        <v>10.9</v>
      </c>
      <c r="V179" s="42" t="n">
        <f aca="false">IF(OR(U179="",M179="",M179=0),"",U179/(M179*7))</f>
        <v>0.283116883116883</v>
      </c>
      <c r="W179" s="37" t="s">
        <v>87</v>
      </c>
      <c r="X179" s="37"/>
      <c r="Y179" s="37" t="s">
        <v>583</v>
      </c>
    </row>
    <row r="180" customFormat="false" ht="15" hidden="false" customHeight="false" outlineLevel="0" collapsed="false">
      <c r="A180" s="37" t="s">
        <v>584</v>
      </c>
      <c r="B180" s="37" t="n">
        <v>22</v>
      </c>
      <c r="C180" s="37" t="str">
        <f aca="false">IF(B180="","",IF(B180&lt;18,"Under 18",IF(B180&lt;25,"18-24",IF(B180&lt;35,"25-34",IF(B180&lt;45,"35-44","45+")))))</f>
        <v>18-24</v>
      </c>
      <c r="D180" s="37" t="s">
        <v>134</v>
      </c>
      <c r="E180" s="37" t="s">
        <v>69</v>
      </c>
      <c r="F180" s="37" t="s">
        <v>47</v>
      </c>
      <c r="G180" s="37" t="s">
        <v>149</v>
      </c>
      <c r="H180" s="37" t="s">
        <v>172</v>
      </c>
      <c r="I180" s="37" t="s">
        <v>96</v>
      </c>
      <c r="J180" s="38" t="n">
        <v>613</v>
      </c>
      <c r="K180" s="37" t="s">
        <v>26</v>
      </c>
      <c r="L180" s="37" t="s">
        <v>39</v>
      </c>
      <c r="M180" s="39" t="n">
        <v>1.9</v>
      </c>
      <c r="N180" s="39" t="n">
        <v>7.4</v>
      </c>
      <c r="O180" s="40" t="n">
        <f aca="false">IF(OR(M180="",N180=""),"",M180/N180)</f>
        <v>0.256756756756757</v>
      </c>
      <c r="P180" s="41" t="n">
        <v>20</v>
      </c>
      <c r="Q180" s="37" t="str">
        <f aca="false">IF(P180="","",IF(P180=0,"Free","Paid"))</f>
        <v>Paid</v>
      </c>
      <c r="R180" s="39" t="n">
        <v>5.6</v>
      </c>
      <c r="S180" s="37" t="n">
        <v>2</v>
      </c>
      <c r="T180" s="37" t="n">
        <v>4</v>
      </c>
      <c r="U180" s="39" t="n">
        <v>8</v>
      </c>
      <c r="V180" s="42" t="n">
        <f aca="false">IF(OR(U180="",M180="",M180=0),"",U180/(M180*7))</f>
        <v>0.601503759398496</v>
      </c>
      <c r="W180" s="37" t="s">
        <v>89</v>
      </c>
      <c r="X180" s="37"/>
      <c r="Y180" s="37" t="s">
        <v>585</v>
      </c>
    </row>
    <row r="181" customFormat="false" ht="15" hidden="false" customHeight="false" outlineLevel="0" collapsed="false">
      <c r="A181" s="37" t="s">
        <v>586</v>
      </c>
      <c r="B181" s="37" t="n">
        <v>48</v>
      </c>
      <c r="C181" s="37" t="str">
        <f aca="false">IF(B181="","",IF(B181&lt;18,"Under 18",IF(B181&lt;25,"18-24",IF(B181&lt;35,"25-34",IF(B181&lt;45,"35-44","45+")))))</f>
        <v>45+</v>
      </c>
      <c r="D181" s="37" t="s">
        <v>145</v>
      </c>
      <c r="E181" s="37" t="s">
        <v>66</v>
      </c>
      <c r="F181" s="37" t="s">
        <v>48</v>
      </c>
      <c r="G181" s="37" t="s">
        <v>139</v>
      </c>
      <c r="H181" s="37" t="s">
        <v>344</v>
      </c>
      <c r="I181" s="37" t="s">
        <v>43</v>
      </c>
      <c r="J181" s="38" t="n">
        <v>5563</v>
      </c>
      <c r="K181" s="37" t="s">
        <v>25</v>
      </c>
      <c r="L181" s="37" t="s">
        <v>43</v>
      </c>
      <c r="M181" s="39" t="n">
        <v>0.9</v>
      </c>
      <c r="N181" s="39" t="n">
        <v>5.9</v>
      </c>
      <c r="O181" s="40" t="n">
        <f aca="false">IF(OR(M181="",N181=""),"",M181/N181)</f>
        <v>0.152542372881356</v>
      </c>
      <c r="P181" s="41" t="n">
        <v>25</v>
      </c>
      <c r="Q181" s="37" t="str">
        <f aca="false">IF(P181="","",IF(P181=0,"Free","Paid"))</f>
        <v>Paid</v>
      </c>
      <c r="R181" s="39" t="n">
        <v>4.1</v>
      </c>
      <c r="S181" s="37" t="n">
        <v>5</v>
      </c>
      <c r="T181" s="37" t="n">
        <v>6</v>
      </c>
      <c r="U181" s="39" t="n">
        <v>3.9</v>
      </c>
      <c r="V181" s="42" t="n">
        <f aca="false">IF(OR(U181="",M181="",M181=0),"",U181/(M181*7))</f>
        <v>0.619047619047619</v>
      </c>
      <c r="W181" s="37" t="s">
        <v>89</v>
      </c>
      <c r="X181" s="37"/>
      <c r="Y181" s="37" t="s">
        <v>587</v>
      </c>
    </row>
    <row r="182" customFormat="false" ht="15" hidden="false" customHeight="false" outlineLevel="0" collapsed="false">
      <c r="A182" s="37" t="s">
        <v>588</v>
      </c>
      <c r="B182" s="37" t="n">
        <v>20</v>
      </c>
      <c r="C182" s="37" t="str">
        <f aca="false">IF(B182="","",IF(B182&lt;18,"Under 18",IF(B182&lt;25,"18-24",IF(B182&lt;35,"25-34",IF(B182&lt;45,"35-44","45+")))))</f>
        <v>18-24</v>
      </c>
      <c r="D182" s="37" t="s">
        <v>134</v>
      </c>
      <c r="E182" s="37" t="s">
        <v>64</v>
      </c>
      <c r="F182" s="37" t="s">
        <v>47</v>
      </c>
      <c r="G182" s="37" t="s">
        <v>160</v>
      </c>
      <c r="H182" s="37" t="s">
        <v>150</v>
      </c>
      <c r="I182" s="37" t="s">
        <v>95</v>
      </c>
      <c r="J182" s="38" t="n">
        <v>670</v>
      </c>
      <c r="K182" s="37" t="s">
        <v>25</v>
      </c>
      <c r="L182" s="37" t="s">
        <v>39</v>
      </c>
      <c r="M182" s="39" t="n">
        <v>3.7</v>
      </c>
      <c r="N182" s="39" t="n">
        <v>9.4</v>
      </c>
      <c r="O182" s="40" t="n">
        <f aca="false">IF(OR(M182="",N182=""),"",M182/N182)</f>
        <v>0.393617021276596</v>
      </c>
      <c r="P182" s="41" t="n">
        <v>30</v>
      </c>
      <c r="Q182" s="37" t="str">
        <f aca="false">IF(P182="","",IF(P182=0,"Free","Paid"))</f>
        <v>Paid</v>
      </c>
      <c r="R182" s="39" t="n">
        <v>7.9</v>
      </c>
      <c r="S182" s="37"/>
      <c r="T182" s="37" t="n">
        <v>9</v>
      </c>
      <c r="U182" s="39" t="n">
        <v>7.5</v>
      </c>
      <c r="V182" s="42" t="n">
        <f aca="false">IF(OR(U182="",M182="",M182=0),"",U182/(M182*7))</f>
        <v>0.28957528957529</v>
      </c>
      <c r="W182" s="37" t="s">
        <v>87</v>
      </c>
      <c r="X182" s="37"/>
      <c r="Y182" s="37" t="s">
        <v>589</v>
      </c>
    </row>
    <row r="183" customFormat="false" ht="15" hidden="false" customHeight="false" outlineLevel="0" collapsed="false">
      <c r="A183" s="37" t="s">
        <v>590</v>
      </c>
      <c r="B183" s="37" t="n">
        <v>39</v>
      </c>
      <c r="C183" s="37" t="str">
        <f aca="false">IF(B183="","",IF(B183&lt;18,"Under 18",IF(B183&lt;25,"18-24",IF(B183&lt;35,"25-34",IF(B183&lt;45,"35-44","45+")))))</f>
        <v>35-44</v>
      </c>
      <c r="D183" s="37" t="s">
        <v>145</v>
      </c>
      <c r="E183" s="37" t="s">
        <v>62</v>
      </c>
      <c r="F183" s="37" t="s">
        <v>48</v>
      </c>
      <c r="G183" s="37" t="s">
        <v>135</v>
      </c>
      <c r="H183" s="37" t="s">
        <v>397</v>
      </c>
      <c r="I183" s="37" t="s">
        <v>93</v>
      </c>
      <c r="J183" s="38" t="n">
        <v>1106</v>
      </c>
      <c r="K183" s="37" t="s">
        <v>27</v>
      </c>
      <c r="L183" s="37" t="s">
        <v>37</v>
      </c>
      <c r="M183" s="39" t="n">
        <v>4.4</v>
      </c>
      <c r="N183" s="39" t="n">
        <v>6.4</v>
      </c>
      <c r="O183" s="40" t="n">
        <f aca="false">IF(OR(M183="",N183=""),"",M183/N183)</f>
        <v>0.6875</v>
      </c>
      <c r="P183" s="41" t="n">
        <v>0</v>
      </c>
      <c r="Q183" s="37" t="str">
        <f aca="false">IF(P183="","",IF(P183=0,"Free","Paid"))</f>
        <v>Free</v>
      </c>
      <c r="R183" s="39" t="n">
        <v>6.1</v>
      </c>
      <c r="S183" s="37" t="n">
        <v>4</v>
      </c>
      <c r="T183" s="37" t="n">
        <v>8</v>
      </c>
      <c r="U183" s="39" t="n">
        <v>7.7</v>
      </c>
      <c r="V183" s="42" t="n">
        <f aca="false">IF(OR(U183="",M183="",M183=0),"",U183/(M183*7))</f>
        <v>0.25</v>
      </c>
      <c r="W183" s="37" t="s">
        <v>87</v>
      </c>
      <c r="X183" s="37"/>
      <c r="Y183" s="37" t="s">
        <v>591</v>
      </c>
    </row>
    <row r="184" customFormat="false" ht="15" hidden="false" customHeight="false" outlineLevel="0" collapsed="false">
      <c r="A184" s="37" t="s">
        <v>592</v>
      </c>
      <c r="B184" s="37" t="n">
        <v>23</v>
      </c>
      <c r="C184" s="37" t="str">
        <f aca="false">IF(B184="","",IF(B184&lt;18,"Under 18",IF(B184&lt;25,"18-24",IF(B184&lt;35,"25-34",IF(B184&lt;45,"35-44","45+")))))</f>
        <v>18-24</v>
      </c>
      <c r="D184" s="37" t="s">
        <v>145</v>
      </c>
      <c r="E184" s="37" t="s">
        <v>62</v>
      </c>
      <c r="F184" s="37" t="s">
        <v>47</v>
      </c>
      <c r="G184" s="37"/>
      <c r="H184" s="37" t="s">
        <v>143</v>
      </c>
      <c r="I184" s="37" t="s">
        <v>93</v>
      </c>
      <c r="J184" s="38" t="n">
        <v>50</v>
      </c>
      <c r="K184" s="37" t="s">
        <v>30</v>
      </c>
      <c r="L184" s="37" t="s">
        <v>37</v>
      </c>
      <c r="M184" s="39" t="n">
        <v>9.8</v>
      </c>
      <c r="N184" s="39" t="n">
        <v>5.2</v>
      </c>
      <c r="O184" s="40" t="n">
        <f aca="false">IF(OR(M184="",N184=""),"",M184/N184)</f>
        <v>1.88461538461538</v>
      </c>
      <c r="P184" s="41" t="n">
        <v>0</v>
      </c>
      <c r="Q184" s="37" t="str">
        <f aca="false">IF(P184="","",IF(P184=0,"Free","Paid"))</f>
        <v>Free</v>
      </c>
      <c r="R184" s="39" t="n">
        <v>9.1</v>
      </c>
      <c r="S184" s="37" t="n">
        <v>4</v>
      </c>
      <c r="T184" s="37" t="n">
        <v>9</v>
      </c>
      <c r="U184" s="39" t="n">
        <v>15.8</v>
      </c>
      <c r="V184" s="42" t="n">
        <f aca="false">IF(OR(U184="",M184="",M184=0),"",U184/(M184*7))</f>
        <v>0.230320699708455</v>
      </c>
      <c r="W184" s="37" t="s">
        <v>87</v>
      </c>
      <c r="X184" s="37" t="s">
        <v>179</v>
      </c>
      <c r="Y184" s="37" t="s">
        <v>583</v>
      </c>
    </row>
    <row r="185" customFormat="false" ht="15" hidden="false" customHeight="false" outlineLevel="0" collapsed="false">
      <c r="A185" s="37" t="s">
        <v>593</v>
      </c>
      <c r="B185" s="37" t="n">
        <v>63</v>
      </c>
      <c r="C185" s="37" t="str">
        <f aca="false">IF(B185="","",IF(B185&lt;18,"Under 18",IF(B185&lt;25,"18-24",IF(B185&lt;35,"25-34",IF(B185&lt;45,"35-44","45+")))))</f>
        <v>45+</v>
      </c>
      <c r="D185" s="37" t="s">
        <v>145</v>
      </c>
      <c r="E185" s="37" t="s">
        <v>62</v>
      </c>
      <c r="F185" s="37" t="s">
        <v>48</v>
      </c>
      <c r="G185" s="37" t="s">
        <v>160</v>
      </c>
      <c r="H185" s="37"/>
      <c r="I185" s="37"/>
      <c r="J185" s="38" t="n">
        <v>1320</v>
      </c>
      <c r="K185" s="37" t="s">
        <v>28</v>
      </c>
      <c r="L185" s="37" t="s">
        <v>44</v>
      </c>
      <c r="M185" s="39" t="n">
        <v>1.7</v>
      </c>
      <c r="N185" s="39" t="n">
        <v>9.4</v>
      </c>
      <c r="O185" s="40" t="n">
        <f aca="false">IF(OR(M185="",N185=""),"",M185/N185)</f>
        <v>0.180851063829787</v>
      </c>
      <c r="P185" s="41"/>
      <c r="Q185" s="37" t="str">
        <f aca="false">IF(P185="","",IF(P185=0,"Free","Paid"))</f>
        <v/>
      </c>
      <c r="R185" s="39" t="n">
        <v>5.2</v>
      </c>
      <c r="S185" s="37" t="n">
        <v>3</v>
      </c>
      <c r="T185" s="37" t="n">
        <v>6</v>
      </c>
      <c r="U185" s="39" t="n">
        <v>3.5</v>
      </c>
      <c r="V185" s="42" t="n">
        <f aca="false">IF(OR(U185="",M185="",M185=0),"",U185/(M185*7))</f>
        <v>0.294117647058824</v>
      </c>
      <c r="W185" s="37" t="s">
        <v>87</v>
      </c>
      <c r="X185" s="37"/>
      <c r="Y185" s="37" t="s">
        <v>594</v>
      </c>
    </row>
    <row r="186" customFormat="false" ht="15" hidden="false" customHeight="false" outlineLevel="0" collapsed="false">
      <c r="A186" s="37" t="s">
        <v>595</v>
      </c>
      <c r="B186" s="37" t="n">
        <v>22</v>
      </c>
      <c r="C186" s="37" t="str">
        <f aca="false">IF(B186="","",IF(B186&lt;18,"Under 18",IF(B186&lt;25,"18-24",IF(B186&lt;35,"25-34",IF(B186&lt;45,"35-44","45+")))))</f>
        <v>18-24</v>
      </c>
      <c r="D186" s="37" t="s">
        <v>145</v>
      </c>
      <c r="E186" s="37" t="s">
        <v>65</v>
      </c>
      <c r="F186" s="37" t="s">
        <v>47</v>
      </c>
      <c r="G186" s="37" t="s">
        <v>149</v>
      </c>
      <c r="H186" s="37" t="s">
        <v>189</v>
      </c>
      <c r="I186" s="37" t="s">
        <v>92</v>
      </c>
      <c r="J186" s="38" t="n">
        <v>0</v>
      </c>
      <c r="K186" s="37" t="s">
        <v>25</v>
      </c>
      <c r="L186" s="37" t="s">
        <v>38</v>
      </c>
      <c r="M186" s="39" t="n">
        <v>3.9</v>
      </c>
      <c r="N186" s="39" t="n">
        <v>7.3</v>
      </c>
      <c r="O186" s="40" t="n">
        <f aca="false">IF(OR(M186="",N186=""),"",M186/N186)</f>
        <v>0.534246575342466</v>
      </c>
      <c r="P186" s="41" t="n">
        <v>0</v>
      </c>
      <c r="Q186" s="37" t="str">
        <f aca="false">IF(P186="","",IF(P186=0,"Free","Paid"))</f>
        <v>Free</v>
      </c>
      <c r="R186" s="39" t="n">
        <v>6.9</v>
      </c>
      <c r="S186" s="37" t="n">
        <v>4</v>
      </c>
      <c r="T186" s="37" t="n">
        <v>9</v>
      </c>
      <c r="U186" s="39" t="n">
        <v>6.7</v>
      </c>
      <c r="V186" s="42" t="n">
        <f aca="false">IF(OR(U186="",M186="",M186=0),"",U186/(M186*7))</f>
        <v>0.245421245421245</v>
      </c>
      <c r="W186" s="37" t="s">
        <v>87</v>
      </c>
      <c r="X186" s="37"/>
      <c r="Y186" s="37" t="s">
        <v>596</v>
      </c>
    </row>
    <row r="187" customFormat="false" ht="15" hidden="false" customHeight="false" outlineLevel="0" collapsed="false">
      <c r="A187" s="37" t="s">
        <v>597</v>
      </c>
      <c r="B187" s="37" t="n">
        <v>20</v>
      </c>
      <c r="C187" s="37" t="str">
        <f aca="false">IF(B187="","",IF(B187&lt;18,"Under 18",IF(B187&lt;25,"18-24",IF(B187&lt;35,"25-34",IF(B187&lt;45,"35-44","45+")))))</f>
        <v>18-24</v>
      </c>
      <c r="D187" s="37" t="s">
        <v>145</v>
      </c>
      <c r="E187" s="37" t="s">
        <v>70</v>
      </c>
      <c r="F187" s="37" t="s">
        <v>47</v>
      </c>
      <c r="G187" s="37" t="s">
        <v>135</v>
      </c>
      <c r="H187" s="37" t="s">
        <v>598</v>
      </c>
      <c r="I187" s="37" t="s">
        <v>95</v>
      </c>
      <c r="J187" s="38" t="n">
        <v>135</v>
      </c>
      <c r="K187" s="37" t="s">
        <v>28</v>
      </c>
      <c r="L187" s="37" t="s">
        <v>40</v>
      </c>
      <c r="M187" s="39" t="n">
        <v>1.6</v>
      </c>
      <c r="N187" s="39"/>
      <c r="O187" s="40" t="str">
        <f aca="false">IF(OR(M187="",N187=""),"",M187/N187)</f>
        <v/>
      </c>
      <c r="P187" s="41" t="n">
        <v>30</v>
      </c>
      <c r="Q187" s="37" t="str">
        <f aca="false">IF(P187="","",IF(P187=0,"Free","Paid"))</f>
        <v>Paid</v>
      </c>
      <c r="R187" s="39" t="n">
        <v>4.5</v>
      </c>
      <c r="S187" s="37" t="n">
        <v>4</v>
      </c>
      <c r="T187" s="37" t="n">
        <v>6</v>
      </c>
      <c r="U187" s="39" t="n">
        <v>3.5</v>
      </c>
      <c r="V187" s="42" t="n">
        <f aca="false">IF(OR(U187="",M187="",M187=0),"",U187/(M187*7))</f>
        <v>0.3125</v>
      </c>
      <c r="W187" s="37" t="s">
        <v>88</v>
      </c>
      <c r="X187" s="37"/>
      <c r="Y187" s="37" t="s">
        <v>599</v>
      </c>
    </row>
    <row r="188" customFormat="false" ht="15" hidden="false" customHeight="false" outlineLevel="0" collapsed="false">
      <c r="A188" s="37" t="s">
        <v>600</v>
      </c>
      <c r="B188" s="37" t="n">
        <v>41</v>
      </c>
      <c r="C188" s="37" t="str">
        <f aca="false">IF(B188="","",IF(B188&lt;18,"Under 18",IF(B188&lt;25,"18-24",IF(B188&lt;35,"25-34",IF(B188&lt;45,"35-44","45+")))))</f>
        <v>35-44</v>
      </c>
      <c r="D188" s="37" t="s">
        <v>145</v>
      </c>
      <c r="E188" s="37" t="s">
        <v>64</v>
      </c>
      <c r="F188" s="37" t="s">
        <v>48</v>
      </c>
      <c r="G188" s="37" t="s">
        <v>195</v>
      </c>
      <c r="H188" s="37" t="s">
        <v>196</v>
      </c>
      <c r="I188" s="37" t="s">
        <v>95</v>
      </c>
      <c r="J188" s="38" t="n">
        <v>3218</v>
      </c>
      <c r="K188" s="37" t="s">
        <v>31</v>
      </c>
      <c r="L188" s="37" t="s">
        <v>40</v>
      </c>
      <c r="M188" s="39" t="n">
        <v>2.7</v>
      </c>
      <c r="N188" s="39" t="n">
        <v>8.6</v>
      </c>
      <c r="O188" s="40" t="n">
        <f aca="false">IF(OR(M188="",N188=""),"",M188/N188)</f>
        <v>0.313953488372093</v>
      </c>
      <c r="P188" s="41" t="n">
        <v>10</v>
      </c>
      <c r="Q188" s="37" t="str">
        <f aca="false">IF(P188="","",IF(P188=0,"Free","Paid"))</f>
        <v>Paid</v>
      </c>
      <c r="R188" s="39" t="n">
        <v>4.8</v>
      </c>
      <c r="S188" s="37" t="n">
        <v>4</v>
      </c>
      <c r="T188" s="37" t="n">
        <v>7</v>
      </c>
      <c r="U188" s="39" t="n">
        <v>6.4</v>
      </c>
      <c r="V188" s="42" t="n">
        <f aca="false">IF(OR(U188="",M188="",M188=0),"",U188/(M188*7))</f>
        <v>0.338624338624339</v>
      </c>
      <c r="W188" s="37" t="s">
        <v>87</v>
      </c>
      <c r="X188" s="37"/>
      <c r="Y188" s="37" t="s">
        <v>601</v>
      </c>
    </row>
    <row r="189" customFormat="false" ht="15" hidden="false" customHeight="false" outlineLevel="0" collapsed="false">
      <c r="A189" s="37" t="s">
        <v>602</v>
      </c>
      <c r="B189" s="37" t="n">
        <v>17</v>
      </c>
      <c r="C189" s="37" t="str">
        <f aca="false">IF(B189="","",IF(B189&lt;18,"Under 18",IF(B189&lt;25,"18-24",IF(B189&lt;35,"25-34",IF(B189&lt;45,"35-44","45+")))))</f>
        <v>Under 18</v>
      </c>
      <c r="D189" s="37" t="s">
        <v>278</v>
      </c>
      <c r="E189" s="37"/>
      <c r="F189" s="37" t="s">
        <v>47</v>
      </c>
      <c r="G189" s="37" t="s">
        <v>149</v>
      </c>
      <c r="H189" s="37" t="s">
        <v>336</v>
      </c>
      <c r="I189" s="37" t="s">
        <v>95</v>
      </c>
      <c r="J189" s="38"/>
      <c r="K189" s="37" t="s">
        <v>25</v>
      </c>
      <c r="L189" s="37" t="s">
        <v>40</v>
      </c>
      <c r="M189" s="39" t="n">
        <v>6.1</v>
      </c>
      <c r="N189" s="39" t="n">
        <v>7.8</v>
      </c>
      <c r="O189" s="40" t="n">
        <f aca="false">IF(OR(M189="",N189=""),"",M189/N189)</f>
        <v>0.782051282051282</v>
      </c>
      <c r="P189" s="41" t="n">
        <v>30</v>
      </c>
      <c r="Q189" s="37" t="str">
        <f aca="false">IF(P189="","",IF(P189=0,"Free","Paid"))</f>
        <v>Paid</v>
      </c>
      <c r="R189" s="39" t="n">
        <v>7</v>
      </c>
      <c r="S189" s="37" t="n">
        <v>4</v>
      </c>
      <c r="T189" s="37" t="n">
        <v>8</v>
      </c>
      <c r="U189" s="39" t="n">
        <v>8.9</v>
      </c>
      <c r="V189" s="42" t="n">
        <f aca="false">IF(OR(U189="",M189="",M189=0),"",U189/(M189*7))</f>
        <v>0.208430913348946</v>
      </c>
      <c r="W189" s="37" t="s">
        <v>87</v>
      </c>
      <c r="X189" s="37"/>
      <c r="Y189" s="37" t="s">
        <v>603</v>
      </c>
    </row>
    <row r="190" customFormat="false" ht="15" hidden="false" customHeight="false" outlineLevel="0" collapsed="false">
      <c r="A190" s="37" t="s">
        <v>604</v>
      </c>
      <c r="B190" s="37"/>
      <c r="C190" s="37" t="str">
        <f aca="false">IF(B190="","",IF(B190&lt;18,"Under 18",IF(B190&lt;25,"18-24",IF(B190&lt;35,"25-34",IF(B190&lt;45,"35-44","45+")))))</f>
        <v/>
      </c>
      <c r="D190" s="37" t="s">
        <v>145</v>
      </c>
      <c r="E190" s="37" t="s">
        <v>64</v>
      </c>
      <c r="F190" s="37" t="s">
        <v>47</v>
      </c>
      <c r="G190" s="37" t="s">
        <v>149</v>
      </c>
      <c r="H190" s="37" t="s">
        <v>605</v>
      </c>
      <c r="I190" s="37" t="s">
        <v>95</v>
      </c>
      <c r="J190" s="38" t="n">
        <v>624</v>
      </c>
      <c r="K190" s="37" t="s">
        <v>26</v>
      </c>
      <c r="L190" s="37" t="s">
        <v>40</v>
      </c>
      <c r="M190" s="39" t="n">
        <v>0.9</v>
      </c>
      <c r="N190" s="39" t="n">
        <v>7.4</v>
      </c>
      <c r="O190" s="40" t="n">
        <f aca="false">IF(OR(M190="",N190=""),"",M190/N190)</f>
        <v>0.121621621621622</v>
      </c>
      <c r="P190" s="41" t="n">
        <v>0</v>
      </c>
      <c r="Q190" s="37" t="str">
        <f aca="false">IF(P190="","",IF(P190=0,"Free","Paid"))</f>
        <v>Free</v>
      </c>
      <c r="R190" s="39" t="n">
        <v>4.4</v>
      </c>
      <c r="S190" s="37" t="n">
        <v>3</v>
      </c>
      <c r="T190" s="37" t="n">
        <v>5</v>
      </c>
      <c r="U190" s="39" t="n">
        <v>0.1</v>
      </c>
      <c r="V190" s="42" t="n">
        <f aca="false">IF(OR(U190="",M190="",M190=0),"",U190/(M190*7))</f>
        <v>0.0158730158730159</v>
      </c>
      <c r="W190" s="37" t="s">
        <v>87</v>
      </c>
      <c r="X190" s="37"/>
      <c r="Y190" s="37" t="s">
        <v>606</v>
      </c>
    </row>
    <row r="191" customFormat="false" ht="15" hidden="false" customHeight="false" outlineLevel="0" collapsed="false">
      <c r="A191" s="37" t="s">
        <v>607</v>
      </c>
      <c r="B191" s="37" t="n">
        <v>20</v>
      </c>
      <c r="C191" s="37" t="str">
        <f aca="false">IF(B191="","",IF(B191&lt;18,"Under 18",IF(B191&lt;25,"18-24",IF(B191&lt;35,"25-34",IF(B191&lt;45,"35-44","45+")))))</f>
        <v>18-24</v>
      </c>
      <c r="D191" s="37" t="s">
        <v>134</v>
      </c>
      <c r="E191" s="37" t="s">
        <v>64</v>
      </c>
      <c r="F191" s="37" t="s">
        <v>47</v>
      </c>
      <c r="G191" s="37" t="s">
        <v>149</v>
      </c>
      <c r="H191" s="37"/>
      <c r="I191" s="37"/>
      <c r="J191" s="38" t="n">
        <v>415</v>
      </c>
      <c r="K191" s="37" t="s">
        <v>27</v>
      </c>
      <c r="L191" s="37" t="s">
        <v>40</v>
      </c>
      <c r="M191" s="39" t="n">
        <v>3</v>
      </c>
      <c r="N191" s="39" t="n">
        <v>5.5</v>
      </c>
      <c r="O191" s="40" t="n">
        <f aca="false">IF(OR(M191="",N191=""),"",M191/N191)</f>
        <v>0.545454545454545</v>
      </c>
      <c r="P191" s="41" t="n">
        <v>0</v>
      </c>
      <c r="Q191" s="37" t="str">
        <f aca="false">IF(P191="","",IF(P191=0,"Free","Paid"))</f>
        <v>Free</v>
      </c>
      <c r="R191" s="39" t="n">
        <v>4.4</v>
      </c>
      <c r="S191" s="37" t="n">
        <v>3</v>
      </c>
      <c r="T191" s="37" t="n">
        <v>5</v>
      </c>
      <c r="U191" s="39" t="n">
        <v>3.1</v>
      </c>
      <c r="V191" s="42" t="n">
        <f aca="false">IF(OR(U191="",M191="",M191=0),"",U191/(M191*7))</f>
        <v>0.147619047619048</v>
      </c>
      <c r="W191" s="37" t="s">
        <v>87</v>
      </c>
      <c r="X191" s="37"/>
      <c r="Y191" s="37" t="s">
        <v>608</v>
      </c>
    </row>
    <row r="192" customFormat="false" ht="15" hidden="false" customHeight="false" outlineLevel="0" collapsed="false">
      <c r="A192" s="37" t="s">
        <v>609</v>
      </c>
      <c r="B192" s="37" t="n">
        <v>22</v>
      </c>
      <c r="C192" s="37" t="str">
        <f aca="false">IF(B192="","",IF(B192&lt;18,"Under 18",IF(B192&lt;25,"18-24",IF(B192&lt;35,"25-34",IF(B192&lt;45,"35-44","45+")))))</f>
        <v>18-24</v>
      </c>
      <c r="D192" s="37" t="s">
        <v>134</v>
      </c>
      <c r="E192" s="37" t="s">
        <v>69</v>
      </c>
      <c r="F192" s="37" t="s">
        <v>47</v>
      </c>
      <c r="G192" s="37" t="s">
        <v>135</v>
      </c>
      <c r="H192" s="37" t="s">
        <v>427</v>
      </c>
      <c r="I192" s="37" t="s">
        <v>94</v>
      </c>
      <c r="J192" s="38" t="n">
        <v>0</v>
      </c>
      <c r="K192" s="37" t="s">
        <v>27</v>
      </c>
      <c r="L192" s="37" t="s">
        <v>39</v>
      </c>
      <c r="M192" s="39" t="n">
        <v>5.9</v>
      </c>
      <c r="N192" s="39" t="n">
        <v>7.3</v>
      </c>
      <c r="O192" s="40" t="n">
        <f aca="false">IF(OR(M192="",N192=""),"",M192/N192)</f>
        <v>0.808219178082192</v>
      </c>
      <c r="P192" s="41" t="n">
        <v>0</v>
      </c>
      <c r="Q192" s="37" t="str">
        <f aca="false">IF(P192="","",IF(P192=0,"Free","Paid"))</f>
        <v>Free</v>
      </c>
      <c r="R192" s="39" t="n">
        <v>8.1</v>
      </c>
      <c r="S192" s="37" t="n">
        <v>3</v>
      </c>
      <c r="T192" s="37" t="n">
        <v>7</v>
      </c>
      <c r="U192" s="39" t="n">
        <v>9</v>
      </c>
      <c r="V192" s="42" t="n">
        <f aca="false">IF(OR(U192="",M192="",M192=0),"",U192/(M192*7))</f>
        <v>0.217917675544794</v>
      </c>
      <c r="W192" s="37" t="s">
        <v>87</v>
      </c>
      <c r="X192" s="37"/>
      <c r="Y192" s="37" t="s">
        <v>610</v>
      </c>
    </row>
    <row r="193" customFormat="false" ht="15" hidden="false" customHeight="false" outlineLevel="0" collapsed="false">
      <c r="A193" s="37" t="s">
        <v>611</v>
      </c>
      <c r="B193" s="37" t="n">
        <v>32</v>
      </c>
      <c r="C193" s="37" t="str">
        <f aca="false">IF(B193="","",IF(B193&lt;18,"Under 18",IF(B193&lt;25,"18-24",IF(B193&lt;35,"25-34",IF(B193&lt;45,"35-44","45+")))))</f>
        <v>25-34</v>
      </c>
      <c r="D193" s="37" t="s">
        <v>134</v>
      </c>
      <c r="E193" s="37" t="s">
        <v>71</v>
      </c>
      <c r="F193" s="37" t="s">
        <v>48</v>
      </c>
      <c r="G193" s="37" t="s">
        <v>160</v>
      </c>
      <c r="H193" s="37" t="s">
        <v>612</v>
      </c>
      <c r="I193" s="37" t="s">
        <v>94</v>
      </c>
      <c r="J193" s="38" t="n">
        <v>4499</v>
      </c>
      <c r="K193" s="37" t="s">
        <v>28</v>
      </c>
      <c r="L193" s="37" t="s">
        <v>42</v>
      </c>
      <c r="M193" s="39" t="n">
        <v>1.3</v>
      </c>
      <c r="N193" s="39" t="n">
        <v>6.2</v>
      </c>
      <c r="O193" s="40" t="n">
        <f aca="false">IF(OR(M193="",N193=""),"",M193/N193)</f>
        <v>0.209677419354839</v>
      </c>
      <c r="P193" s="41" t="n">
        <v>20</v>
      </c>
      <c r="Q193" s="37" t="str">
        <f aca="false">IF(P193="","",IF(P193=0,"Free","Paid"))</f>
        <v>Paid</v>
      </c>
      <c r="R193" s="39" t="n">
        <v>2.7</v>
      </c>
      <c r="S193" s="37" t="n">
        <v>4</v>
      </c>
      <c r="T193" s="37" t="n">
        <v>4</v>
      </c>
      <c r="U193" s="39" t="n">
        <v>0.5</v>
      </c>
      <c r="V193" s="42" t="n">
        <f aca="false">IF(OR(U193="",M193="",M193=0),"",U193/(M193*7))</f>
        <v>0.0549450549450549</v>
      </c>
      <c r="W193" s="37" t="s">
        <v>87</v>
      </c>
      <c r="X193" s="37"/>
      <c r="Y193" s="37" t="s">
        <v>613</v>
      </c>
    </row>
    <row r="194" customFormat="false" ht="15" hidden="false" customHeight="false" outlineLevel="0" collapsed="false">
      <c r="A194" s="37" t="s">
        <v>614</v>
      </c>
      <c r="B194" s="37" t="n">
        <v>30</v>
      </c>
      <c r="C194" s="37" t="str">
        <f aca="false">IF(B194="","",IF(B194&lt;18,"Under 18",IF(B194&lt;25,"18-24",IF(B194&lt;35,"25-34",IF(B194&lt;45,"35-44","45+")))))</f>
        <v>25-34</v>
      </c>
      <c r="D194" s="37" t="s">
        <v>134</v>
      </c>
      <c r="E194" s="37" t="s">
        <v>66</v>
      </c>
      <c r="F194" s="37" t="s">
        <v>48</v>
      </c>
      <c r="G194" s="37" t="s">
        <v>139</v>
      </c>
      <c r="H194" s="37" t="s">
        <v>175</v>
      </c>
      <c r="I194" s="37" t="s">
        <v>93</v>
      </c>
      <c r="J194" s="38" t="n">
        <v>6437</v>
      </c>
      <c r="K194" s="37" t="s">
        <v>26</v>
      </c>
      <c r="L194" s="37" t="s">
        <v>37</v>
      </c>
      <c r="M194" s="39" t="n">
        <v>1.9</v>
      </c>
      <c r="N194" s="39" t="n">
        <v>6.7</v>
      </c>
      <c r="O194" s="40" t="n">
        <f aca="false">IF(OR(M194="",N194=""),"",M194/N194)</f>
        <v>0.283582089552239</v>
      </c>
      <c r="P194" s="41" t="n">
        <v>0</v>
      </c>
      <c r="Q194" s="37" t="str">
        <f aca="false">IF(P194="","",IF(P194=0,"Free","Paid"))</f>
        <v>Free</v>
      </c>
      <c r="R194" s="39" t="n">
        <v>4.9</v>
      </c>
      <c r="S194" s="37" t="n">
        <v>5</v>
      </c>
      <c r="T194" s="37" t="n">
        <v>8</v>
      </c>
      <c r="U194" s="39" t="n">
        <v>2.1</v>
      </c>
      <c r="V194" s="42" t="n">
        <f aca="false">IF(OR(U194="",M194="",M194=0),"",U194/(M194*7))</f>
        <v>0.157894736842105</v>
      </c>
      <c r="W194" s="37" t="s">
        <v>87</v>
      </c>
      <c r="X194" s="37"/>
      <c r="Y194" s="37" t="s">
        <v>615</v>
      </c>
    </row>
    <row r="195" customFormat="false" ht="15" hidden="false" customHeight="false" outlineLevel="0" collapsed="false">
      <c r="A195" s="37" t="s">
        <v>616</v>
      </c>
      <c r="B195" s="37" t="n">
        <v>17</v>
      </c>
      <c r="C195" s="37" t="str">
        <f aca="false">IF(B195="","",IF(B195&lt;18,"Under 18",IF(B195&lt;25,"18-24",IF(B195&lt;35,"25-34",IF(B195&lt;45,"35-44","45+")))))</f>
        <v>Under 18</v>
      </c>
      <c r="D195" s="37" t="s">
        <v>145</v>
      </c>
      <c r="E195" s="37" t="s">
        <v>69</v>
      </c>
      <c r="F195" s="37" t="s">
        <v>47</v>
      </c>
      <c r="G195" s="37" t="s">
        <v>135</v>
      </c>
      <c r="H195" s="37" t="s">
        <v>427</v>
      </c>
      <c r="I195" s="37" t="s">
        <v>94</v>
      </c>
      <c r="J195" s="38" t="n">
        <v>440</v>
      </c>
      <c r="K195" s="37" t="s">
        <v>25</v>
      </c>
      <c r="L195" s="37" t="s">
        <v>42</v>
      </c>
      <c r="M195" s="39" t="n">
        <v>0.5</v>
      </c>
      <c r="N195" s="39" t="n">
        <v>7.5</v>
      </c>
      <c r="O195" s="40" t="n">
        <f aca="false">IF(OR(M195="",N195=""),"",M195/N195)</f>
        <v>0.0666666666666667</v>
      </c>
      <c r="P195" s="41" t="n">
        <v>10</v>
      </c>
      <c r="Q195" s="37" t="str">
        <f aca="false">IF(P195="","",IF(P195=0,"Free","Paid"))</f>
        <v>Paid</v>
      </c>
      <c r="R195" s="39" t="n">
        <v>4.3</v>
      </c>
      <c r="S195" s="37" t="n">
        <v>4</v>
      </c>
      <c r="T195" s="37" t="n">
        <v>6</v>
      </c>
      <c r="U195" s="39" t="n">
        <v>0.5</v>
      </c>
      <c r="V195" s="42" t="n">
        <f aca="false">IF(OR(U195="",M195="",M195=0),"",U195/(M195*7))</f>
        <v>0.142857142857143</v>
      </c>
      <c r="W195" s="37" t="s">
        <v>89</v>
      </c>
      <c r="X195" s="37"/>
      <c r="Y195" s="37" t="s">
        <v>617</v>
      </c>
    </row>
    <row r="196" customFormat="false" ht="15" hidden="false" customHeight="false" outlineLevel="0" collapsed="false">
      <c r="A196" s="37" t="s">
        <v>618</v>
      </c>
      <c r="B196" s="37" t="n">
        <v>25</v>
      </c>
      <c r="C196" s="37" t="str">
        <f aca="false">IF(B196="","",IF(B196&lt;18,"Under 18",IF(B196&lt;25,"18-24",IF(B196&lt;35,"25-34",IF(B196&lt;45,"35-44","45+")))))</f>
        <v>25-34</v>
      </c>
      <c r="D196" s="37" t="s">
        <v>145</v>
      </c>
      <c r="E196" s="37" t="s">
        <v>62</v>
      </c>
      <c r="F196" s="37" t="s">
        <v>47</v>
      </c>
      <c r="G196" s="37" t="s">
        <v>246</v>
      </c>
      <c r="H196" s="37" t="s">
        <v>619</v>
      </c>
      <c r="I196" s="37" t="s">
        <v>95</v>
      </c>
      <c r="J196" s="38" t="n">
        <v>60</v>
      </c>
      <c r="K196" s="37" t="s">
        <v>30</v>
      </c>
      <c r="L196" s="37" t="s">
        <v>39</v>
      </c>
      <c r="M196" s="39" t="n">
        <v>3.4</v>
      </c>
      <c r="N196" s="39" t="n">
        <v>8</v>
      </c>
      <c r="O196" s="40" t="n">
        <f aca="false">IF(OR(M196="",N196=""),"",M196/N196)</f>
        <v>0.425</v>
      </c>
      <c r="P196" s="41" t="n">
        <v>50</v>
      </c>
      <c r="Q196" s="37" t="str">
        <f aca="false">IF(P196="","",IF(P196=0,"Free","Paid"))</f>
        <v>Paid</v>
      </c>
      <c r="R196" s="39" t="n">
        <v>4.9</v>
      </c>
      <c r="S196" s="37" t="n">
        <v>4</v>
      </c>
      <c r="T196" s="37" t="n">
        <v>8</v>
      </c>
      <c r="U196" s="39" t="n">
        <v>7.2</v>
      </c>
      <c r="V196" s="42" t="n">
        <f aca="false">IF(OR(U196="",M196="",M196=0),"",U196/(M196*7))</f>
        <v>0.302521008403361</v>
      </c>
      <c r="W196" s="37" t="s">
        <v>87</v>
      </c>
      <c r="X196" s="37"/>
      <c r="Y196" s="37" t="s">
        <v>620</v>
      </c>
    </row>
    <row r="197" customFormat="false" ht="15" hidden="false" customHeight="false" outlineLevel="0" collapsed="false">
      <c r="A197" s="37" t="s">
        <v>621</v>
      </c>
      <c r="B197" s="37" t="n">
        <v>23</v>
      </c>
      <c r="C197" s="37" t="str">
        <f aca="false">IF(B197="","",IF(B197&lt;18,"Under 18",IF(B197&lt;25,"18-24",IF(B197&lt;35,"25-34",IF(B197&lt;45,"35-44","45+")))))</f>
        <v>18-24</v>
      </c>
      <c r="D197" s="37" t="s">
        <v>145</v>
      </c>
      <c r="E197" s="37" t="s">
        <v>62</v>
      </c>
      <c r="F197" s="37" t="s">
        <v>47</v>
      </c>
      <c r="G197" s="37" t="s">
        <v>149</v>
      </c>
      <c r="H197" s="37" t="s">
        <v>598</v>
      </c>
      <c r="I197" s="37" t="s">
        <v>95</v>
      </c>
      <c r="J197" s="38" t="n">
        <v>219</v>
      </c>
      <c r="K197" s="37" t="s">
        <v>30</v>
      </c>
      <c r="L197" s="37" t="s">
        <v>39</v>
      </c>
      <c r="M197" s="39" t="n">
        <v>1.4</v>
      </c>
      <c r="N197" s="39" t="n">
        <v>6.1</v>
      </c>
      <c r="O197" s="40" t="n">
        <f aca="false">IF(OR(M197="",N197=""),"",M197/N197)</f>
        <v>0.229508196721311</v>
      </c>
      <c r="P197" s="41" t="n">
        <v>0</v>
      </c>
      <c r="Q197" s="37" t="str">
        <f aca="false">IF(P197="","",IF(P197=0,"Free","Paid"))</f>
        <v>Free</v>
      </c>
      <c r="R197" s="39" t="n">
        <v>4.8</v>
      </c>
      <c r="S197" s="37" t="n">
        <v>4</v>
      </c>
      <c r="T197" s="37" t="n">
        <v>6</v>
      </c>
      <c r="U197" s="39" t="n">
        <v>3.6</v>
      </c>
      <c r="V197" s="42" t="n">
        <f aca="false">IF(OR(U197="",M197="",M197=0),"",U197/(M197*7))</f>
        <v>0.36734693877551</v>
      </c>
      <c r="W197" s="37" t="s">
        <v>87</v>
      </c>
      <c r="X197" s="37"/>
      <c r="Y197" s="37" t="s">
        <v>622</v>
      </c>
    </row>
    <row r="198" customFormat="false" ht="15" hidden="false" customHeight="false" outlineLevel="0" collapsed="false">
      <c r="A198" s="37" t="s">
        <v>623</v>
      </c>
      <c r="B198" s="37" t="n">
        <v>28</v>
      </c>
      <c r="C198" s="37" t="str">
        <f aca="false">IF(B198="","",IF(B198&lt;18,"Under 18",IF(B198&lt;25,"18-24",IF(B198&lt;35,"25-34",IF(B198&lt;45,"35-44","45+")))))</f>
        <v>25-34</v>
      </c>
      <c r="D198" s="37" t="s">
        <v>145</v>
      </c>
      <c r="E198" s="37" t="s">
        <v>67</v>
      </c>
      <c r="F198" s="37" t="s">
        <v>47</v>
      </c>
      <c r="G198" s="37" t="s">
        <v>135</v>
      </c>
      <c r="H198" s="37" t="s">
        <v>178</v>
      </c>
      <c r="I198" s="37" t="s">
        <v>93</v>
      </c>
      <c r="J198" s="38" t="n">
        <v>82</v>
      </c>
      <c r="K198" s="37" t="s">
        <v>26</v>
      </c>
      <c r="L198" s="37" t="s">
        <v>37</v>
      </c>
      <c r="M198" s="39" t="n">
        <v>0.8</v>
      </c>
      <c r="N198" s="39" t="n">
        <v>8.3</v>
      </c>
      <c r="O198" s="40" t="n">
        <f aca="false">IF(OR(M198="",N198=""),"",M198/N198)</f>
        <v>0.0963855421686747</v>
      </c>
      <c r="P198" s="41" t="n">
        <v>0</v>
      </c>
      <c r="Q198" s="37" t="str">
        <f aca="false">IF(P198="","",IF(P198=0,"Free","Paid"))</f>
        <v>Free</v>
      </c>
      <c r="R198" s="39" t="n">
        <v>2.1</v>
      </c>
      <c r="S198" s="37" t="n">
        <v>4</v>
      </c>
      <c r="T198" s="37" t="n">
        <v>6</v>
      </c>
      <c r="U198" s="39" t="n">
        <v>1.2</v>
      </c>
      <c r="V198" s="42" t="n">
        <f aca="false">IF(OR(U198="",M198="",M198=0),"",U198/(M198*7))</f>
        <v>0.214285714285714</v>
      </c>
      <c r="W198" s="37" t="s">
        <v>87</v>
      </c>
      <c r="X198" s="37"/>
      <c r="Y198" s="37" t="s">
        <v>624</v>
      </c>
    </row>
    <row r="199" customFormat="false" ht="15" hidden="false" customHeight="false" outlineLevel="0" collapsed="false">
      <c r="A199" s="37" t="s">
        <v>625</v>
      </c>
      <c r="B199" s="37" t="n">
        <v>48</v>
      </c>
      <c r="C199" s="37" t="str">
        <f aca="false">IF(B199="","",IF(B199&lt;18,"Under 18",IF(B199&lt;25,"18-24",IF(B199&lt;35,"25-34",IF(B199&lt;45,"35-44","45+")))))</f>
        <v>45+</v>
      </c>
      <c r="D199" s="37" t="s">
        <v>278</v>
      </c>
      <c r="E199" s="37" t="s">
        <v>69</v>
      </c>
      <c r="F199" s="37" t="s">
        <v>48</v>
      </c>
      <c r="G199" s="37" t="s">
        <v>135</v>
      </c>
      <c r="H199" s="37" t="s">
        <v>169</v>
      </c>
      <c r="I199" s="37" t="s">
        <v>94</v>
      </c>
      <c r="J199" s="38" t="n">
        <v>5903</v>
      </c>
      <c r="K199" s="37" t="s">
        <v>25</v>
      </c>
      <c r="L199" s="37" t="s">
        <v>40</v>
      </c>
      <c r="M199" s="39" t="n">
        <v>1.6</v>
      </c>
      <c r="N199" s="39" t="n">
        <v>9.7</v>
      </c>
      <c r="O199" s="40" t="n">
        <f aca="false">IF(OR(M199="",N199=""),"",M199/N199)</f>
        <v>0.164948453608247</v>
      </c>
      <c r="P199" s="41" t="n">
        <v>20</v>
      </c>
      <c r="Q199" s="37" t="str">
        <f aca="false">IF(P199="","",IF(P199=0,"Free","Paid"))</f>
        <v>Paid</v>
      </c>
      <c r="R199" s="39" t="n">
        <v>5.2</v>
      </c>
      <c r="S199" s="37" t="n">
        <v>3</v>
      </c>
      <c r="T199" s="37" t="n">
        <v>7</v>
      </c>
      <c r="U199" s="39" t="n">
        <v>6.5</v>
      </c>
      <c r="V199" s="42" t="n">
        <f aca="false">IF(OR(U199="",M199="",M199=0),"",U199/(M199*7))</f>
        <v>0.580357142857143</v>
      </c>
      <c r="W199" s="37" t="s">
        <v>87</v>
      </c>
      <c r="X199" s="37"/>
      <c r="Y199" s="37" t="s">
        <v>626</v>
      </c>
    </row>
    <row r="200" customFormat="false" ht="15" hidden="false" customHeight="false" outlineLevel="0" collapsed="false">
      <c r="A200" s="37" t="s">
        <v>627</v>
      </c>
      <c r="B200" s="37" t="n">
        <v>53</v>
      </c>
      <c r="C200" s="37" t="str">
        <f aca="false">IF(B200="","",IF(B200&lt;18,"Under 18",IF(B200&lt;25,"18-24",IF(B200&lt;35,"25-34",IF(B200&lt;45,"35-44","45+")))))</f>
        <v>45+</v>
      </c>
      <c r="D200" s="37" t="s">
        <v>134</v>
      </c>
      <c r="E200" s="37" t="s">
        <v>156</v>
      </c>
      <c r="F200" s="37" t="s">
        <v>48</v>
      </c>
      <c r="G200" s="37" t="s">
        <v>139</v>
      </c>
      <c r="H200" s="37" t="s">
        <v>628</v>
      </c>
      <c r="I200" s="37" t="s">
        <v>93</v>
      </c>
      <c r="J200" s="38" t="n">
        <v>3944</v>
      </c>
      <c r="K200" s="37" t="s">
        <v>29</v>
      </c>
      <c r="L200" s="37" t="s">
        <v>37</v>
      </c>
      <c r="M200" s="39" t="n">
        <v>1.4</v>
      </c>
      <c r="N200" s="39" t="n">
        <v>9.5</v>
      </c>
      <c r="O200" s="40" t="n">
        <f aca="false">IF(OR(M200="",N200=""),"",M200/N200)</f>
        <v>0.147368421052632</v>
      </c>
      <c r="P200" s="41" t="n">
        <v>0</v>
      </c>
      <c r="Q200" s="37" t="str">
        <f aca="false">IF(P200="","",IF(P200=0,"Free","Paid"))</f>
        <v>Free</v>
      </c>
      <c r="R200" s="39" t="n">
        <v>1.9</v>
      </c>
      <c r="S200" s="37" t="n">
        <v>3</v>
      </c>
      <c r="T200" s="37" t="n">
        <v>3</v>
      </c>
      <c r="U200" s="39" t="n">
        <v>2.5</v>
      </c>
      <c r="V200" s="42" t="n">
        <f aca="false">IF(OR(U200="",M200="",M200=0),"",U200/(M200*7))</f>
        <v>0.255102040816327</v>
      </c>
      <c r="W200" s="37" t="s">
        <v>89</v>
      </c>
      <c r="X200" s="37"/>
      <c r="Y200" s="37" t="s">
        <v>629</v>
      </c>
    </row>
    <row r="201" customFormat="false" ht="15" hidden="false" customHeight="false" outlineLevel="0" collapsed="false">
      <c r="A201" s="37" t="s">
        <v>630</v>
      </c>
      <c r="B201" s="37" t="n">
        <v>55</v>
      </c>
      <c r="C201" s="37" t="str">
        <f aca="false">IF(B201="","",IF(B201&lt;18,"Under 18",IF(B201&lt;25,"18-24",IF(B201&lt;35,"25-34",IF(B201&lt;45,"35-44","45+")))))</f>
        <v>45+</v>
      </c>
      <c r="D201" s="37" t="s">
        <v>134</v>
      </c>
      <c r="E201" s="37" t="s">
        <v>63</v>
      </c>
      <c r="F201" s="37" t="s">
        <v>48</v>
      </c>
      <c r="G201" s="37" t="s">
        <v>139</v>
      </c>
      <c r="H201" s="37" t="s">
        <v>136</v>
      </c>
      <c r="I201" s="37" t="s">
        <v>94</v>
      </c>
      <c r="J201" s="38" t="n">
        <v>4070</v>
      </c>
      <c r="K201" s="37" t="s">
        <v>28</v>
      </c>
      <c r="L201" s="37" t="s">
        <v>44</v>
      </c>
      <c r="M201" s="39" t="n">
        <v>2.7</v>
      </c>
      <c r="N201" s="39" t="n">
        <v>10.7</v>
      </c>
      <c r="O201" s="40" t="n">
        <f aca="false">IF(OR(M201="",N201=""),"",M201/N201)</f>
        <v>0.252336448598131</v>
      </c>
      <c r="P201" s="41" t="n">
        <v>20</v>
      </c>
      <c r="Q201" s="37" t="str">
        <f aca="false">IF(P201="","",IF(P201=0,"Free","Paid"))</f>
        <v>Paid</v>
      </c>
      <c r="R201" s="39" t="n">
        <v>6.8</v>
      </c>
      <c r="S201" s="37" t="n">
        <v>4</v>
      </c>
      <c r="T201" s="37" t="n">
        <v>7</v>
      </c>
      <c r="U201" s="39"/>
      <c r="V201" s="42" t="str">
        <f aca="false">IF(OR(U201="",M201="",M201=0),"",U201/(M201*7))</f>
        <v/>
      </c>
      <c r="W201" s="37" t="s">
        <v>87</v>
      </c>
      <c r="X201" s="37"/>
      <c r="Y201" s="37" t="s">
        <v>631</v>
      </c>
    </row>
    <row r="202" customFormat="false" ht="15" hidden="false" customHeight="false" outlineLevel="0" collapsed="false">
      <c r="A202" s="37" t="s">
        <v>632</v>
      </c>
      <c r="B202" s="37" t="n">
        <v>17</v>
      </c>
      <c r="C202" s="37" t="str">
        <f aca="false">IF(B202="","",IF(B202&lt;18,"Under 18",IF(B202&lt;25,"18-24",IF(B202&lt;35,"25-34",IF(B202&lt;45,"35-44","45+")))))</f>
        <v>Under 18</v>
      </c>
      <c r="D202" s="37" t="s">
        <v>134</v>
      </c>
      <c r="E202" s="37" t="s">
        <v>62</v>
      </c>
      <c r="F202" s="37" t="s">
        <v>47</v>
      </c>
      <c r="G202" s="37" t="s">
        <v>149</v>
      </c>
      <c r="H202" s="37" t="s">
        <v>633</v>
      </c>
      <c r="I202" s="37" t="s">
        <v>92</v>
      </c>
      <c r="J202" s="38"/>
      <c r="K202" s="37" t="s">
        <v>25</v>
      </c>
      <c r="L202" s="37" t="s">
        <v>40</v>
      </c>
      <c r="M202" s="39" t="n">
        <v>1.7</v>
      </c>
      <c r="N202" s="39" t="n">
        <v>7</v>
      </c>
      <c r="O202" s="40" t="n">
        <f aca="false">IF(OR(M202="",N202=""),"",M202/N202)</f>
        <v>0.242857142857143</v>
      </c>
      <c r="P202" s="41" t="n">
        <v>0</v>
      </c>
      <c r="Q202" s="37" t="str">
        <f aca="false">IF(P202="","",IF(P202=0,"Free","Paid"))</f>
        <v>Free</v>
      </c>
      <c r="R202" s="39" t="n">
        <v>5.8</v>
      </c>
      <c r="S202" s="37" t="n">
        <v>4</v>
      </c>
      <c r="T202" s="37" t="n">
        <v>7</v>
      </c>
      <c r="U202" s="39" t="n">
        <v>5</v>
      </c>
      <c r="V202" s="42" t="n">
        <f aca="false">IF(OR(U202="",M202="",M202=0),"",U202/(M202*7))</f>
        <v>0.420168067226891</v>
      </c>
      <c r="W202" s="37" t="s">
        <v>87</v>
      </c>
      <c r="X202" s="37" t="s">
        <v>634</v>
      </c>
      <c r="Y202" s="37" t="s">
        <v>635</v>
      </c>
    </row>
    <row r="203" customFormat="false" ht="15" hidden="false" customHeight="false" outlineLevel="0" collapsed="false">
      <c r="A203" s="37" t="s">
        <v>636</v>
      </c>
      <c r="B203" s="37"/>
      <c r="C203" s="37" t="str">
        <f aca="false">IF(B203="","",IF(B203&lt;18,"Under 18",IF(B203&lt;25,"18-24",IF(B203&lt;35,"25-34",IF(B203&lt;45,"35-44","45+")))))</f>
        <v/>
      </c>
      <c r="D203" s="37" t="s">
        <v>145</v>
      </c>
      <c r="E203" s="37" t="s">
        <v>63</v>
      </c>
      <c r="F203" s="37" t="s">
        <v>48</v>
      </c>
      <c r="G203" s="37" t="s">
        <v>139</v>
      </c>
      <c r="H203" s="37"/>
      <c r="I203" s="37"/>
      <c r="J203" s="38"/>
      <c r="K203" s="37"/>
      <c r="L203" s="37" t="s">
        <v>38</v>
      </c>
      <c r="M203" s="39" t="n">
        <v>3.1</v>
      </c>
      <c r="N203" s="39" t="n">
        <v>8.4</v>
      </c>
      <c r="O203" s="40" t="n">
        <f aca="false">IF(OR(M203="",N203=""),"",M203/N203)</f>
        <v>0.369047619047619</v>
      </c>
      <c r="P203" s="41" t="n">
        <v>30</v>
      </c>
      <c r="Q203" s="37" t="str">
        <f aca="false">IF(P203="","",IF(P203=0,"Free","Paid"))</f>
        <v>Paid</v>
      </c>
      <c r="R203" s="39" t="n">
        <v>5.6</v>
      </c>
      <c r="S203" s="37" t="n">
        <v>3</v>
      </c>
      <c r="T203" s="37" t="n">
        <v>7</v>
      </c>
      <c r="U203" s="39" t="n">
        <v>5.2</v>
      </c>
      <c r="V203" s="42" t="n">
        <f aca="false">IF(OR(U203="",M203="",M203=0),"",U203/(M203*7))</f>
        <v>0.23963133640553</v>
      </c>
      <c r="W203" s="37" t="s">
        <v>87</v>
      </c>
      <c r="X203" s="37"/>
      <c r="Y203" s="37" t="s">
        <v>637</v>
      </c>
    </row>
    <row r="204" customFormat="false" ht="15" hidden="false" customHeight="false" outlineLevel="0" collapsed="false">
      <c r="A204" s="37" t="s">
        <v>638</v>
      </c>
      <c r="B204" s="37" t="n">
        <v>32</v>
      </c>
      <c r="C204" s="37" t="str">
        <f aca="false">IF(B204="","",IF(B204&lt;18,"Under 18",IF(B204&lt;25,"18-24",IF(B204&lt;35,"25-34",IF(B204&lt;45,"35-44","45+")))))</f>
        <v>25-34</v>
      </c>
      <c r="D204" s="37" t="s">
        <v>145</v>
      </c>
      <c r="E204" s="37" t="s">
        <v>64</v>
      </c>
      <c r="F204" s="37" t="s">
        <v>47</v>
      </c>
      <c r="G204" s="37" t="s">
        <v>149</v>
      </c>
      <c r="H204" s="37" t="s">
        <v>189</v>
      </c>
      <c r="I204" s="37" t="s">
        <v>92</v>
      </c>
      <c r="J204" s="38" t="n">
        <v>553</v>
      </c>
      <c r="K204" s="37" t="s">
        <v>29</v>
      </c>
      <c r="L204" s="37" t="s">
        <v>38</v>
      </c>
      <c r="M204" s="39" t="n">
        <v>1.5</v>
      </c>
      <c r="N204" s="39" t="n">
        <v>5.9</v>
      </c>
      <c r="O204" s="40" t="n">
        <f aca="false">IF(OR(M204="",N204=""),"",M204/N204)</f>
        <v>0.254237288135593</v>
      </c>
      <c r="P204" s="41" t="n">
        <v>25</v>
      </c>
      <c r="Q204" s="37" t="str">
        <f aca="false">IF(P204="","",IF(P204=0,"Free","Paid"))</f>
        <v>Paid</v>
      </c>
      <c r="R204" s="39" t="n">
        <v>3.6</v>
      </c>
      <c r="S204" s="37" t="n">
        <v>4</v>
      </c>
      <c r="T204" s="37" t="n">
        <v>6</v>
      </c>
      <c r="U204" s="39" t="n">
        <v>5.5</v>
      </c>
      <c r="V204" s="42" t="n">
        <f aca="false">IF(OR(U204="",M204="",M204=0),"",U204/(M204*7))</f>
        <v>0.523809523809524</v>
      </c>
      <c r="W204" s="37" t="s">
        <v>88</v>
      </c>
      <c r="X204" s="37"/>
      <c r="Y204" s="37" t="s">
        <v>639</v>
      </c>
    </row>
    <row r="205" customFormat="false" ht="15" hidden="false" customHeight="false" outlineLevel="0" collapsed="false">
      <c r="A205" s="37" t="s">
        <v>640</v>
      </c>
      <c r="B205" s="37" t="n">
        <v>23</v>
      </c>
      <c r="C205" s="37" t="str">
        <f aca="false">IF(B205="","",IF(B205&lt;18,"Under 18",IF(B205&lt;25,"18-24",IF(B205&lt;35,"25-34",IF(B205&lt;45,"35-44","45+")))))</f>
        <v>18-24</v>
      </c>
      <c r="D205" s="37" t="s">
        <v>134</v>
      </c>
      <c r="E205" s="37" t="s">
        <v>156</v>
      </c>
      <c r="F205" s="37" t="s">
        <v>48</v>
      </c>
      <c r="G205" s="37" t="s">
        <v>139</v>
      </c>
      <c r="H205" s="37" t="s">
        <v>641</v>
      </c>
      <c r="I205" s="37" t="s">
        <v>93</v>
      </c>
      <c r="J205" s="38" t="n">
        <v>3693</v>
      </c>
      <c r="K205" s="37" t="s">
        <v>27</v>
      </c>
      <c r="L205" s="37" t="s">
        <v>37</v>
      </c>
      <c r="M205" s="39" t="n">
        <v>5.5</v>
      </c>
      <c r="N205" s="39" t="n">
        <v>6.1</v>
      </c>
      <c r="O205" s="40" t="n">
        <f aca="false">IF(OR(M205="",N205=""),"",M205/N205)</f>
        <v>0.901639344262295</v>
      </c>
      <c r="P205" s="41" t="n">
        <v>20</v>
      </c>
      <c r="Q205" s="37" t="str">
        <f aca="false">IF(P205="","",IF(P205=0,"Free","Paid"))</f>
        <v>Paid</v>
      </c>
      <c r="R205" s="39" t="n">
        <v>7.6</v>
      </c>
      <c r="S205" s="37" t="n">
        <v>3</v>
      </c>
      <c r="T205" s="37" t="n">
        <v>7</v>
      </c>
      <c r="U205" s="39" t="n">
        <v>9.3</v>
      </c>
      <c r="V205" s="42" t="n">
        <f aca="false">IF(OR(U205="",M205="",M205=0),"",U205/(M205*7))</f>
        <v>0.241558441558442</v>
      </c>
      <c r="W205" s="37" t="s">
        <v>87</v>
      </c>
      <c r="X205" s="37"/>
      <c r="Y205" s="37" t="s">
        <v>642</v>
      </c>
    </row>
    <row r="206" customFormat="false" ht="15" hidden="false" customHeight="false" outlineLevel="0" collapsed="false">
      <c r="A206" s="37" t="s">
        <v>643</v>
      </c>
      <c r="B206" s="37" t="n">
        <v>47</v>
      </c>
      <c r="C206" s="37" t="str">
        <f aca="false">IF(B206="","",IF(B206&lt;18,"Under 18",IF(B206&lt;25,"18-24",IF(B206&lt;35,"25-34",IF(B206&lt;45,"35-44","45+")))))</f>
        <v>45+</v>
      </c>
      <c r="D206" s="37" t="s">
        <v>145</v>
      </c>
      <c r="E206" s="37" t="s">
        <v>66</v>
      </c>
      <c r="F206" s="37" t="s">
        <v>48</v>
      </c>
      <c r="G206" s="37" t="s">
        <v>246</v>
      </c>
      <c r="H206" s="37" t="s">
        <v>644</v>
      </c>
      <c r="I206" s="37" t="s">
        <v>93</v>
      </c>
      <c r="J206" s="38" t="n">
        <v>7690</v>
      </c>
      <c r="K206" s="37" t="s">
        <v>28</v>
      </c>
      <c r="L206" s="37" t="s">
        <v>37</v>
      </c>
      <c r="M206" s="39" t="n">
        <v>0.5</v>
      </c>
      <c r="N206" s="39" t="n">
        <v>10.4</v>
      </c>
      <c r="O206" s="40" t="n">
        <f aca="false">IF(OR(M206="",N206=""),"",M206/N206)</f>
        <v>0.0480769230769231</v>
      </c>
      <c r="P206" s="41"/>
      <c r="Q206" s="37" t="str">
        <f aca="false">IF(P206="","",IF(P206=0,"Free","Paid"))</f>
        <v/>
      </c>
      <c r="R206" s="39" t="n">
        <v>2</v>
      </c>
      <c r="S206" s="37" t="n">
        <v>2</v>
      </c>
      <c r="T206" s="37" t="n">
        <v>3</v>
      </c>
      <c r="U206" s="39" t="n">
        <v>2.7</v>
      </c>
      <c r="V206" s="42" t="n">
        <f aca="false">IF(OR(U206="",M206="",M206=0),"",U206/(M206*7))</f>
        <v>0.771428571428572</v>
      </c>
      <c r="W206" s="37" t="s">
        <v>89</v>
      </c>
      <c r="X206" s="37"/>
      <c r="Y206" s="37" t="s">
        <v>645</v>
      </c>
    </row>
    <row r="207" customFormat="false" ht="15" hidden="false" customHeight="false" outlineLevel="0" collapsed="false">
      <c r="A207" s="37" t="s">
        <v>646</v>
      </c>
      <c r="B207" s="37" t="n">
        <v>21</v>
      </c>
      <c r="C207" s="37" t="str">
        <f aca="false">IF(B207="","",IF(B207&lt;18,"Under 18",IF(B207&lt;25,"18-24",IF(B207&lt;35,"25-34",IF(B207&lt;45,"35-44","45+")))))</f>
        <v>18-24</v>
      </c>
      <c r="D207" s="37" t="s">
        <v>134</v>
      </c>
      <c r="E207" s="37" t="s">
        <v>64</v>
      </c>
      <c r="F207" s="37" t="s">
        <v>47</v>
      </c>
      <c r="G207" s="37" t="s">
        <v>160</v>
      </c>
      <c r="H207" s="37" t="s">
        <v>189</v>
      </c>
      <c r="I207" s="37" t="s">
        <v>92</v>
      </c>
      <c r="J207" s="38" t="n">
        <v>0</v>
      </c>
      <c r="K207" s="37" t="s">
        <v>28</v>
      </c>
      <c r="L207" s="37" t="s">
        <v>38</v>
      </c>
      <c r="M207" s="39" t="n">
        <v>2.9</v>
      </c>
      <c r="N207" s="39" t="n">
        <v>6.4</v>
      </c>
      <c r="O207" s="40" t="n">
        <f aca="false">IF(OR(M207="",N207=""),"",M207/N207)</f>
        <v>0.453125</v>
      </c>
      <c r="P207" s="41" t="n">
        <v>10</v>
      </c>
      <c r="Q207" s="37" t="str">
        <f aca="false">IF(P207="","",IF(P207=0,"Free","Paid"))</f>
        <v>Paid</v>
      </c>
      <c r="R207" s="39" t="n">
        <v>5.7</v>
      </c>
      <c r="S207" s="37" t="n">
        <v>2</v>
      </c>
      <c r="T207" s="37" t="n">
        <v>4</v>
      </c>
      <c r="U207" s="39" t="n">
        <v>6.6</v>
      </c>
      <c r="V207" s="42" t="n">
        <f aca="false">IF(OR(U207="",M207="",M207=0),"",U207/(M207*7))</f>
        <v>0.32512315270936</v>
      </c>
      <c r="W207" s="37" t="s">
        <v>89</v>
      </c>
      <c r="X207" s="37"/>
      <c r="Y207" s="37" t="s">
        <v>647</v>
      </c>
    </row>
    <row r="208" customFormat="false" ht="15" hidden="false" customHeight="false" outlineLevel="0" collapsed="false">
      <c r="A208" s="37" t="s">
        <v>648</v>
      </c>
      <c r="B208" s="37" t="n">
        <v>28</v>
      </c>
      <c r="C208" s="37" t="str">
        <f aca="false">IF(B208="","",IF(B208&lt;18,"Under 18",IF(B208&lt;25,"18-24",IF(B208&lt;35,"25-34",IF(B208&lt;45,"35-44","45+")))))</f>
        <v>25-34</v>
      </c>
      <c r="D208" s="37" t="s">
        <v>278</v>
      </c>
      <c r="E208" s="37"/>
      <c r="F208" s="37" t="s">
        <v>48</v>
      </c>
      <c r="G208" s="37" t="s">
        <v>246</v>
      </c>
      <c r="H208" s="37" t="s">
        <v>649</v>
      </c>
      <c r="I208" s="37" t="s">
        <v>94</v>
      </c>
      <c r="J208" s="38" t="n">
        <v>1208</v>
      </c>
      <c r="K208" s="37" t="s">
        <v>29</v>
      </c>
      <c r="L208" s="37" t="s">
        <v>44</v>
      </c>
      <c r="M208" s="39" t="n">
        <v>1</v>
      </c>
      <c r="N208" s="39" t="n">
        <v>8.3</v>
      </c>
      <c r="O208" s="40" t="n">
        <f aca="false">IF(OR(M208="",N208=""),"",M208/N208)</f>
        <v>0.120481927710843</v>
      </c>
      <c r="P208" s="41" t="n">
        <v>20</v>
      </c>
      <c r="Q208" s="37" t="str">
        <f aca="false">IF(P208="","",IF(P208=0,"Free","Paid"))</f>
        <v>Paid</v>
      </c>
      <c r="R208" s="39" t="n">
        <v>2.6</v>
      </c>
      <c r="S208" s="37" t="n">
        <v>4</v>
      </c>
      <c r="T208" s="37" t="n">
        <v>4</v>
      </c>
      <c r="U208" s="39"/>
      <c r="V208" s="42" t="str">
        <f aca="false">IF(OR(U208="",M208="",M208=0),"",U208/(M208*7))</f>
        <v/>
      </c>
      <c r="W208" s="37" t="s">
        <v>89</v>
      </c>
      <c r="X208" s="37"/>
      <c r="Y208" s="37" t="s">
        <v>650</v>
      </c>
    </row>
    <row r="209" customFormat="false" ht="15" hidden="false" customHeight="false" outlineLevel="0" collapsed="false">
      <c r="A209" s="37" t="s">
        <v>651</v>
      </c>
      <c r="B209" s="37"/>
      <c r="C209" s="37" t="str">
        <f aca="false">IF(B209="","",IF(B209&lt;18,"Under 18",IF(B209&lt;25,"18-24",IF(B209&lt;35,"25-34",IF(B209&lt;45,"35-44","45+")))))</f>
        <v/>
      </c>
      <c r="D209" s="37" t="s">
        <v>134</v>
      </c>
      <c r="E209" s="37" t="s">
        <v>63</v>
      </c>
      <c r="F209" s="37" t="s">
        <v>48</v>
      </c>
      <c r="G209" s="37" t="s">
        <v>135</v>
      </c>
      <c r="H209" s="37" t="s">
        <v>652</v>
      </c>
      <c r="I209" s="37" t="s">
        <v>92</v>
      </c>
      <c r="J209" s="38" t="n">
        <v>10311</v>
      </c>
      <c r="K209" s="37" t="s">
        <v>26</v>
      </c>
      <c r="L209" s="37" t="s">
        <v>38</v>
      </c>
      <c r="M209" s="39" t="n">
        <v>2.1</v>
      </c>
      <c r="N209" s="39" t="n">
        <v>10.5</v>
      </c>
      <c r="O209" s="40" t="n">
        <f aca="false">IF(OR(M209="",N209=""),"",M209/N209)</f>
        <v>0.2</v>
      </c>
      <c r="P209" s="41" t="n">
        <v>20</v>
      </c>
      <c r="Q209" s="37" t="str">
        <f aca="false">IF(P209="","",IF(P209=0,"Free","Paid"))</f>
        <v>Paid</v>
      </c>
      <c r="R209" s="39" t="n">
        <v>4.2</v>
      </c>
      <c r="S209" s="37" t="n">
        <v>3</v>
      </c>
      <c r="T209" s="37" t="n">
        <v>5</v>
      </c>
      <c r="U209" s="39" t="n">
        <v>5.4</v>
      </c>
      <c r="V209" s="42" t="n">
        <f aca="false">IF(OR(U209="",M209="",M209=0),"",U209/(M209*7))</f>
        <v>0.36734693877551</v>
      </c>
      <c r="W209" s="37" t="s">
        <v>88</v>
      </c>
      <c r="X209" s="37"/>
      <c r="Y209" s="37" t="s">
        <v>653</v>
      </c>
    </row>
    <row r="210" customFormat="false" ht="15" hidden="false" customHeight="false" outlineLevel="0" collapsed="false">
      <c r="A210" s="37" t="s">
        <v>654</v>
      </c>
      <c r="B210" s="37" t="n">
        <v>41</v>
      </c>
      <c r="C210" s="37" t="str">
        <f aca="false">IF(B210="","",IF(B210&lt;18,"Under 18",IF(B210&lt;25,"18-24",IF(B210&lt;35,"25-34",IF(B210&lt;45,"35-44","45+")))))</f>
        <v>35-44</v>
      </c>
      <c r="D210" s="37" t="s">
        <v>134</v>
      </c>
      <c r="E210" s="37" t="s">
        <v>62</v>
      </c>
      <c r="F210" s="37" t="s">
        <v>48</v>
      </c>
      <c r="G210" s="37" t="s">
        <v>195</v>
      </c>
      <c r="H210" s="37" t="s">
        <v>655</v>
      </c>
      <c r="I210" s="37" t="s">
        <v>93</v>
      </c>
      <c r="J210" s="38" t="n">
        <v>1407</v>
      </c>
      <c r="K210" s="37" t="s">
        <v>30</v>
      </c>
      <c r="L210" s="37" t="s">
        <v>37</v>
      </c>
      <c r="M210" s="39" t="n">
        <v>0.6</v>
      </c>
      <c r="N210" s="39" t="n">
        <v>9.5</v>
      </c>
      <c r="O210" s="40" t="n">
        <f aca="false">IF(OR(M210="",N210=""),"",M210/N210)</f>
        <v>0.0631578947368421</v>
      </c>
      <c r="P210" s="41" t="n">
        <v>0</v>
      </c>
      <c r="Q210" s="37" t="str">
        <f aca="false">IF(P210="","",IF(P210=0,"Free","Paid"))</f>
        <v>Free</v>
      </c>
      <c r="R210" s="39" t="n">
        <v>3.3</v>
      </c>
      <c r="S210" s="37" t="n">
        <v>3</v>
      </c>
      <c r="T210" s="37" t="n">
        <v>4</v>
      </c>
      <c r="U210" s="39" t="n">
        <v>3</v>
      </c>
      <c r="V210" s="42" t="n">
        <f aca="false">IF(OR(U210="",M210="",M210=0),"",U210/(M210*7))</f>
        <v>0.714285714285714</v>
      </c>
      <c r="W210" s="37" t="s">
        <v>89</v>
      </c>
      <c r="X210" s="37"/>
      <c r="Y210" s="37" t="s">
        <v>656</v>
      </c>
    </row>
    <row r="211" customFormat="false" ht="15" hidden="false" customHeight="false" outlineLevel="0" collapsed="false">
      <c r="A211" s="37" t="s">
        <v>657</v>
      </c>
      <c r="B211" s="37" t="n">
        <v>64</v>
      </c>
      <c r="C211" s="37" t="str">
        <f aca="false">IF(B211="","",IF(B211&lt;18,"Under 18",IF(B211&lt;25,"18-24",IF(B211&lt;35,"25-34",IF(B211&lt;45,"35-44","45+")))))</f>
        <v>45+</v>
      </c>
      <c r="D211" s="37" t="s">
        <v>145</v>
      </c>
      <c r="E211" s="37" t="s">
        <v>62</v>
      </c>
      <c r="F211" s="37" t="s">
        <v>48</v>
      </c>
      <c r="G211" s="37" t="s">
        <v>135</v>
      </c>
      <c r="H211" s="37" t="s">
        <v>268</v>
      </c>
      <c r="I211" s="37" t="s">
        <v>92</v>
      </c>
      <c r="J211" s="38" t="n">
        <v>2050</v>
      </c>
      <c r="K211" s="37" t="s">
        <v>31</v>
      </c>
      <c r="L211" s="37" t="s">
        <v>41</v>
      </c>
      <c r="M211" s="39" t="n">
        <v>5.3</v>
      </c>
      <c r="N211" s="39" t="n">
        <v>9.5</v>
      </c>
      <c r="O211" s="40" t="n">
        <f aca="false">IF(OR(M211="",N211=""),"",M211/N211)</f>
        <v>0.557894736842105</v>
      </c>
      <c r="P211" s="41" t="n">
        <v>50</v>
      </c>
      <c r="Q211" s="37" t="str">
        <f aca="false">IF(P211="","",IF(P211=0,"Free","Paid"))</f>
        <v>Paid</v>
      </c>
      <c r="R211" s="39" t="n">
        <v>7.8</v>
      </c>
      <c r="S211" s="37" t="n">
        <v>3</v>
      </c>
      <c r="T211" s="37" t="n">
        <v>6</v>
      </c>
      <c r="U211" s="39" t="n">
        <v>10.7</v>
      </c>
      <c r="V211" s="42" t="n">
        <f aca="false">IF(OR(U211="",M211="",M211=0),"",U211/(M211*7))</f>
        <v>0.288409703504043</v>
      </c>
      <c r="W211" s="37" t="s">
        <v>88</v>
      </c>
      <c r="X211" s="37"/>
      <c r="Y211" s="37" t="s">
        <v>658</v>
      </c>
    </row>
    <row r="212" customFormat="false" ht="15" hidden="false" customHeight="false" outlineLevel="0" collapsed="false">
      <c r="A212" s="37" t="s">
        <v>659</v>
      </c>
      <c r="B212" s="37"/>
      <c r="C212" s="37" t="str">
        <f aca="false">IF(B212="","",IF(B212&lt;18,"Under 18",IF(B212&lt;25,"18-24",IF(B212&lt;35,"25-34",IF(B212&lt;45,"35-44","45+")))))</f>
        <v/>
      </c>
      <c r="D212" s="37" t="s">
        <v>145</v>
      </c>
      <c r="E212" s="37" t="s">
        <v>63</v>
      </c>
      <c r="F212" s="37" t="s">
        <v>47</v>
      </c>
      <c r="G212" s="37" t="s">
        <v>149</v>
      </c>
      <c r="H212" s="37" t="s">
        <v>150</v>
      </c>
      <c r="I212" s="37" t="s">
        <v>95</v>
      </c>
      <c r="J212" s="38" t="n">
        <v>243</v>
      </c>
      <c r="K212" s="37" t="s">
        <v>27</v>
      </c>
      <c r="L212" s="37" t="s">
        <v>39</v>
      </c>
      <c r="M212" s="39" t="n">
        <v>0.8</v>
      </c>
      <c r="N212" s="39" t="n">
        <v>6.8</v>
      </c>
      <c r="O212" s="40" t="n">
        <f aca="false">IF(OR(M212="",N212=""),"",M212/N212)</f>
        <v>0.117647058823529</v>
      </c>
      <c r="P212" s="41" t="n">
        <v>0</v>
      </c>
      <c r="Q212" s="37" t="str">
        <f aca="false">IF(P212="","",IF(P212=0,"Free","Paid"))</f>
        <v>Free</v>
      </c>
      <c r="R212" s="39" t="n">
        <v>2.5</v>
      </c>
      <c r="S212" s="37" t="n">
        <v>3</v>
      </c>
      <c r="T212" s="37" t="n">
        <v>5</v>
      </c>
      <c r="U212" s="39" t="n">
        <v>1.3</v>
      </c>
      <c r="V212" s="42" t="n">
        <f aca="false">IF(OR(U212="",M212="",M212=0),"",U212/(M212*7))</f>
        <v>0.232142857142857</v>
      </c>
      <c r="W212" s="37" t="s">
        <v>89</v>
      </c>
      <c r="X212" s="37" t="s">
        <v>365</v>
      </c>
      <c r="Y212" s="37" t="s">
        <v>660</v>
      </c>
    </row>
    <row r="213" customFormat="false" ht="15" hidden="false" customHeight="false" outlineLevel="0" collapsed="false">
      <c r="A213" s="37" t="s">
        <v>661</v>
      </c>
      <c r="B213" s="37" t="n">
        <v>63</v>
      </c>
      <c r="C213" s="37" t="str">
        <f aca="false">IF(B213="","",IF(B213&lt;18,"Under 18",IF(B213&lt;25,"18-24",IF(B213&lt;35,"25-34",IF(B213&lt;45,"35-44","45+")))))</f>
        <v>45+</v>
      </c>
      <c r="D213" s="37" t="s">
        <v>134</v>
      </c>
      <c r="E213" s="37" t="s">
        <v>67</v>
      </c>
      <c r="F213" s="37" t="s">
        <v>48</v>
      </c>
      <c r="G213" s="37" t="s">
        <v>195</v>
      </c>
      <c r="H213" s="37" t="s">
        <v>662</v>
      </c>
      <c r="I213" s="37" t="s">
        <v>93</v>
      </c>
      <c r="J213" s="38" t="n">
        <v>1405</v>
      </c>
      <c r="K213" s="37" t="s">
        <v>25</v>
      </c>
      <c r="L213" s="37" t="s">
        <v>37</v>
      </c>
      <c r="M213" s="39" t="n">
        <v>3.4</v>
      </c>
      <c r="N213" s="39" t="n">
        <v>7.5</v>
      </c>
      <c r="O213" s="40" t="n">
        <f aca="false">IF(OR(M213="",N213=""),"",M213/N213)</f>
        <v>0.453333333333333</v>
      </c>
      <c r="P213" s="41"/>
      <c r="Q213" s="37" t="str">
        <f aca="false">IF(P213="","",IF(P213=0,"Free","Paid"))</f>
        <v/>
      </c>
      <c r="R213" s="39" t="n">
        <v>6.8</v>
      </c>
      <c r="S213" s="37" t="n">
        <v>5</v>
      </c>
      <c r="T213" s="37" t="n">
        <v>10</v>
      </c>
      <c r="U213" s="39" t="n">
        <v>7.4</v>
      </c>
      <c r="V213" s="42" t="n">
        <f aca="false">IF(OR(U213="",M213="",M213=0),"",U213/(M213*7))</f>
        <v>0.310924369747899</v>
      </c>
      <c r="W213" s="37" t="s">
        <v>88</v>
      </c>
      <c r="X213" s="37"/>
      <c r="Y213" s="37" t="s">
        <v>663</v>
      </c>
    </row>
    <row r="214" customFormat="false" ht="15" hidden="false" customHeight="false" outlineLevel="0" collapsed="false">
      <c r="A214" s="37" t="s">
        <v>664</v>
      </c>
      <c r="B214" s="37"/>
      <c r="C214" s="37" t="str">
        <f aca="false">IF(B214="","",IF(B214&lt;18,"Under 18",IF(B214&lt;25,"18-24",IF(B214&lt;35,"25-34",IF(B214&lt;45,"35-44","45+")))))</f>
        <v/>
      </c>
      <c r="D214" s="37" t="s">
        <v>134</v>
      </c>
      <c r="E214" s="37" t="s">
        <v>70</v>
      </c>
      <c r="F214" s="37" t="s">
        <v>47</v>
      </c>
      <c r="G214" s="37" t="s">
        <v>149</v>
      </c>
      <c r="H214" s="37" t="s">
        <v>189</v>
      </c>
      <c r="I214" s="37" t="s">
        <v>92</v>
      </c>
      <c r="J214" s="38" t="n">
        <v>98</v>
      </c>
      <c r="K214" s="37" t="s">
        <v>28</v>
      </c>
      <c r="L214" s="37" t="s">
        <v>38</v>
      </c>
      <c r="M214" s="39" t="n">
        <v>1.7</v>
      </c>
      <c r="N214" s="39" t="n">
        <v>7.7</v>
      </c>
      <c r="O214" s="40" t="n">
        <f aca="false">IF(OR(M214="",N214=""),"",M214/N214)</f>
        <v>0.220779220779221</v>
      </c>
      <c r="P214" s="41" t="n">
        <v>20</v>
      </c>
      <c r="Q214" s="37" t="str">
        <f aca="false">IF(P214="","",IF(P214=0,"Free","Paid"))</f>
        <v>Paid</v>
      </c>
      <c r="R214" s="39" t="n">
        <v>3.5</v>
      </c>
      <c r="S214" s="37" t="n">
        <v>3</v>
      </c>
      <c r="T214" s="37" t="n">
        <v>6</v>
      </c>
      <c r="U214" s="39" t="n">
        <v>2.9</v>
      </c>
      <c r="V214" s="42" t="n">
        <f aca="false">IF(OR(U214="",M214="",M214=0),"",U214/(M214*7))</f>
        <v>0.243697478991597</v>
      </c>
      <c r="W214" s="37" t="s">
        <v>87</v>
      </c>
      <c r="X214" s="37"/>
      <c r="Y214" s="37" t="s">
        <v>665</v>
      </c>
    </row>
    <row r="215" customFormat="false" ht="15" hidden="false" customHeight="false" outlineLevel="0" collapsed="false">
      <c r="A215" s="37" t="s">
        <v>666</v>
      </c>
      <c r="B215" s="37" t="n">
        <v>20</v>
      </c>
      <c r="C215" s="37" t="str">
        <f aca="false">IF(B215="","",IF(B215&lt;18,"Under 18",IF(B215&lt;25,"18-24",IF(B215&lt;35,"25-34",IF(B215&lt;45,"35-44","45+")))))</f>
        <v>18-24</v>
      </c>
      <c r="D215" s="37" t="s">
        <v>134</v>
      </c>
      <c r="E215" s="37" t="s">
        <v>62</v>
      </c>
      <c r="F215" s="37" t="s">
        <v>47</v>
      </c>
      <c r="G215" s="37" t="s">
        <v>139</v>
      </c>
      <c r="H215" s="37" t="s">
        <v>427</v>
      </c>
      <c r="I215" s="37" t="s">
        <v>94</v>
      </c>
      <c r="J215" s="38" t="n">
        <v>104</v>
      </c>
      <c r="K215" s="37" t="s">
        <v>25</v>
      </c>
      <c r="L215" s="37" t="s">
        <v>39</v>
      </c>
      <c r="M215" s="39" t="n">
        <v>6.8</v>
      </c>
      <c r="N215" s="39" t="n">
        <v>6.4</v>
      </c>
      <c r="O215" s="40" t="n">
        <f aca="false">IF(OR(M215="",N215=""),"",M215/N215)</f>
        <v>1.0625</v>
      </c>
      <c r="P215" s="41" t="n">
        <v>0</v>
      </c>
      <c r="Q215" s="37" t="str">
        <f aca="false">IF(P215="","",IF(P215=0,"Free","Paid"))</f>
        <v>Free</v>
      </c>
      <c r="R215" s="39" t="n">
        <v>6.9</v>
      </c>
      <c r="S215" s="37" t="n">
        <v>2</v>
      </c>
      <c r="T215" s="37" t="n">
        <v>6</v>
      </c>
      <c r="U215" s="39" t="n">
        <v>14.1</v>
      </c>
      <c r="V215" s="42" t="n">
        <f aca="false">IF(OR(U215="",M215="",M215=0),"",U215/(M215*7))</f>
        <v>0.296218487394958</v>
      </c>
      <c r="W215" s="37" t="s">
        <v>89</v>
      </c>
      <c r="X215" s="37" t="s">
        <v>179</v>
      </c>
      <c r="Y215" s="37" t="s">
        <v>667</v>
      </c>
    </row>
    <row r="216" customFormat="false" ht="15" hidden="false" customHeight="false" outlineLevel="0" collapsed="false">
      <c r="A216" s="37" t="s">
        <v>668</v>
      </c>
      <c r="B216" s="37"/>
      <c r="C216" s="37" t="str">
        <f aca="false">IF(B216="","",IF(B216&lt;18,"Under 18",IF(B216&lt;25,"18-24",IF(B216&lt;35,"25-34",IF(B216&lt;45,"35-44","45+")))))</f>
        <v/>
      </c>
      <c r="D216" s="37" t="s">
        <v>134</v>
      </c>
      <c r="E216" s="37" t="s">
        <v>67</v>
      </c>
      <c r="F216" s="37" t="s">
        <v>47</v>
      </c>
      <c r="G216" s="37" t="s">
        <v>139</v>
      </c>
      <c r="H216" s="37" t="s">
        <v>164</v>
      </c>
      <c r="I216" s="37" t="s">
        <v>92</v>
      </c>
      <c r="J216" s="38" t="n">
        <v>243</v>
      </c>
      <c r="K216" s="37" t="s">
        <v>28</v>
      </c>
      <c r="L216" s="37" t="s">
        <v>41</v>
      </c>
      <c r="M216" s="39" t="n">
        <v>2.8</v>
      </c>
      <c r="N216" s="39" t="n">
        <v>8.5</v>
      </c>
      <c r="O216" s="40" t="n">
        <f aca="false">IF(OR(M216="",N216=""),"",M216/N216)</f>
        <v>0.329411764705882</v>
      </c>
      <c r="P216" s="41" t="n">
        <v>100</v>
      </c>
      <c r="Q216" s="37" t="str">
        <f aca="false">IF(P216="","",IF(P216=0,"Free","Paid"))</f>
        <v>Paid</v>
      </c>
      <c r="R216" s="39" t="n">
        <v>5.4</v>
      </c>
      <c r="S216" s="37" t="n">
        <v>3</v>
      </c>
      <c r="T216" s="37" t="n">
        <v>6</v>
      </c>
      <c r="U216" s="39" t="n">
        <v>6.8</v>
      </c>
      <c r="V216" s="42" t="n">
        <f aca="false">IF(OR(U216="",M216="",M216=0),"",U216/(M216*7))</f>
        <v>0.346938775510204</v>
      </c>
      <c r="W216" s="37" t="s">
        <v>87</v>
      </c>
      <c r="X216" s="37"/>
      <c r="Y216" s="37" t="s">
        <v>669</v>
      </c>
    </row>
    <row r="217" customFormat="false" ht="15" hidden="false" customHeight="false" outlineLevel="0" collapsed="false">
      <c r="A217" s="37" t="s">
        <v>670</v>
      </c>
      <c r="B217" s="37" t="n">
        <v>22</v>
      </c>
      <c r="C217" s="37" t="str">
        <f aca="false">IF(B217="","",IF(B217&lt;18,"Under 18",IF(B217&lt;25,"18-24",IF(B217&lt;35,"25-34",IF(B217&lt;45,"35-44","45+")))))</f>
        <v>18-24</v>
      </c>
      <c r="D217" s="37" t="s">
        <v>145</v>
      </c>
      <c r="E217" s="37" t="s">
        <v>63</v>
      </c>
      <c r="F217" s="37" t="s">
        <v>47</v>
      </c>
      <c r="G217" s="37" t="s">
        <v>149</v>
      </c>
      <c r="H217" s="37" t="s">
        <v>293</v>
      </c>
      <c r="I217" s="37" t="s">
        <v>92</v>
      </c>
      <c r="J217" s="38" t="n">
        <v>0</v>
      </c>
      <c r="K217" s="37" t="s">
        <v>25</v>
      </c>
      <c r="L217" s="37" t="s">
        <v>41</v>
      </c>
      <c r="M217" s="39" t="n">
        <v>5.9</v>
      </c>
      <c r="N217" s="39" t="n">
        <v>5.7</v>
      </c>
      <c r="O217" s="40" t="n">
        <f aca="false">IF(OR(M217="",N217=""),"",M217/N217)</f>
        <v>1.03508771929825</v>
      </c>
      <c r="P217" s="41" t="n">
        <v>20</v>
      </c>
      <c r="Q217" s="37" t="str">
        <f aca="false">IF(P217="","",IF(P217=0,"Free","Paid"))</f>
        <v>Paid</v>
      </c>
      <c r="R217" s="39" t="n">
        <v>5.5</v>
      </c>
      <c r="S217" s="37" t="n">
        <v>3</v>
      </c>
      <c r="T217" s="37" t="n">
        <v>5</v>
      </c>
      <c r="U217" s="39" t="n">
        <v>12.4</v>
      </c>
      <c r="V217" s="42" t="n">
        <f aca="false">IF(OR(U217="",M217="",M217=0),"",U217/(M217*7))</f>
        <v>0.300242130750605</v>
      </c>
      <c r="W217" s="37" t="s">
        <v>89</v>
      </c>
      <c r="X217" s="37" t="s">
        <v>179</v>
      </c>
      <c r="Y217" s="37" t="s">
        <v>671</v>
      </c>
    </row>
    <row r="218" customFormat="false" ht="15" hidden="false" customHeight="false" outlineLevel="0" collapsed="false">
      <c r="A218" s="37" t="s">
        <v>672</v>
      </c>
      <c r="B218" s="37"/>
      <c r="C218" s="37" t="str">
        <f aca="false">IF(B218="","",IF(B218&lt;18,"Under 18",IF(B218&lt;25,"18-24",IF(B218&lt;35,"25-34",IF(B218&lt;45,"35-44","45+")))))</f>
        <v/>
      </c>
      <c r="D218" s="37" t="s">
        <v>145</v>
      </c>
      <c r="E218" s="37" t="s">
        <v>69</v>
      </c>
      <c r="F218" s="37" t="s">
        <v>48</v>
      </c>
      <c r="G218" s="37" t="s">
        <v>135</v>
      </c>
      <c r="H218" s="37" t="s">
        <v>673</v>
      </c>
      <c r="I218" s="37" t="s">
        <v>94</v>
      </c>
      <c r="J218" s="38" t="n">
        <v>3462</v>
      </c>
      <c r="K218" s="37" t="s">
        <v>26</v>
      </c>
      <c r="L218" s="37" t="s">
        <v>42</v>
      </c>
      <c r="M218" s="39" t="n">
        <v>4.5</v>
      </c>
      <c r="N218" s="39" t="n">
        <v>6.7</v>
      </c>
      <c r="O218" s="40" t="n">
        <f aca="false">IF(OR(M218="",N218=""),"",M218/N218)</f>
        <v>0.671641791044776</v>
      </c>
      <c r="P218" s="41" t="n">
        <v>0</v>
      </c>
      <c r="Q218" s="37" t="str">
        <f aca="false">IF(P218="","",IF(P218=0,"Free","Paid"))</f>
        <v>Free</v>
      </c>
      <c r="R218" s="39" t="n">
        <v>5.6</v>
      </c>
      <c r="S218" s="37" t="n">
        <v>4</v>
      </c>
      <c r="T218" s="37" t="n">
        <v>5</v>
      </c>
      <c r="U218" s="39" t="n">
        <v>5.5</v>
      </c>
      <c r="V218" s="42" t="n">
        <f aca="false">IF(OR(U218="",M218="",M218=0),"",U218/(M218*7))</f>
        <v>0.174603174603175</v>
      </c>
      <c r="W218" s="37" t="s">
        <v>88</v>
      </c>
      <c r="X218" s="37"/>
      <c r="Y218" s="37" t="s">
        <v>674</v>
      </c>
    </row>
    <row r="219" customFormat="false" ht="15" hidden="false" customHeight="false" outlineLevel="0" collapsed="false">
      <c r="A219" s="37" t="s">
        <v>675</v>
      </c>
      <c r="B219" s="37" t="n">
        <v>44</v>
      </c>
      <c r="C219" s="37" t="str">
        <f aca="false">IF(B219="","",IF(B219&lt;18,"Under 18",IF(B219&lt;25,"18-24",IF(B219&lt;35,"25-34",IF(B219&lt;45,"35-44","45+")))))</f>
        <v>35-44</v>
      </c>
      <c r="D219" s="37" t="s">
        <v>145</v>
      </c>
      <c r="E219" s="37" t="s">
        <v>67</v>
      </c>
      <c r="F219" s="37" t="s">
        <v>48</v>
      </c>
      <c r="G219" s="37" t="s">
        <v>195</v>
      </c>
      <c r="H219" s="37" t="s">
        <v>676</v>
      </c>
      <c r="I219" s="37" t="s">
        <v>97</v>
      </c>
      <c r="J219" s="38" t="n">
        <v>1613</v>
      </c>
      <c r="K219" s="37" t="s">
        <v>26</v>
      </c>
      <c r="L219" s="37" t="s">
        <v>44</v>
      </c>
      <c r="M219" s="39" t="n">
        <v>4.2</v>
      </c>
      <c r="N219" s="39" t="n">
        <v>10</v>
      </c>
      <c r="O219" s="40" t="n">
        <f aca="false">IF(OR(M219="",N219=""),"",M219/N219)</f>
        <v>0.42</v>
      </c>
      <c r="P219" s="41" t="n">
        <v>0</v>
      </c>
      <c r="Q219" s="37" t="str">
        <f aca="false">IF(P219="","",IF(P219=0,"Free","Paid"))</f>
        <v>Free</v>
      </c>
      <c r="R219" s="39" t="n">
        <v>5.9</v>
      </c>
      <c r="S219" s="37" t="n">
        <v>3</v>
      </c>
      <c r="T219" s="37" t="n">
        <v>6</v>
      </c>
      <c r="U219" s="39" t="n">
        <v>5.6</v>
      </c>
      <c r="V219" s="42" t="n">
        <f aca="false">IF(OR(U219="",M219="",M219=0),"",U219/(M219*7))</f>
        <v>0.19047619047619</v>
      </c>
      <c r="W219" s="37" t="s">
        <v>87</v>
      </c>
      <c r="X219" s="37"/>
      <c r="Y219" s="37" t="s">
        <v>677</v>
      </c>
    </row>
    <row r="220" customFormat="false" ht="15" hidden="false" customHeight="false" outlineLevel="0" collapsed="false">
      <c r="A220" s="37" t="s">
        <v>678</v>
      </c>
      <c r="B220" s="37" t="n">
        <v>31</v>
      </c>
      <c r="C220" s="37" t="str">
        <f aca="false">IF(B220="","",IF(B220&lt;18,"Under 18",IF(B220&lt;25,"18-24",IF(B220&lt;35,"25-34",IF(B220&lt;45,"35-44","45+")))))</f>
        <v>25-34</v>
      </c>
      <c r="D220" s="37" t="s">
        <v>145</v>
      </c>
      <c r="E220" s="37" t="s">
        <v>65</v>
      </c>
      <c r="F220" s="37" t="s">
        <v>48</v>
      </c>
      <c r="G220" s="37" t="s">
        <v>139</v>
      </c>
      <c r="H220" s="37" t="s">
        <v>250</v>
      </c>
      <c r="I220" s="37" t="s">
        <v>92</v>
      </c>
      <c r="J220" s="38" t="n">
        <v>969</v>
      </c>
      <c r="K220" s="37" t="s">
        <v>25</v>
      </c>
      <c r="L220" s="37" t="s">
        <v>38</v>
      </c>
      <c r="M220" s="39" t="n">
        <v>4.9</v>
      </c>
      <c r="N220" s="39" t="n">
        <v>9.3</v>
      </c>
      <c r="O220" s="40" t="n">
        <f aca="false">IF(OR(M220="",N220=""),"",M220/N220)</f>
        <v>0.526881720430108</v>
      </c>
      <c r="P220" s="41" t="n">
        <v>0</v>
      </c>
      <c r="Q220" s="37" t="str">
        <f aca="false">IF(P220="","",IF(P220=0,"Free","Paid"))</f>
        <v>Free</v>
      </c>
      <c r="R220" s="39" t="n">
        <v>5.4</v>
      </c>
      <c r="S220" s="37" t="n">
        <v>3</v>
      </c>
      <c r="T220" s="37" t="n">
        <v>7</v>
      </c>
      <c r="U220" s="39" t="n">
        <v>6.5</v>
      </c>
      <c r="V220" s="42" t="n">
        <f aca="false">IF(OR(U220="",M220="",M220=0),"",U220/(M220*7))</f>
        <v>0.189504373177843</v>
      </c>
      <c r="W220" s="37" t="s">
        <v>87</v>
      </c>
      <c r="X220" s="37"/>
      <c r="Y220" s="37" t="s">
        <v>679</v>
      </c>
    </row>
    <row r="221" customFormat="false" ht="15" hidden="false" customHeight="false" outlineLevel="0" collapsed="false">
      <c r="A221" s="37" t="s">
        <v>680</v>
      </c>
      <c r="B221" s="37" t="n">
        <v>31</v>
      </c>
      <c r="C221" s="37" t="str">
        <f aca="false">IF(B221="","",IF(B221&lt;18,"Under 18",IF(B221&lt;25,"18-24",IF(B221&lt;35,"25-34",IF(B221&lt;45,"35-44","45+")))))</f>
        <v>25-34</v>
      </c>
      <c r="D221" s="37" t="s">
        <v>134</v>
      </c>
      <c r="E221" s="37" t="s">
        <v>71</v>
      </c>
      <c r="F221" s="37" t="s">
        <v>48</v>
      </c>
      <c r="G221" s="37" t="s">
        <v>139</v>
      </c>
      <c r="H221" s="37" t="s">
        <v>452</v>
      </c>
      <c r="I221" s="37" t="s">
        <v>92</v>
      </c>
      <c r="J221" s="38"/>
      <c r="K221" s="37" t="s">
        <v>27</v>
      </c>
      <c r="L221" s="37" t="s">
        <v>41</v>
      </c>
      <c r="M221" s="39" t="n">
        <v>3.4</v>
      </c>
      <c r="N221" s="39" t="n">
        <v>7.5</v>
      </c>
      <c r="O221" s="40" t="n">
        <f aca="false">IF(OR(M221="",N221=""),"",M221/N221)</f>
        <v>0.453333333333333</v>
      </c>
      <c r="P221" s="41" t="n">
        <v>0</v>
      </c>
      <c r="Q221" s="37" t="str">
        <f aca="false">IF(P221="","",IF(P221=0,"Free","Paid"))</f>
        <v>Free</v>
      </c>
      <c r="R221" s="39" t="n">
        <v>4.8</v>
      </c>
      <c r="S221" s="37" t="n">
        <v>2</v>
      </c>
      <c r="T221" s="37" t="n">
        <v>5</v>
      </c>
      <c r="U221" s="39" t="n">
        <v>6</v>
      </c>
      <c r="V221" s="42" t="n">
        <f aca="false">IF(OR(U221="",M221="",M221=0),"",U221/(M221*7))</f>
        <v>0.252100840336134</v>
      </c>
      <c r="W221" s="37" t="s">
        <v>89</v>
      </c>
      <c r="X221" s="37"/>
      <c r="Y221" s="37" t="s">
        <v>681</v>
      </c>
    </row>
    <row r="222" customFormat="false" ht="15" hidden="false" customHeight="false" outlineLevel="0" collapsed="false">
      <c r="A222" s="37" t="s">
        <v>682</v>
      </c>
      <c r="B222" s="37" t="n">
        <v>39</v>
      </c>
      <c r="C222" s="37" t="str">
        <f aca="false">IF(B222="","",IF(B222&lt;18,"Under 18",IF(B222&lt;25,"18-24",IF(B222&lt;35,"25-34",IF(B222&lt;45,"35-44","45+")))))</f>
        <v>35-44</v>
      </c>
      <c r="D222" s="37" t="s">
        <v>145</v>
      </c>
      <c r="E222" s="37" t="s">
        <v>64</v>
      </c>
      <c r="F222" s="37" t="s">
        <v>48</v>
      </c>
      <c r="G222" s="37" t="s">
        <v>195</v>
      </c>
      <c r="H222" s="37" t="s">
        <v>175</v>
      </c>
      <c r="I222" s="37" t="s">
        <v>93</v>
      </c>
      <c r="J222" s="38" t="n">
        <v>3579</v>
      </c>
      <c r="K222" s="37" t="s">
        <v>27</v>
      </c>
      <c r="L222" s="37" t="s">
        <v>37</v>
      </c>
      <c r="M222" s="39" t="n">
        <v>4.4</v>
      </c>
      <c r="N222" s="39" t="n">
        <v>8.4</v>
      </c>
      <c r="O222" s="40" t="n">
        <f aca="false">IF(OR(M222="",N222=""),"",M222/N222)</f>
        <v>0.523809523809524</v>
      </c>
      <c r="P222" s="41" t="n">
        <v>0</v>
      </c>
      <c r="Q222" s="37" t="str">
        <f aca="false">IF(P222="","",IF(P222=0,"Free","Paid"))</f>
        <v>Free</v>
      </c>
      <c r="R222" s="39" t="n">
        <v>7.3</v>
      </c>
      <c r="S222" s="37" t="n">
        <v>4</v>
      </c>
      <c r="T222" s="37" t="n">
        <v>7</v>
      </c>
      <c r="U222" s="39" t="n">
        <v>5.7</v>
      </c>
      <c r="V222" s="42" t="n">
        <f aca="false">IF(OR(U222="",M222="",M222=0),"",U222/(M222*7))</f>
        <v>0.185064935064935</v>
      </c>
      <c r="W222" s="37" t="s">
        <v>87</v>
      </c>
      <c r="X222" s="37"/>
      <c r="Y222" s="37" t="s">
        <v>683</v>
      </c>
    </row>
    <row r="223" customFormat="false" ht="15" hidden="false" customHeight="false" outlineLevel="0" collapsed="false">
      <c r="A223" s="37" t="s">
        <v>684</v>
      </c>
      <c r="B223" s="37" t="n">
        <v>48</v>
      </c>
      <c r="C223" s="37" t="str">
        <f aca="false">IF(B223="","",IF(B223&lt;18,"Under 18",IF(B223&lt;25,"18-24",IF(B223&lt;35,"25-34",IF(B223&lt;45,"35-44","45+")))))</f>
        <v>45+</v>
      </c>
      <c r="D223" s="37" t="s">
        <v>134</v>
      </c>
      <c r="E223" s="37" t="s">
        <v>65</v>
      </c>
      <c r="F223" s="37" t="s">
        <v>48</v>
      </c>
      <c r="G223" s="37" t="s">
        <v>139</v>
      </c>
      <c r="H223" s="37" t="s">
        <v>685</v>
      </c>
      <c r="I223" s="37" t="s">
        <v>92</v>
      </c>
      <c r="J223" s="38" t="n">
        <v>210</v>
      </c>
      <c r="K223" s="37" t="s">
        <v>25</v>
      </c>
      <c r="L223" s="37" t="s">
        <v>41</v>
      </c>
      <c r="M223" s="39" t="n">
        <v>1.8</v>
      </c>
      <c r="N223" s="39" t="n">
        <v>9.5</v>
      </c>
      <c r="O223" s="40" t="n">
        <f aca="false">IF(OR(M223="",N223=""),"",M223/N223)</f>
        <v>0.189473684210526</v>
      </c>
      <c r="P223" s="41" t="n">
        <v>10</v>
      </c>
      <c r="Q223" s="37" t="str">
        <f aca="false">IF(P223="","",IF(P223=0,"Free","Paid"))</f>
        <v>Paid</v>
      </c>
      <c r="R223" s="39" t="n">
        <v>3.6</v>
      </c>
      <c r="S223" s="37" t="n">
        <v>3</v>
      </c>
      <c r="T223" s="37" t="n">
        <v>4</v>
      </c>
      <c r="U223" s="39" t="n">
        <v>5.1</v>
      </c>
      <c r="V223" s="42" t="n">
        <f aca="false">IF(OR(U223="",M223="",M223=0),"",U223/(M223*7))</f>
        <v>0.404761904761905</v>
      </c>
      <c r="W223" s="37" t="s">
        <v>89</v>
      </c>
      <c r="X223" s="37"/>
      <c r="Y223" s="37" t="s">
        <v>686</v>
      </c>
    </row>
    <row r="224" customFormat="false" ht="15" hidden="false" customHeight="false" outlineLevel="0" collapsed="false">
      <c r="A224" s="37" t="s">
        <v>687</v>
      </c>
      <c r="B224" s="37" t="n">
        <v>19</v>
      </c>
      <c r="C224" s="37" t="str">
        <f aca="false">IF(B224="","",IF(B224&lt;18,"Under 18",IF(B224&lt;25,"18-24",IF(B224&lt;35,"25-34",IF(B224&lt;45,"35-44","45+")))))</f>
        <v>18-24</v>
      </c>
      <c r="D224" s="37" t="s">
        <v>134</v>
      </c>
      <c r="E224" s="37" t="s">
        <v>65</v>
      </c>
      <c r="F224" s="37" t="s">
        <v>47</v>
      </c>
      <c r="G224" s="37" t="s">
        <v>149</v>
      </c>
      <c r="H224" s="37" t="s">
        <v>189</v>
      </c>
      <c r="I224" s="37" t="s">
        <v>92</v>
      </c>
      <c r="J224" s="38" t="n">
        <v>58</v>
      </c>
      <c r="K224" s="37" t="s">
        <v>25</v>
      </c>
      <c r="L224" s="37" t="s">
        <v>38</v>
      </c>
      <c r="M224" s="39" t="n">
        <v>6.3</v>
      </c>
      <c r="N224" s="39" t="n">
        <v>7.3</v>
      </c>
      <c r="O224" s="40" t="n">
        <f aca="false">IF(OR(M224="",N224=""),"",M224/N224)</f>
        <v>0.863013698630137</v>
      </c>
      <c r="P224" s="41" t="n">
        <v>0</v>
      </c>
      <c r="Q224" s="37" t="str">
        <f aca="false">IF(P224="","",IF(P224=0,"Free","Paid"))</f>
        <v>Free</v>
      </c>
      <c r="R224" s="39" t="n">
        <v>8.8</v>
      </c>
      <c r="S224" s="37" t="n">
        <v>3</v>
      </c>
      <c r="T224" s="37" t="n">
        <v>8</v>
      </c>
      <c r="U224" s="39" t="n">
        <v>10</v>
      </c>
      <c r="V224" s="42" t="n">
        <f aca="false">IF(OR(U224="",M224="",M224=0),"",U224/(M224*7))</f>
        <v>0.226757369614512</v>
      </c>
      <c r="W224" s="37" t="s">
        <v>87</v>
      </c>
      <c r="X224" s="37"/>
      <c r="Y224" s="37" t="s">
        <v>688</v>
      </c>
    </row>
    <row r="225" customFormat="false" ht="15" hidden="false" customHeight="false" outlineLevel="0" collapsed="false">
      <c r="A225" s="37" t="s">
        <v>689</v>
      </c>
      <c r="B225" s="37" t="n">
        <v>21</v>
      </c>
      <c r="C225" s="37" t="str">
        <f aca="false">IF(B225="","",IF(B225&lt;18,"Under 18",IF(B225&lt;25,"18-24",IF(B225&lt;35,"25-34",IF(B225&lt;45,"35-44","45+")))))</f>
        <v>18-24</v>
      </c>
      <c r="D225" s="37" t="s">
        <v>145</v>
      </c>
      <c r="E225" s="37" t="s">
        <v>68</v>
      </c>
      <c r="F225" s="37" t="s">
        <v>47</v>
      </c>
      <c r="G225" s="37" t="s">
        <v>139</v>
      </c>
      <c r="H225" s="37" t="s">
        <v>690</v>
      </c>
      <c r="I225" s="37" t="s">
        <v>95</v>
      </c>
      <c r="J225" s="38" t="n">
        <v>88</v>
      </c>
      <c r="K225" s="37" t="s">
        <v>25</v>
      </c>
      <c r="L225" s="37" t="s">
        <v>40</v>
      </c>
      <c r="M225" s="39" t="n">
        <v>1.6</v>
      </c>
      <c r="N225" s="39" t="n">
        <v>6.5</v>
      </c>
      <c r="O225" s="40" t="n">
        <f aca="false">IF(OR(M225="",N225=""),"",M225/N225)</f>
        <v>0.246153846153846</v>
      </c>
      <c r="P225" s="41" t="n">
        <v>10</v>
      </c>
      <c r="Q225" s="37" t="str">
        <f aca="false">IF(P225="","",IF(P225=0,"Free","Paid"))</f>
        <v>Paid</v>
      </c>
      <c r="R225" s="39" t="n">
        <v>3.4</v>
      </c>
      <c r="S225" s="37" t="n">
        <v>3</v>
      </c>
      <c r="T225" s="37" t="n">
        <v>5</v>
      </c>
      <c r="U225" s="39" t="n">
        <v>5.9</v>
      </c>
      <c r="V225" s="42" t="n">
        <f aca="false">IF(OR(U225="",M225="",M225=0),"",U225/(M225*7))</f>
        <v>0.526785714285714</v>
      </c>
      <c r="W225" s="37" t="s">
        <v>89</v>
      </c>
      <c r="X225" s="37"/>
      <c r="Y225" s="37" t="s">
        <v>691</v>
      </c>
    </row>
    <row r="226" customFormat="false" ht="15" hidden="false" customHeight="false" outlineLevel="0" collapsed="false">
      <c r="A226" s="37" t="s">
        <v>692</v>
      </c>
      <c r="B226" s="37" t="n">
        <v>27</v>
      </c>
      <c r="C226" s="37" t="str">
        <f aca="false">IF(B226="","",IF(B226&lt;18,"Under 18",IF(B226&lt;25,"18-24",IF(B226&lt;35,"25-34",IF(B226&lt;45,"35-44","45+")))))</f>
        <v>25-34</v>
      </c>
      <c r="D226" s="37" t="s">
        <v>145</v>
      </c>
      <c r="E226" s="37" t="s">
        <v>63</v>
      </c>
      <c r="F226" s="37" t="s">
        <v>47</v>
      </c>
      <c r="G226" s="37" t="s">
        <v>135</v>
      </c>
      <c r="H226" s="37" t="s">
        <v>449</v>
      </c>
      <c r="I226" s="37" t="s">
        <v>93</v>
      </c>
      <c r="J226" s="38" t="n">
        <v>335</v>
      </c>
      <c r="K226" s="37" t="s">
        <v>29</v>
      </c>
      <c r="L226" s="37" t="s">
        <v>37</v>
      </c>
      <c r="M226" s="39" t="n">
        <v>1.5</v>
      </c>
      <c r="N226" s="39" t="n">
        <v>4.9</v>
      </c>
      <c r="O226" s="40" t="n">
        <f aca="false">IF(OR(M226="",N226=""),"",M226/N226)</f>
        <v>0.306122448979592</v>
      </c>
      <c r="P226" s="41" t="n">
        <v>20</v>
      </c>
      <c r="Q226" s="37" t="str">
        <f aca="false">IF(P226="","",IF(P226=0,"Free","Paid"))</f>
        <v>Paid</v>
      </c>
      <c r="R226" s="39" t="n">
        <v>4</v>
      </c>
      <c r="S226" s="37" t="n">
        <v>3</v>
      </c>
      <c r="T226" s="37" t="n">
        <v>6</v>
      </c>
      <c r="U226" s="39" t="n">
        <v>4.2</v>
      </c>
      <c r="V226" s="42" t="n">
        <f aca="false">IF(OR(U226="",M226="",M226=0),"",U226/(M226*7))</f>
        <v>0.4</v>
      </c>
      <c r="W226" s="37" t="s">
        <v>89</v>
      </c>
      <c r="X226" s="37"/>
      <c r="Y226" s="37" t="s">
        <v>693</v>
      </c>
    </row>
    <row r="227" customFormat="false" ht="15" hidden="false" customHeight="false" outlineLevel="0" collapsed="false">
      <c r="A227" s="37" t="s">
        <v>694</v>
      </c>
      <c r="B227" s="37" t="n">
        <v>22</v>
      </c>
      <c r="C227" s="37" t="str">
        <f aca="false">IF(B227="","",IF(B227&lt;18,"Under 18",IF(B227&lt;25,"18-24",IF(B227&lt;35,"25-34",IF(B227&lt;45,"35-44","45+")))))</f>
        <v>18-24</v>
      </c>
      <c r="D227" s="37" t="s">
        <v>145</v>
      </c>
      <c r="E227" s="37" t="s">
        <v>62</v>
      </c>
      <c r="F227" s="37" t="s">
        <v>47</v>
      </c>
      <c r="G227" s="37" t="s">
        <v>149</v>
      </c>
      <c r="H227" s="37" t="s">
        <v>440</v>
      </c>
      <c r="I227" s="37" t="s">
        <v>92</v>
      </c>
      <c r="J227" s="38" t="n">
        <v>0</v>
      </c>
      <c r="K227" s="37" t="s">
        <v>27</v>
      </c>
      <c r="L227" s="37" t="s">
        <v>41</v>
      </c>
      <c r="M227" s="39" t="n">
        <v>0.7</v>
      </c>
      <c r="N227" s="39" t="n">
        <v>5.4</v>
      </c>
      <c r="O227" s="40" t="n">
        <f aca="false">IF(OR(M227="",N227=""),"",M227/N227)</f>
        <v>0.12962962962963</v>
      </c>
      <c r="P227" s="41" t="n">
        <v>30</v>
      </c>
      <c r="Q227" s="37" t="str">
        <f aca="false">IF(P227="","",IF(P227=0,"Free","Paid"))</f>
        <v>Paid</v>
      </c>
      <c r="R227" s="39" t="n">
        <v>3.4</v>
      </c>
      <c r="S227" s="37" t="n">
        <v>4</v>
      </c>
      <c r="T227" s="37" t="n">
        <v>6</v>
      </c>
      <c r="U227" s="39" t="n">
        <v>5.9</v>
      </c>
      <c r="V227" s="42" t="n">
        <f aca="false">IF(OR(U227="",M227="",M227=0),"",U227/(M227*7))</f>
        <v>1.20408163265306</v>
      </c>
      <c r="W227" s="37" t="s">
        <v>89</v>
      </c>
      <c r="X227" s="37" t="s">
        <v>695</v>
      </c>
      <c r="Y227" s="37" t="s">
        <v>696</v>
      </c>
    </row>
    <row r="228" customFormat="false" ht="15" hidden="false" customHeight="false" outlineLevel="0" collapsed="false">
      <c r="A228" s="37" t="s">
        <v>697</v>
      </c>
      <c r="B228" s="37"/>
      <c r="C228" s="37" t="str">
        <f aca="false">IF(B228="","",IF(B228&lt;18,"Under 18",IF(B228&lt;25,"18-24",IF(B228&lt;35,"25-34",IF(B228&lt;45,"35-44","45+")))))</f>
        <v/>
      </c>
      <c r="D228" s="37" t="s">
        <v>134</v>
      </c>
      <c r="E228" s="37" t="s">
        <v>66</v>
      </c>
      <c r="F228" s="37" t="s">
        <v>48</v>
      </c>
      <c r="G228" s="37" t="s">
        <v>195</v>
      </c>
      <c r="H228" s="37" t="s">
        <v>250</v>
      </c>
      <c r="I228" s="37" t="s">
        <v>92</v>
      </c>
      <c r="J228" s="38" t="n">
        <v>2303</v>
      </c>
      <c r="K228" s="37" t="s">
        <v>29</v>
      </c>
      <c r="L228" s="37" t="s">
        <v>38</v>
      </c>
      <c r="M228" s="39" t="n">
        <v>4.4</v>
      </c>
      <c r="N228" s="39" t="n">
        <v>7.8</v>
      </c>
      <c r="O228" s="40" t="n">
        <f aca="false">IF(OR(M228="",N228=""),"",M228/N228)</f>
        <v>0.564102564102564</v>
      </c>
      <c r="P228" s="41" t="n">
        <v>20</v>
      </c>
      <c r="Q228" s="37" t="str">
        <f aca="false">IF(P228="","",IF(P228=0,"Free","Paid"))</f>
        <v>Paid</v>
      </c>
      <c r="R228" s="39" t="n">
        <v>5.8</v>
      </c>
      <c r="S228" s="37" t="n">
        <v>5</v>
      </c>
      <c r="T228" s="37" t="n">
        <v>9</v>
      </c>
      <c r="U228" s="39" t="n">
        <v>11.3</v>
      </c>
      <c r="V228" s="42" t="n">
        <f aca="false">IF(OR(U228="",M228="",M228=0),"",U228/(M228*7))</f>
        <v>0.366883116883117</v>
      </c>
      <c r="W228" s="37" t="s">
        <v>87</v>
      </c>
      <c r="X228" s="37"/>
      <c r="Y228" s="37" t="s">
        <v>698</v>
      </c>
    </row>
    <row r="229" customFormat="false" ht="15" hidden="false" customHeight="false" outlineLevel="0" collapsed="false">
      <c r="A229" s="37" t="s">
        <v>699</v>
      </c>
      <c r="B229" s="37"/>
      <c r="C229" s="37" t="str">
        <f aca="false">IF(B229="","",IF(B229&lt;18,"Under 18",IF(B229&lt;25,"18-24",IF(B229&lt;35,"25-34",IF(B229&lt;45,"35-44","45+")))))</f>
        <v/>
      </c>
      <c r="D229" s="37" t="s">
        <v>134</v>
      </c>
      <c r="E229" s="37" t="s">
        <v>64</v>
      </c>
      <c r="F229" s="37" t="s">
        <v>48</v>
      </c>
      <c r="G229" s="37" t="s">
        <v>160</v>
      </c>
      <c r="H229" s="37" t="s">
        <v>500</v>
      </c>
      <c r="I229" s="37" t="s">
        <v>93</v>
      </c>
      <c r="J229" s="38" t="n">
        <v>3779</v>
      </c>
      <c r="K229" s="37" t="s">
        <v>25</v>
      </c>
      <c r="L229" s="37" t="s">
        <v>37</v>
      </c>
      <c r="M229" s="39" t="n">
        <v>5.7</v>
      </c>
      <c r="N229" s="39" t="n">
        <v>6.6</v>
      </c>
      <c r="O229" s="40" t="n">
        <f aca="false">IF(OR(M229="",N229=""),"",M229/N229)</f>
        <v>0.863636363636364</v>
      </c>
      <c r="P229" s="41" t="n">
        <v>0</v>
      </c>
      <c r="Q229" s="37" t="str">
        <f aca="false">IF(P229="","",IF(P229=0,"Free","Paid"))</f>
        <v>Free</v>
      </c>
      <c r="R229" s="39" t="n">
        <v>6.7</v>
      </c>
      <c r="S229" s="37" t="n">
        <v>2</v>
      </c>
      <c r="T229" s="37" t="n">
        <v>5</v>
      </c>
      <c r="U229" s="39" t="n">
        <v>13</v>
      </c>
      <c r="V229" s="42" t="n">
        <f aca="false">IF(OR(U229="",M229="",M229=0),"",U229/(M229*7))</f>
        <v>0.325814536340852</v>
      </c>
      <c r="W229" s="37" t="s">
        <v>88</v>
      </c>
      <c r="X229" s="37"/>
      <c r="Y229" s="37" t="s">
        <v>700</v>
      </c>
    </row>
    <row r="230" customFormat="false" ht="15" hidden="false" customHeight="false" outlineLevel="0" collapsed="false">
      <c r="A230" s="37" t="s">
        <v>701</v>
      </c>
      <c r="B230" s="37" t="n">
        <v>41</v>
      </c>
      <c r="C230" s="37" t="str">
        <f aca="false">IF(B230="","",IF(B230&lt;18,"Under 18",IF(B230&lt;25,"18-24",IF(B230&lt;35,"25-34",IF(B230&lt;45,"35-44","45+")))))</f>
        <v>35-44</v>
      </c>
      <c r="D230" s="37" t="s">
        <v>134</v>
      </c>
      <c r="E230" s="37" t="s">
        <v>65</v>
      </c>
      <c r="F230" s="37" t="s">
        <v>48</v>
      </c>
      <c r="G230" s="37" t="s">
        <v>160</v>
      </c>
      <c r="H230" s="37" t="s">
        <v>702</v>
      </c>
      <c r="I230" s="37" t="s">
        <v>92</v>
      </c>
      <c r="J230" s="38" t="n">
        <v>672</v>
      </c>
      <c r="K230" s="37" t="s">
        <v>28</v>
      </c>
      <c r="L230" s="37" t="s">
        <v>41</v>
      </c>
      <c r="M230" s="39" t="n">
        <v>8.1</v>
      </c>
      <c r="N230" s="39" t="n">
        <v>7.4</v>
      </c>
      <c r="O230" s="40" t="n">
        <f aca="false">IF(OR(M230="",N230=""),"",M230/N230)</f>
        <v>1.09459459459459</v>
      </c>
      <c r="P230" s="41" t="n">
        <v>0</v>
      </c>
      <c r="Q230" s="37" t="str">
        <f aca="false">IF(P230="","",IF(P230=0,"Free","Paid"))</f>
        <v>Free</v>
      </c>
      <c r="R230" s="39" t="n">
        <v>5.6</v>
      </c>
      <c r="S230" s="37" t="n">
        <v>5</v>
      </c>
      <c r="T230" s="37" t="n">
        <v>8</v>
      </c>
      <c r="U230" s="39" t="n">
        <v>16.5</v>
      </c>
      <c r="V230" s="42" t="n">
        <f aca="false">IF(OR(U230="",M230="",M230=0),"",U230/(M230*7))</f>
        <v>0.291005291005291</v>
      </c>
      <c r="W230" s="37" t="s">
        <v>87</v>
      </c>
      <c r="X230" s="37" t="s">
        <v>179</v>
      </c>
      <c r="Y230" s="37" t="s">
        <v>703</v>
      </c>
    </row>
    <row r="231" customFormat="false" ht="15" hidden="false" customHeight="false" outlineLevel="0" collapsed="false">
      <c r="A231" s="37" t="s">
        <v>704</v>
      </c>
      <c r="B231" s="37"/>
      <c r="C231" s="37" t="str">
        <f aca="false">IF(B231="","",IF(B231&lt;18,"Under 18",IF(B231&lt;25,"18-24",IF(B231&lt;35,"25-34",IF(B231&lt;45,"35-44","45+")))))</f>
        <v/>
      </c>
      <c r="D231" s="37" t="s">
        <v>134</v>
      </c>
      <c r="E231" s="37" t="s">
        <v>62</v>
      </c>
      <c r="F231" s="37" t="s">
        <v>47</v>
      </c>
      <c r="G231" s="37" t="s">
        <v>160</v>
      </c>
      <c r="H231" s="37" t="s">
        <v>705</v>
      </c>
      <c r="I231" s="37" t="s">
        <v>94</v>
      </c>
      <c r="J231" s="38" t="n">
        <v>0</v>
      </c>
      <c r="K231" s="37" t="s">
        <v>26</v>
      </c>
      <c r="L231" s="37" t="s">
        <v>42</v>
      </c>
      <c r="M231" s="39" t="n">
        <v>2</v>
      </c>
      <c r="N231" s="39" t="n">
        <v>4.4</v>
      </c>
      <c r="O231" s="40" t="n">
        <f aca="false">IF(OR(M231="",N231=""),"",M231/N231)</f>
        <v>0.454545454545455</v>
      </c>
      <c r="P231" s="41" t="n">
        <v>0</v>
      </c>
      <c r="Q231" s="37" t="str">
        <f aca="false">IF(P231="","",IF(P231=0,"Free","Paid"))</f>
        <v>Free</v>
      </c>
      <c r="R231" s="39" t="n">
        <v>3.6</v>
      </c>
      <c r="S231" s="37" t="n">
        <v>5</v>
      </c>
      <c r="T231" s="37" t="n">
        <v>5</v>
      </c>
      <c r="U231" s="39" t="n">
        <v>3.6</v>
      </c>
      <c r="V231" s="42" t="n">
        <f aca="false">IF(OR(U231="",M231="",M231=0),"",U231/(M231*7))</f>
        <v>0.257142857142857</v>
      </c>
      <c r="W231" s="37" t="s">
        <v>88</v>
      </c>
      <c r="X231" s="37"/>
      <c r="Y231" s="37" t="s">
        <v>706</v>
      </c>
    </row>
    <row r="232" customFormat="false" ht="15" hidden="false" customHeight="false" outlineLevel="0" collapsed="false">
      <c r="A232" s="37" t="s">
        <v>707</v>
      </c>
      <c r="B232" s="37" t="n">
        <v>19</v>
      </c>
      <c r="C232" s="37" t="str">
        <f aca="false">IF(B232="","",IF(B232&lt;18,"Under 18",IF(B232&lt;25,"18-24",IF(B232&lt;35,"25-34",IF(B232&lt;45,"35-44","45+")))))</f>
        <v>18-24</v>
      </c>
      <c r="D232" s="37" t="s">
        <v>134</v>
      </c>
      <c r="E232" s="37" t="s">
        <v>63</v>
      </c>
      <c r="F232" s="37" t="s">
        <v>47</v>
      </c>
      <c r="G232" s="37" t="s">
        <v>139</v>
      </c>
      <c r="H232" s="37" t="s">
        <v>221</v>
      </c>
      <c r="I232" s="37" t="s">
        <v>97</v>
      </c>
      <c r="J232" s="38" t="n">
        <v>135</v>
      </c>
      <c r="K232" s="37" t="s">
        <v>28</v>
      </c>
      <c r="L232" s="37" t="s">
        <v>39</v>
      </c>
      <c r="M232" s="39" t="n">
        <v>3.9</v>
      </c>
      <c r="N232" s="39" t="n">
        <v>5.1</v>
      </c>
      <c r="O232" s="40" t="n">
        <f aca="false">IF(OR(M232="",N232=""),"",M232/N232)</f>
        <v>0.764705882352941</v>
      </c>
      <c r="P232" s="41" t="n">
        <v>0</v>
      </c>
      <c r="Q232" s="37" t="str">
        <f aca="false">IF(P232="","",IF(P232=0,"Free","Paid"))</f>
        <v>Free</v>
      </c>
      <c r="R232" s="39" t="n">
        <v>5.2</v>
      </c>
      <c r="S232" s="37" t="n">
        <v>4</v>
      </c>
      <c r="T232" s="37" t="n">
        <v>7</v>
      </c>
      <c r="U232" s="39" t="n">
        <v>9.8</v>
      </c>
      <c r="V232" s="42" t="n">
        <f aca="false">IF(OR(U232="",M232="",M232=0),"",U232/(M232*7))</f>
        <v>0.358974358974359</v>
      </c>
      <c r="W232" s="37" t="s">
        <v>87</v>
      </c>
      <c r="X232" s="37"/>
      <c r="Y232" s="37"/>
    </row>
    <row r="233" customFormat="false" ht="15" hidden="false" customHeight="false" outlineLevel="0" collapsed="false">
      <c r="A233" s="37" t="s">
        <v>708</v>
      </c>
      <c r="B233" s="37"/>
      <c r="C233" s="37" t="str">
        <f aca="false">IF(B233="","",IF(B233&lt;18,"Under 18",IF(B233&lt;25,"18-24",IF(B233&lt;35,"25-34",IF(B233&lt;45,"35-44","45+")))))</f>
        <v/>
      </c>
      <c r="D233" s="37" t="s">
        <v>134</v>
      </c>
      <c r="E233" s="37" t="s">
        <v>66</v>
      </c>
      <c r="F233" s="37" t="s">
        <v>47</v>
      </c>
      <c r="G233" s="37" t="s">
        <v>139</v>
      </c>
      <c r="H233" s="37" t="s">
        <v>172</v>
      </c>
      <c r="I233" s="37" t="s">
        <v>96</v>
      </c>
      <c r="J233" s="38" t="n">
        <v>334</v>
      </c>
      <c r="K233" s="37" t="s">
        <v>25</v>
      </c>
      <c r="L233" s="37" t="s">
        <v>39</v>
      </c>
      <c r="M233" s="39" t="n">
        <v>4.1</v>
      </c>
      <c r="N233" s="39" t="n">
        <v>5.9</v>
      </c>
      <c r="O233" s="40" t="n">
        <f aca="false">IF(OR(M233="",N233=""),"",M233/N233)</f>
        <v>0.694915254237288</v>
      </c>
      <c r="P233" s="41" t="n">
        <v>20</v>
      </c>
      <c r="Q233" s="37" t="str">
        <f aca="false">IF(P233="","",IF(P233=0,"Free","Paid"))</f>
        <v>Paid</v>
      </c>
      <c r="R233" s="39" t="n">
        <v>5.2</v>
      </c>
      <c r="S233" s="37" t="n">
        <v>3</v>
      </c>
      <c r="T233" s="37" t="n">
        <v>7</v>
      </c>
      <c r="U233" s="39" t="n">
        <v>8.4</v>
      </c>
      <c r="V233" s="42" t="n">
        <f aca="false">IF(OR(U233="",M233="",M233=0),"",U233/(M233*7))</f>
        <v>0.292682926829268</v>
      </c>
      <c r="W233" s="37" t="s">
        <v>87</v>
      </c>
      <c r="X233" s="37"/>
      <c r="Y233" s="37" t="s">
        <v>709</v>
      </c>
    </row>
    <row r="234" customFormat="false" ht="15" hidden="false" customHeight="false" outlineLevel="0" collapsed="false">
      <c r="A234" s="37" t="s">
        <v>710</v>
      </c>
      <c r="B234" s="37" t="n">
        <v>22</v>
      </c>
      <c r="C234" s="37" t="str">
        <f aca="false">IF(B234="","",IF(B234&lt;18,"Under 18",IF(B234&lt;25,"18-24",IF(B234&lt;35,"25-34",IF(B234&lt;45,"35-44","45+")))))</f>
        <v>18-24</v>
      </c>
      <c r="D234" s="37" t="s">
        <v>134</v>
      </c>
      <c r="E234" s="37"/>
      <c r="F234" s="37" t="s">
        <v>47</v>
      </c>
      <c r="G234" s="37" t="s">
        <v>160</v>
      </c>
      <c r="H234" s="37" t="s">
        <v>143</v>
      </c>
      <c r="I234" s="37" t="s">
        <v>93</v>
      </c>
      <c r="J234" s="38" t="n">
        <v>158</v>
      </c>
      <c r="K234" s="37" t="s">
        <v>25</v>
      </c>
      <c r="L234" s="37" t="s">
        <v>37</v>
      </c>
      <c r="M234" s="39" t="n">
        <v>1.6</v>
      </c>
      <c r="N234" s="39" t="n">
        <v>8.4</v>
      </c>
      <c r="O234" s="40" t="n">
        <f aca="false">IF(OR(M234="",N234=""),"",M234/N234)</f>
        <v>0.19047619047619</v>
      </c>
      <c r="P234" s="41" t="n">
        <v>10</v>
      </c>
      <c r="Q234" s="37" t="str">
        <f aca="false">IF(P234="","",IF(P234=0,"Free","Paid"))</f>
        <v>Paid</v>
      </c>
      <c r="R234" s="39" t="n">
        <v>3.1</v>
      </c>
      <c r="S234" s="37" t="n">
        <v>4</v>
      </c>
      <c r="T234" s="37" t="n">
        <v>6</v>
      </c>
      <c r="U234" s="39" t="n">
        <v>5.9</v>
      </c>
      <c r="V234" s="42" t="n">
        <f aca="false">IF(OR(U234="",M234="",M234=0),"",U234/(M234*7))</f>
        <v>0.526785714285714</v>
      </c>
      <c r="W234" s="37" t="s">
        <v>87</v>
      </c>
      <c r="X234" s="37"/>
      <c r="Y234" s="37" t="s">
        <v>711</v>
      </c>
    </row>
    <row r="235" customFormat="false" ht="15" hidden="false" customHeight="false" outlineLevel="0" collapsed="false">
      <c r="A235" s="37" t="s">
        <v>712</v>
      </c>
      <c r="B235" s="37" t="n">
        <v>27</v>
      </c>
      <c r="C235" s="37" t="str">
        <f aca="false">IF(B235="","",IF(B235&lt;18,"Under 18",IF(B235&lt;25,"18-24",IF(B235&lt;35,"25-34",IF(B235&lt;45,"35-44","45+")))))</f>
        <v>25-34</v>
      </c>
      <c r="D235" s="37" t="s">
        <v>145</v>
      </c>
      <c r="E235" s="37" t="s">
        <v>64</v>
      </c>
      <c r="F235" s="37" t="s">
        <v>47</v>
      </c>
      <c r="G235" s="37" t="s">
        <v>149</v>
      </c>
      <c r="H235" s="37" t="s">
        <v>178</v>
      </c>
      <c r="I235" s="37" t="s">
        <v>93</v>
      </c>
      <c r="J235" s="38" t="n">
        <v>0</v>
      </c>
      <c r="K235" s="37" t="s">
        <v>27</v>
      </c>
      <c r="L235" s="37" t="s">
        <v>37</v>
      </c>
      <c r="M235" s="39" t="n">
        <v>4.9</v>
      </c>
      <c r="N235" s="39" t="n">
        <v>6</v>
      </c>
      <c r="O235" s="40" t="n">
        <f aca="false">IF(OR(M235="",N235=""),"",M235/N235)</f>
        <v>0.816666666666667</v>
      </c>
      <c r="P235" s="41" t="n">
        <v>20</v>
      </c>
      <c r="Q235" s="37" t="str">
        <f aca="false">IF(P235="","",IF(P235=0,"Free","Paid"))</f>
        <v>Paid</v>
      </c>
      <c r="R235" s="39" t="n">
        <v>5.8</v>
      </c>
      <c r="S235" s="37" t="n">
        <v>4</v>
      </c>
      <c r="T235" s="37" t="n">
        <v>7</v>
      </c>
      <c r="U235" s="39" t="n">
        <v>9</v>
      </c>
      <c r="V235" s="42" t="n">
        <f aca="false">IF(OR(U235="",M235="",M235=0),"",U235/(M235*7))</f>
        <v>0.262390670553936</v>
      </c>
      <c r="W235" s="37" t="s">
        <v>87</v>
      </c>
      <c r="X235" s="37"/>
      <c r="Y235" s="37" t="s">
        <v>713</v>
      </c>
    </row>
    <row r="236" customFormat="false" ht="15" hidden="false" customHeight="false" outlineLevel="0" collapsed="false">
      <c r="A236" s="37" t="s">
        <v>714</v>
      </c>
      <c r="B236" s="37" t="n">
        <v>18</v>
      </c>
      <c r="C236" s="37" t="str">
        <f aca="false">IF(B236="","",IF(B236&lt;18,"Under 18",IF(B236&lt;25,"18-24",IF(B236&lt;35,"25-34",IF(B236&lt;45,"35-44","45+")))))</f>
        <v>18-24</v>
      </c>
      <c r="D236" s="37" t="s">
        <v>134</v>
      </c>
      <c r="E236" s="37" t="s">
        <v>64</v>
      </c>
      <c r="F236" s="37" t="s">
        <v>47</v>
      </c>
      <c r="G236" s="37"/>
      <c r="H236" s="37" t="s">
        <v>221</v>
      </c>
      <c r="I236" s="37" t="s">
        <v>97</v>
      </c>
      <c r="J236" s="38" t="n">
        <v>56</v>
      </c>
      <c r="K236" s="37" t="s">
        <v>26</v>
      </c>
      <c r="L236" s="37" t="s">
        <v>39</v>
      </c>
      <c r="M236" s="39" t="n">
        <v>1.7</v>
      </c>
      <c r="N236" s="39" t="n">
        <v>4.3</v>
      </c>
      <c r="O236" s="40" t="n">
        <f aca="false">IF(OR(M236="",N236=""),"",M236/N236)</f>
        <v>0.395348837209302</v>
      </c>
      <c r="P236" s="41" t="n">
        <v>30</v>
      </c>
      <c r="Q236" s="37" t="str">
        <f aca="false">IF(P236="","",IF(P236=0,"Free","Paid"))</f>
        <v>Paid</v>
      </c>
      <c r="R236" s="39" t="n">
        <v>4.9</v>
      </c>
      <c r="S236" s="37" t="n">
        <v>3</v>
      </c>
      <c r="T236" s="37" t="n">
        <v>5</v>
      </c>
      <c r="U236" s="39" t="n">
        <v>1.9</v>
      </c>
      <c r="V236" s="42" t="n">
        <f aca="false">IF(OR(U236="",M236="",M236=0),"",U236/(M236*7))</f>
        <v>0.159663865546218</v>
      </c>
      <c r="W236" s="37" t="s">
        <v>87</v>
      </c>
      <c r="X236" s="37"/>
      <c r="Y236" s="37" t="s">
        <v>715</v>
      </c>
    </row>
    <row r="237" customFormat="false" ht="15" hidden="false" customHeight="false" outlineLevel="0" collapsed="false">
      <c r="A237" s="37" t="s">
        <v>716</v>
      </c>
      <c r="B237" s="37" t="n">
        <v>16</v>
      </c>
      <c r="C237" s="37" t="str">
        <f aca="false">IF(B237="","",IF(B237&lt;18,"Under 18",IF(B237&lt;25,"18-24",IF(B237&lt;35,"25-34",IF(B237&lt;45,"35-44","45+")))))</f>
        <v>Under 18</v>
      </c>
      <c r="D237" s="37" t="s">
        <v>145</v>
      </c>
      <c r="E237" s="37" t="s">
        <v>63</v>
      </c>
      <c r="F237" s="37" t="s">
        <v>47</v>
      </c>
      <c r="G237" s="37" t="s">
        <v>160</v>
      </c>
      <c r="H237" s="37" t="s">
        <v>336</v>
      </c>
      <c r="I237" s="37" t="s">
        <v>95</v>
      </c>
      <c r="J237" s="38" t="n">
        <v>118</v>
      </c>
      <c r="K237" s="37" t="s">
        <v>31</v>
      </c>
      <c r="L237" s="37" t="s">
        <v>40</v>
      </c>
      <c r="M237" s="39" t="n">
        <v>0.7</v>
      </c>
      <c r="N237" s="39" t="n">
        <v>5.9</v>
      </c>
      <c r="O237" s="40" t="n">
        <f aca="false">IF(OR(M237="",N237=""),"",M237/N237)</f>
        <v>0.11864406779661</v>
      </c>
      <c r="P237" s="41" t="n">
        <v>0</v>
      </c>
      <c r="Q237" s="37" t="str">
        <f aca="false">IF(P237="","",IF(P237=0,"Free","Paid"))</f>
        <v>Free</v>
      </c>
      <c r="R237" s="39" t="n">
        <v>4.5</v>
      </c>
      <c r="S237" s="37" t="n">
        <v>4</v>
      </c>
      <c r="T237" s="37" t="n">
        <v>7</v>
      </c>
      <c r="U237" s="39" t="n">
        <v>1</v>
      </c>
      <c r="V237" s="42" t="n">
        <f aca="false">IF(OR(U237="",M237="",M237=0),"",U237/(M237*7))</f>
        <v>0.204081632653061</v>
      </c>
      <c r="W237" s="37" t="s">
        <v>87</v>
      </c>
      <c r="X237" s="37"/>
      <c r="Y237" s="37" t="s">
        <v>717</v>
      </c>
    </row>
    <row r="238" customFormat="false" ht="15" hidden="false" customHeight="false" outlineLevel="0" collapsed="false">
      <c r="A238" s="37" t="s">
        <v>718</v>
      </c>
      <c r="B238" s="37" t="n">
        <v>18</v>
      </c>
      <c r="C238" s="37" t="str">
        <f aca="false">IF(B238="","",IF(B238&lt;18,"Under 18",IF(B238&lt;25,"18-24",IF(B238&lt;35,"25-34",IF(B238&lt;45,"35-44","45+")))))</f>
        <v>18-24</v>
      </c>
      <c r="D238" s="37" t="s">
        <v>145</v>
      </c>
      <c r="E238" s="37" t="s">
        <v>65</v>
      </c>
      <c r="F238" s="37" t="s">
        <v>47</v>
      </c>
      <c r="G238" s="37" t="s">
        <v>149</v>
      </c>
      <c r="H238" s="37" t="s">
        <v>598</v>
      </c>
      <c r="I238" s="37" t="s">
        <v>95</v>
      </c>
      <c r="J238" s="38" t="n">
        <v>80</v>
      </c>
      <c r="K238" s="37" t="s">
        <v>30</v>
      </c>
      <c r="L238" s="37" t="s">
        <v>40</v>
      </c>
      <c r="M238" s="39" t="n">
        <v>4.1</v>
      </c>
      <c r="N238" s="39" t="n">
        <v>5.8</v>
      </c>
      <c r="O238" s="40" t="n">
        <f aca="false">IF(OR(M238="",N238=""),"",M238/N238)</f>
        <v>0.706896551724138</v>
      </c>
      <c r="P238" s="41" t="n">
        <v>20</v>
      </c>
      <c r="Q238" s="37" t="str">
        <f aca="false">IF(P238="","",IF(P238=0,"Free","Paid"))</f>
        <v>Paid</v>
      </c>
      <c r="R238" s="39" t="n">
        <v>7</v>
      </c>
      <c r="S238" s="37" t="n">
        <v>5</v>
      </c>
      <c r="T238" s="37" t="n">
        <v>8</v>
      </c>
      <c r="U238" s="39" t="n">
        <v>10.5</v>
      </c>
      <c r="V238" s="42" t="n">
        <f aca="false">IF(OR(U238="",M238="",M238=0),"",U238/(M238*7))</f>
        <v>0.365853658536585</v>
      </c>
      <c r="W238" s="37" t="s">
        <v>87</v>
      </c>
      <c r="X238" s="37"/>
      <c r="Y238" s="37" t="s">
        <v>719</v>
      </c>
    </row>
    <row r="239" customFormat="false" ht="15" hidden="false" customHeight="false" outlineLevel="0" collapsed="false">
      <c r="A239" s="37" t="s">
        <v>720</v>
      </c>
      <c r="B239" s="37" t="n">
        <v>41</v>
      </c>
      <c r="C239" s="37" t="str">
        <f aca="false">IF(B239="","",IF(B239&lt;18,"Under 18",IF(B239&lt;25,"18-24",IF(B239&lt;35,"25-34",IF(B239&lt;45,"35-44","45+")))))</f>
        <v>35-44</v>
      </c>
      <c r="D239" s="37" t="s">
        <v>134</v>
      </c>
      <c r="E239" s="37" t="s">
        <v>62</v>
      </c>
      <c r="F239" s="37" t="s">
        <v>48</v>
      </c>
      <c r="G239" s="37" t="s">
        <v>195</v>
      </c>
      <c r="H239" s="37"/>
      <c r="I239" s="37"/>
      <c r="J239" s="38" t="n">
        <v>627</v>
      </c>
      <c r="K239" s="37" t="s">
        <v>30</v>
      </c>
      <c r="L239" s="37" t="s">
        <v>43</v>
      </c>
      <c r="M239" s="39" t="n">
        <v>0.7</v>
      </c>
      <c r="N239" s="39" t="n">
        <v>6.9</v>
      </c>
      <c r="O239" s="40" t="n">
        <f aca="false">IF(OR(M239="",N239=""),"",M239/N239)</f>
        <v>0.101449275362319</v>
      </c>
      <c r="P239" s="41" t="n">
        <v>0</v>
      </c>
      <c r="Q239" s="37" t="str">
        <f aca="false">IF(P239="","",IF(P239=0,"Free","Paid"))</f>
        <v>Free</v>
      </c>
      <c r="R239" s="39" t="n">
        <v>2.3</v>
      </c>
      <c r="S239" s="37" t="n">
        <v>4</v>
      </c>
      <c r="T239" s="37" t="n">
        <v>5</v>
      </c>
      <c r="U239" s="39" t="n">
        <v>3</v>
      </c>
      <c r="V239" s="42" t="n">
        <f aca="false">IF(OR(U239="",M239="",M239=0),"",U239/(M239*7))</f>
        <v>0.612244897959184</v>
      </c>
      <c r="W239" s="37" t="s">
        <v>87</v>
      </c>
      <c r="X239" s="37"/>
      <c r="Y239" s="37" t="s">
        <v>721</v>
      </c>
    </row>
    <row r="240" customFormat="false" ht="15" hidden="false" customHeight="false" outlineLevel="0" collapsed="false">
      <c r="A240" s="37" t="s">
        <v>722</v>
      </c>
      <c r="B240" s="37" t="n">
        <v>25</v>
      </c>
      <c r="C240" s="37" t="str">
        <f aca="false">IF(B240="","",IF(B240&lt;18,"Under 18",IF(B240&lt;25,"18-24",IF(B240&lt;35,"25-34",IF(B240&lt;45,"35-44","45+")))))</f>
        <v>25-34</v>
      </c>
      <c r="D240" s="37" t="s">
        <v>145</v>
      </c>
      <c r="E240" s="37" t="s">
        <v>65</v>
      </c>
      <c r="F240" s="37" t="s">
        <v>48</v>
      </c>
      <c r="G240" s="37" t="s">
        <v>139</v>
      </c>
      <c r="H240" s="37" t="s">
        <v>250</v>
      </c>
      <c r="I240" s="37" t="s">
        <v>92</v>
      </c>
      <c r="J240" s="38" t="n">
        <v>863</v>
      </c>
      <c r="K240" s="37" t="s">
        <v>30</v>
      </c>
      <c r="L240" s="37" t="s">
        <v>38</v>
      </c>
      <c r="M240" s="39" t="n">
        <v>1.8</v>
      </c>
      <c r="N240" s="39" t="n">
        <v>10.3</v>
      </c>
      <c r="O240" s="40" t="n">
        <f aca="false">IF(OR(M240="",N240=""),"",M240/N240)</f>
        <v>0.174757281553398</v>
      </c>
      <c r="P240" s="41"/>
      <c r="Q240" s="37" t="str">
        <f aca="false">IF(P240="","",IF(P240=0,"Free","Paid"))</f>
        <v/>
      </c>
      <c r="R240" s="39" t="n">
        <v>5.1</v>
      </c>
      <c r="S240" s="37" t="n">
        <v>4</v>
      </c>
      <c r="T240" s="37" t="n">
        <v>6</v>
      </c>
      <c r="U240" s="39" t="n">
        <v>2.7</v>
      </c>
      <c r="V240" s="42" t="n">
        <f aca="false">IF(OR(U240="",M240="",M240=0),"",U240/(M240*7))</f>
        <v>0.214285714285714</v>
      </c>
      <c r="W240" s="37" t="s">
        <v>88</v>
      </c>
      <c r="X240" s="37"/>
      <c r="Y240" s="37" t="s">
        <v>723</v>
      </c>
    </row>
    <row r="241" customFormat="false" ht="15" hidden="false" customHeight="false" outlineLevel="0" collapsed="false">
      <c r="A241" s="37" t="s">
        <v>724</v>
      </c>
      <c r="B241" s="37" t="n">
        <v>22</v>
      </c>
      <c r="C241" s="37" t="str">
        <f aca="false">IF(B241="","",IF(B241&lt;18,"Under 18",IF(B241&lt;25,"18-24",IF(B241&lt;35,"25-34",IF(B241&lt;45,"35-44","45+")))))</f>
        <v>18-24</v>
      </c>
      <c r="D241" s="37" t="s">
        <v>134</v>
      </c>
      <c r="E241" s="37" t="s">
        <v>64</v>
      </c>
      <c r="F241" s="37" t="s">
        <v>47</v>
      </c>
      <c r="G241" s="37" t="s">
        <v>160</v>
      </c>
      <c r="H241" s="37" t="s">
        <v>221</v>
      </c>
      <c r="I241" s="37" t="s">
        <v>97</v>
      </c>
      <c r="J241" s="38" t="n">
        <v>0</v>
      </c>
      <c r="K241" s="37" t="s">
        <v>26</v>
      </c>
      <c r="L241" s="37" t="s">
        <v>39</v>
      </c>
      <c r="M241" s="39" t="n">
        <v>2</v>
      </c>
      <c r="N241" s="39" t="n">
        <v>8.3</v>
      </c>
      <c r="O241" s="40" t="n">
        <f aca="false">IF(OR(M241="",N241=""),"",M241/N241)</f>
        <v>0.240963855421687</v>
      </c>
      <c r="P241" s="41" t="n">
        <v>0</v>
      </c>
      <c r="Q241" s="37" t="str">
        <f aca="false">IF(P241="","",IF(P241=0,"Free","Paid"))</f>
        <v>Free</v>
      </c>
      <c r="R241" s="39" t="n">
        <v>4.9</v>
      </c>
      <c r="S241" s="37"/>
      <c r="T241" s="37" t="n">
        <v>6</v>
      </c>
      <c r="U241" s="39" t="n">
        <v>4.3</v>
      </c>
      <c r="V241" s="42" t="n">
        <f aca="false">IF(OR(U241="",M241="",M241=0),"",U241/(M241*7))</f>
        <v>0.307142857142857</v>
      </c>
      <c r="W241" s="37" t="s">
        <v>89</v>
      </c>
      <c r="X241" s="37"/>
      <c r="Y241" s="37" t="s">
        <v>725</v>
      </c>
    </row>
    <row r="242" customFormat="false" ht="15" hidden="false" customHeight="false" outlineLevel="0" collapsed="false">
      <c r="A242" s="37" t="s">
        <v>726</v>
      </c>
      <c r="B242" s="37" t="n">
        <v>22</v>
      </c>
      <c r="C242" s="37" t="str">
        <f aca="false">IF(B242="","",IF(B242&lt;18,"Under 18",IF(B242&lt;25,"18-24",IF(B242&lt;35,"25-34",IF(B242&lt;45,"35-44","45+")))))</f>
        <v>18-24</v>
      </c>
      <c r="D242" s="37" t="s">
        <v>145</v>
      </c>
      <c r="E242" s="37" t="s">
        <v>62</v>
      </c>
      <c r="F242" s="37" t="s">
        <v>47</v>
      </c>
      <c r="G242" s="37" t="s">
        <v>135</v>
      </c>
      <c r="H242" s="37" t="s">
        <v>189</v>
      </c>
      <c r="I242" s="37" t="s">
        <v>92</v>
      </c>
      <c r="J242" s="38" t="n">
        <v>167</v>
      </c>
      <c r="K242" s="37" t="s">
        <v>25</v>
      </c>
      <c r="L242" s="37" t="s">
        <v>38</v>
      </c>
      <c r="M242" s="39" t="n">
        <v>8.6</v>
      </c>
      <c r="N242" s="39" t="n">
        <v>5.5</v>
      </c>
      <c r="O242" s="40" t="n">
        <f aca="false">IF(OR(M242="",N242=""),"",M242/N242)</f>
        <v>1.56363636363636</v>
      </c>
      <c r="P242" s="41" t="n">
        <v>0</v>
      </c>
      <c r="Q242" s="37" t="str">
        <f aca="false">IF(P242="","",IF(P242=0,"Free","Paid"))</f>
        <v>Free</v>
      </c>
      <c r="R242" s="39" t="n">
        <v>7.6</v>
      </c>
      <c r="S242" s="37"/>
      <c r="T242" s="37" t="n">
        <v>6</v>
      </c>
      <c r="U242" s="39" t="n">
        <v>17.7</v>
      </c>
      <c r="V242" s="42" t="n">
        <f aca="false">IF(OR(U242="",M242="",M242=0),"",U242/(M242*7))</f>
        <v>0.294019933554817</v>
      </c>
      <c r="W242" s="37" t="s">
        <v>89</v>
      </c>
      <c r="X242" s="37" t="s">
        <v>179</v>
      </c>
      <c r="Y242" s="37" t="s">
        <v>727</v>
      </c>
    </row>
    <row r="243" customFormat="false" ht="15" hidden="false" customHeight="false" outlineLevel="0" collapsed="false">
      <c r="A243" s="37" t="s">
        <v>728</v>
      </c>
      <c r="B243" s="37" t="n">
        <v>26</v>
      </c>
      <c r="C243" s="37" t="str">
        <f aca="false">IF(B243="","",IF(B243&lt;18,"Under 18",IF(B243&lt;25,"18-24",IF(B243&lt;35,"25-34",IF(B243&lt;45,"35-44","45+")))))</f>
        <v>25-34</v>
      </c>
      <c r="D243" s="37" t="s">
        <v>134</v>
      </c>
      <c r="E243" s="37" t="s">
        <v>67</v>
      </c>
      <c r="F243" s="37" t="s">
        <v>47</v>
      </c>
      <c r="G243" s="37" t="s">
        <v>149</v>
      </c>
      <c r="H243" s="37" t="s">
        <v>729</v>
      </c>
      <c r="I243" s="37" t="s">
        <v>92</v>
      </c>
      <c r="J243" s="38" t="n">
        <v>73</v>
      </c>
      <c r="K243" s="37" t="s">
        <v>25</v>
      </c>
      <c r="L243" s="37" t="s">
        <v>38</v>
      </c>
      <c r="M243" s="39"/>
      <c r="N243" s="39" t="n">
        <v>5.8</v>
      </c>
      <c r="O243" s="40" t="str">
        <f aca="false">IF(OR(M243="",N243=""),"",M243/N243)</f>
        <v/>
      </c>
      <c r="P243" s="41" t="n">
        <v>0</v>
      </c>
      <c r="Q243" s="37" t="str">
        <f aca="false">IF(P243="","",IF(P243=0,"Free","Paid"))</f>
        <v>Free</v>
      </c>
      <c r="R243" s="39" t="n">
        <v>3.4</v>
      </c>
      <c r="S243" s="37" t="n">
        <v>2</v>
      </c>
      <c r="T243" s="37" t="n">
        <v>4</v>
      </c>
      <c r="U243" s="39" t="n">
        <v>1.5</v>
      </c>
      <c r="V243" s="42" t="str">
        <f aca="false">IF(OR(U243="",M243="",M243=0),"",U243/(M243*7))</f>
        <v/>
      </c>
      <c r="W243" s="37" t="s">
        <v>87</v>
      </c>
      <c r="X243" s="37"/>
      <c r="Y243" s="37" t="s">
        <v>730</v>
      </c>
    </row>
    <row r="244" customFormat="false" ht="15" hidden="false" customHeight="false" outlineLevel="0" collapsed="false">
      <c r="A244" s="37" t="s">
        <v>731</v>
      </c>
      <c r="B244" s="37" t="n">
        <v>23</v>
      </c>
      <c r="C244" s="37" t="str">
        <f aca="false">IF(B244="","",IF(B244&lt;18,"Under 18",IF(B244&lt;25,"18-24",IF(B244&lt;35,"25-34",IF(B244&lt;45,"35-44","45+")))))</f>
        <v>18-24</v>
      </c>
      <c r="D244" s="37" t="s">
        <v>134</v>
      </c>
      <c r="E244" s="37" t="s">
        <v>62</v>
      </c>
      <c r="F244" s="37" t="s">
        <v>47</v>
      </c>
      <c r="G244" s="37" t="s">
        <v>149</v>
      </c>
      <c r="H244" s="37" t="s">
        <v>189</v>
      </c>
      <c r="I244" s="37" t="s">
        <v>92</v>
      </c>
      <c r="J244" s="38"/>
      <c r="K244" s="37" t="s">
        <v>25</v>
      </c>
      <c r="L244" s="37" t="s">
        <v>38</v>
      </c>
      <c r="M244" s="39" t="n">
        <v>9.7</v>
      </c>
      <c r="N244" s="39" t="n">
        <v>4.1</v>
      </c>
      <c r="O244" s="40" t="n">
        <f aca="false">IF(OR(M244="",N244=""),"",M244/N244)</f>
        <v>2.36585365853659</v>
      </c>
      <c r="P244" s="41" t="n">
        <v>0</v>
      </c>
      <c r="Q244" s="37" t="str">
        <f aca="false">IF(P244="","",IF(P244=0,"Free","Paid"))</f>
        <v>Free</v>
      </c>
      <c r="R244" s="39" t="n">
        <v>7.5</v>
      </c>
      <c r="S244" s="37" t="n">
        <v>4</v>
      </c>
      <c r="T244" s="37"/>
      <c r="U244" s="39" t="n">
        <v>17.2</v>
      </c>
      <c r="V244" s="42" t="n">
        <f aca="false">IF(OR(U244="",M244="",M244=0),"",U244/(M244*7))</f>
        <v>0.253313696612666</v>
      </c>
      <c r="W244" s="37" t="s">
        <v>87</v>
      </c>
      <c r="X244" s="37" t="s">
        <v>179</v>
      </c>
      <c r="Y244" s="37" t="s">
        <v>732</v>
      </c>
    </row>
    <row r="245" customFormat="false" ht="15" hidden="false" customHeight="false" outlineLevel="0" collapsed="false">
      <c r="A245" s="37" t="s">
        <v>733</v>
      </c>
      <c r="B245" s="37" t="n">
        <v>38</v>
      </c>
      <c r="C245" s="37" t="str">
        <f aca="false">IF(B245="","",IF(B245&lt;18,"Under 18",IF(B245&lt;25,"18-24",IF(B245&lt;35,"25-34",IF(B245&lt;45,"35-44","45+")))))</f>
        <v>35-44</v>
      </c>
      <c r="D245" s="37" t="s">
        <v>134</v>
      </c>
      <c r="E245" s="37" t="s">
        <v>62</v>
      </c>
      <c r="F245" s="37" t="s">
        <v>48</v>
      </c>
      <c r="G245" s="37" t="s">
        <v>135</v>
      </c>
      <c r="H245" s="37" t="s">
        <v>364</v>
      </c>
      <c r="I245" s="37" t="s">
        <v>92</v>
      </c>
      <c r="J245" s="38" t="n">
        <v>1114</v>
      </c>
      <c r="K245" s="37" t="s">
        <v>27</v>
      </c>
      <c r="L245" s="37" t="s">
        <v>38</v>
      </c>
      <c r="M245" s="39"/>
      <c r="N245" s="39" t="n">
        <v>7.9</v>
      </c>
      <c r="O245" s="40" t="str">
        <f aca="false">IF(OR(M245="",N245=""),"",M245/N245)</f>
        <v/>
      </c>
      <c r="P245" s="41" t="n">
        <v>30</v>
      </c>
      <c r="Q245" s="37" t="str">
        <f aca="false">IF(P245="","",IF(P245=0,"Free","Paid"))</f>
        <v>Paid</v>
      </c>
      <c r="R245" s="39" t="n">
        <v>3.8</v>
      </c>
      <c r="S245" s="37" t="n">
        <v>4</v>
      </c>
      <c r="T245" s="37" t="n">
        <v>7</v>
      </c>
      <c r="U245" s="39" t="n">
        <v>1.5</v>
      </c>
      <c r="V245" s="42" t="str">
        <f aca="false">IF(OR(U245="",M245="",M245=0),"",U245/(M245*7))</f>
        <v/>
      </c>
      <c r="W245" s="37" t="s">
        <v>87</v>
      </c>
      <c r="X245" s="37"/>
      <c r="Y245" s="37" t="s">
        <v>734</v>
      </c>
    </row>
    <row r="246" customFormat="false" ht="15" hidden="false" customHeight="false" outlineLevel="0" collapsed="false">
      <c r="A246" s="37" t="s">
        <v>735</v>
      </c>
      <c r="B246" s="37" t="n">
        <v>28</v>
      </c>
      <c r="C246" s="37" t="str">
        <f aca="false">IF(B246="","",IF(B246&lt;18,"Under 18",IF(B246&lt;25,"18-24",IF(B246&lt;35,"25-34",IF(B246&lt;45,"35-44","45+")))))</f>
        <v>25-34</v>
      </c>
      <c r="D246" s="37" t="s">
        <v>134</v>
      </c>
      <c r="E246" s="37" t="s">
        <v>66</v>
      </c>
      <c r="F246" s="37" t="s">
        <v>47</v>
      </c>
      <c r="G246" s="37" t="s">
        <v>149</v>
      </c>
      <c r="H246" s="37" t="s">
        <v>427</v>
      </c>
      <c r="I246" s="37" t="s">
        <v>94</v>
      </c>
      <c r="J246" s="38" t="n">
        <v>528</v>
      </c>
      <c r="K246" s="37" t="s">
        <v>29</v>
      </c>
      <c r="L246" s="37" t="s">
        <v>39</v>
      </c>
      <c r="M246" s="39" t="n">
        <v>1.5</v>
      </c>
      <c r="N246" s="39" t="n">
        <v>5.7</v>
      </c>
      <c r="O246" s="40" t="n">
        <f aca="false">IF(OR(M246="",N246=""),"",M246/N246)</f>
        <v>0.263157894736842</v>
      </c>
      <c r="P246" s="41" t="n">
        <v>10</v>
      </c>
      <c r="Q246" s="37" t="str">
        <f aca="false">IF(P246="","",IF(P246=0,"Free","Paid"))</f>
        <v>Paid</v>
      </c>
      <c r="R246" s="39"/>
      <c r="S246" s="37" t="n">
        <v>3</v>
      </c>
      <c r="T246" s="37" t="n">
        <v>5</v>
      </c>
      <c r="U246" s="39" t="n">
        <v>5.5</v>
      </c>
      <c r="V246" s="42" t="n">
        <f aca="false">IF(OR(U246="",M246="",M246=0),"",U246/(M246*7))</f>
        <v>0.523809523809524</v>
      </c>
      <c r="W246" s="37" t="s">
        <v>87</v>
      </c>
      <c r="X246" s="37"/>
      <c r="Y246" s="37" t="s">
        <v>736</v>
      </c>
    </row>
    <row r="247" customFormat="false" ht="15" hidden="false" customHeight="false" outlineLevel="0" collapsed="false">
      <c r="A247" s="37" t="s">
        <v>737</v>
      </c>
      <c r="B247" s="37" t="n">
        <v>32</v>
      </c>
      <c r="C247" s="37" t="str">
        <f aca="false">IF(B247="","",IF(B247&lt;18,"Under 18",IF(B247&lt;25,"18-24",IF(B247&lt;35,"25-34",IF(B247&lt;45,"35-44","45+")))))</f>
        <v>25-34</v>
      </c>
      <c r="D247" s="37" t="s">
        <v>145</v>
      </c>
      <c r="E247" s="37" t="s">
        <v>69</v>
      </c>
      <c r="F247" s="37" t="s">
        <v>47</v>
      </c>
      <c r="G247" s="37" t="s">
        <v>135</v>
      </c>
      <c r="H247" s="37" t="s">
        <v>464</v>
      </c>
      <c r="I247" s="37" t="s">
        <v>92</v>
      </c>
      <c r="J247" s="38" t="n">
        <v>524</v>
      </c>
      <c r="K247" s="37" t="s">
        <v>25</v>
      </c>
      <c r="L247" s="37" t="s">
        <v>38</v>
      </c>
      <c r="M247" s="39" t="n">
        <v>7.2</v>
      </c>
      <c r="N247" s="39" t="n">
        <v>6.5</v>
      </c>
      <c r="O247" s="40" t="n">
        <f aca="false">IF(OR(M247="",N247=""),"",M247/N247)</f>
        <v>1.10769230769231</v>
      </c>
      <c r="P247" s="41" t="n">
        <v>100</v>
      </c>
      <c r="Q247" s="37" t="str">
        <f aca="false">IF(P247="","",IF(P247=0,"Free","Paid"))</f>
        <v>Paid</v>
      </c>
      <c r="R247" s="39" t="n">
        <v>9.4</v>
      </c>
      <c r="S247" s="37" t="n">
        <v>3</v>
      </c>
      <c r="T247" s="37" t="n">
        <v>8</v>
      </c>
      <c r="U247" s="39" t="n">
        <v>11.7</v>
      </c>
      <c r="V247" s="42" t="n">
        <f aca="false">IF(OR(U247="",M247="",M247=0),"",U247/(M247*7))</f>
        <v>0.232142857142857</v>
      </c>
      <c r="W247" s="37" t="s">
        <v>87</v>
      </c>
      <c r="X247" s="37" t="s">
        <v>179</v>
      </c>
      <c r="Y247" s="37" t="s">
        <v>738</v>
      </c>
    </row>
    <row r="248" customFormat="false" ht="15" hidden="false" customHeight="false" outlineLevel="0" collapsed="false">
      <c r="A248" s="37" t="s">
        <v>739</v>
      </c>
      <c r="B248" s="37" t="n">
        <v>18</v>
      </c>
      <c r="C248" s="37" t="str">
        <f aca="false">IF(B248="","",IF(B248&lt;18,"Under 18",IF(B248&lt;25,"18-24",IF(B248&lt;35,"25-34",IF(B248&lt;45,"35-44","45+")))))</f>
        <v>18-24</v>
      </c>
      <c r="D248" s="37" t="s">
        <v>134</v>
      </c>
      <c r="E248" s="37" t="s">
        <v>68</v>
      </c>
      <c r="F248" s="37" t="s">
        <v>47</v>
      </c>
      <c r="G248" s="37" t="s">
        <v>149</v>
      </c>
      <c r="H248" s="37" t="s">
        <v>236</v>
      </c>
      <c r="I248" s="37" t="s">
        <v>93</v>
      </c>
      <c r="J248" s="38" t="n">
        <v>0</v>
      </c>
      <c r="K248" s="37" t="s">
        <v>30</v>
      </c>
      <c r="L248" s="37" t="s">
        <v>39</v>
      </c>
      <c r="M248" s="39" t="n">
        <v>0.9</v>
      </c>
      <c r="N248" s="39" t="n">
        <v>6.1</v>
      </c>
      <c r="O248" s="40" t="n">
        <f aca="false">IF(OR(M248="",N248=""),"",M248/N248)</f>
        <v>0.147540983606557</v>
      </c>
      <c r="P248" s="41"/>
      <c r="Q248" s="37" t="str">
        <f aca="false">IF(P248="","",IF(P248=0,"Free","Paid"))</f>
        <v/>
      </c>
      <c r="R248" s="39" t="n">
        <v>4.9</v>
      </c>
      <c r="S248" s="37" t="n">
        <v>4</v>
      </c>
      <c r="T248" s="37" t="n">
        <v>6</v>
      </c>
      <c r="U248" s="39" t="n">
        <v>2.5</v>
      </c>
      <c r="V248" s="42" t="n">
        <f aca="false">IF(OR(U248="",M248="",M248=0),"",U248/(M248*7))</f>
        <v>0.396825396825397</v>
      </c>
      <c r="W248" s="37" t="s">
        <v>89</v>
      </c>
      <c r="X248" s="37"/>
      <c r="Y248" s="37" t="s">
        <v>740</v>
      </c>
    </row>
    <row r="249" customFormat="false" ht="15" hidden="false" customHeight="false" outlineLevel="0" collapsed="false">
      <c r="A249" s="37" t="s">
        <v>741</v>
      </c>
      <c r="B249" s="37" t="n">
        <v>39</v>
      </c>
      <c r="C249" s="37" t="str">
        <f aca="false">IF(B249="","",IF(B249&lt;18,"Under 18",IF(B249&lt;25,"18-24",IF(B249&lt;35,"25-34",IF(B249&lt;45,"35-44","45+")))))</f>
        <v>35-44</v>
      </c>
      <c r="D249" s="37" t="s">
        <v>145</v>
      </c>
      <c r="E249" s="37" t="s">
        <v>65</v>
      </c>
      <c r="F249" s="37" t="s">
        <v>48</v>
      </c>
      <c r="G249" s="37" t="s">
        <v>139</v>
      </c>
      <c r="H249" s="37" t="s">
        <v>742</v>
      </c>
      <c r="I249" s="37" t="s">
        <v>43</v>
      </c>
      <c r="J249" s="38" t="n">
        <v>915</v>
      </c>
      <c r="K249" s="37" t="s">
        <v>25</v>
      </c>
      <c r="L249" s="37" t="s">
        <v>43</v>
      </c>
      <c r="M249" s="39" t="n">
        <v>6</v>
      </c>
      <c r="N249" s="39" t="n">
        <v>6.6</v>
      </c>
      <c r="O249" s="40" t="n">
        <f aca="false">IF(OR(M249="",N249=""),"",M249/N249)</f>
        <v>0.909090909090909</v>
      </c>
      <c r="P249" s="41" t="n">
        <v>0</v>
      </c>
      <c r="Q249" s="37" t="str">
        <f aca="false">IF(P249="","",IF(P249=0,"Free","Paid"))</f>
        <v>Free</v>
      </c>
      <c r="R249" s="39" t="n">
        <v>10</v>
      </c>
      <c r="S249" s="37" t="n">
        <v>2</v>
      </c>
      <c r="T249" s="37" t="n">
        <v>8</v>
      </c>
      <c r="U249" s="39"/>
      <c r="V249" s="42" t="str">
        <f aca="false">IF(OR(U249="",M249="",M249=0),"",U249/(M249*7))</f>
        <v/>
      </c>
      <c r="W249" s="37" t="s">
        <v>87</v>
      </c>
      <c r="X249" s="37"/>
      <c r="Y249" s="37" t="s">
        <v>743</v>
      </c>
    </row>
    <row r="250" customFormat="false" ht="15" hidden="false" customHeight="false" outlineLevel="0" collapsed="false">
      <c r="A250" s="37" t="s">
        <v>744</v>
      </c>
      <c r="B250" s="37" t="n">
        <v>39</v>
      </c>
      <c r="C250" s="37" t="str">
        <f aca="false">IF(B250="","",IF(B250&lt;18,"Under 18",IF(B250&lt;25,"18-24",IF(B250&lt;35,"25-34",IF(B250&lt;45,"35-44","45+")))))</f>
        <v>35-44</v>
      </c>
      <c r="D250" s="37" t="s">
        <v>134</v>
      </c>
      <c r="E250" s="37" t="s">
        <v>62</v>
      </c>
      <c r="F250" s="37" t="s">
        <v>48</v>
      </c>
      <c r="G250" s="37" t="s">
        <v>195</v>
      </c>
      <c r="H250" s="37" t="s">
        <v>745</v>
      </c>
      <c r="I250" s="37" t="s">
        <v>43</v>
      </c>
      <c r="J250" s="38" t="n">
        <v>483</v>
      </c>
      <c r="K250" s="37" t="s">
        <v>32</v>
      </c>
      <c r="L250" s="37" t="s">
        <v>43</v>
      </c>
      <c r="M250" s="39" t="n">
        <v>0.6</v>
      </c>
      <c r="N250" s="39" t="n">
        <v>7.1</v>
      </c>
      <c r="O250" s="40" t="n">
        <f aca="false">IF(OR(M250="",N250=""),"",M250/N250)</f>
        <v>0.0845070422535211</v>
      </c>
      <c r="P250" s="41" t="n">
        <v>25</v>
      </c>
      <c r="Q250" s="37" t="str">
        <f aca="false">IF(P250="","",IF(P250=0,"Free","Paid"))</f>
        <v>Paid</v>
      </c>
      <c r="R250" s="39" t="n">
        <v>4.9</v>
      </c>
      <c r="S250" s="37" t="n">
        <v>4</v>
      </c>
      <c r="T250" s="37" t="n">
        <v>6</v>
      </c>
      <c r="U250" s="39" t="n">
        <v>4</v>
      </c>
      <c r="V250" s="42" t="n">
        <f aca="false">IF(OR(U250="",M250="",M250=0),"",U250/(M250*7))</f>
        <v>0.952380952380952</v>
      </c>
      <c r="W250" s="37" t="s">
        <v>87</v>
      </c>
      <c r="X250" s="37"/>
      <c r="Y250" s="37" t="s">
        <v>746</v>
      </c>
    </row>
    <row r="251" customFormat="false" ht="15" hidden="false" customHeight="false" outlineLevel="0" collapsed="false">
      <c r="A251" s="37" t="s">
        <v>747</v>
      </c>
      <c r="B251" s="37" t="n">
        <v>41</v>
      </c>
      <c r="C251" s="37" t="str">
        <f aca="false">IF(B251="","",IF(B251&lt;18,"Under 18",IF(B251&lt;25,"18-24",IF(B251&lt;35,"25-34",IF(B251&lt;45,"35-44","45+")))))</f>
        <v>35-44</v>
      </c>
      <c r="D251" s="37" t="s">
        <v>134</v>
      </c>
      <c r="E251" s="37" t="s">
        <v>71</v>
      </c>
      <c r="F251" s="37" t="s">
        <v>48</v>
      </c>
      <c r="G251" s="37" t="s">
        <v>195</v>
      </c>
      <c r="H251" s="37" t="s">
        <v>748</v>
      </c>
      <c r="I251" s="37" t="s">
        <v>93</v>
      </c>
      <c r="J251" s="38" t="n">
        <v>3795</v>
      </c>
      <c r="K251" s="37" t="s">
        <v>27</v>
      </c>
      <c r="L251" s="37" t="s">
        <v>37</v>
      </c>
      <c r="M251" s="39" t="n">
        <v>2.9</v>
      </c>
      <c r="N251" s="39" t="n">
        <v>6.8</v>
      </c>
      <c r="O251" s="40" t="n">
        <f aca="false">IF(OR(M251="",N251=""),"",M251/N251)</f>
        <v>0.426470588235294</v>
      </c>
      <c r="P251" s="41" t="n">
        <v>20</v>
      </c>
      <c r="Q251" s="37" t="str">
        <f aca="false">IF(P251="","",IF(P251=0,"Free","Paid"))</f>
        <v>Paid</v>
      </c>
      <c r="R251" s="39" t="n">
        <v>7.8</v>
      </c>
      <c r="S251" s="37" t="n">
        <v>4</v>
      </c>
      <c r="T251" s="37" t="n">
        <v>6</v>
      </c>
      <c r="U251" s="39" t="n">
        <v>8.4</v>
      </c>
      <c r="V251" s="42" t="n">
        <f aca="false">IF(OR(U251="",M251="",M251=0),"",U251/(M251*7))</f>
        <v>0.413793103448276</v>
      </c>
      <c r="W251" s="37" t="s">
        <v>87</v>
      </c>
      <c r="X251" s="37"/>
      <c r="Y251" s="37" t="s">
        <v>749</v>
      </c>
    </row>
    <row r="252" customFormat="false" ht="15" hidden="false" customHeight="false" outlineLevel="0" collapsed="false">
      <c r="A252" s="37" t="s">
        <v>750</v>
      </c>
      <c r="B252" s="37" t="n">
        <v>23</v>
      </c>
      <c r="C252" s="37" t="str">
        <f aca="false">IF(B252="","",IF(B252&lt;18,"Under 18",IF(B252&lt;25,"18-24",IF(B252&lt;35,"25-34",IF(B252&lt;45,"35-44","45+")))))</f>
        <v>18-24</v>
      </c>
      <c r="D252" s="37" t="s">
        <v>145</v>
      </c>
      <c r="E252" s="37" t="s">
        <v>71</v>
      </c>
      <c r="F252" s="37" t="s">
        <v>48</v>
      </c>
      <c r="G252" s="37" t="s">
        <v>135</v>
      </c>
      <c r="H252" s="37" t="s">
        <v>751</v>
      </c>
      <c r="I252" s="37" t="s">
        <v>97</v>
      </c>
      <c r="J252" s="38" t="n">
        <v>5976</v>
      </c>
      <c r="K252" s="37" t="s">
        <v>25</v>
      </c>
      <c r="L252" s="37" t="s">
        <v>44</v>
      </c>
      <c r="M252" s="39" t="n">
        <v>2</v>
      </c>
      <c r="N252" s="39" t="n">
        <v>6.6</v>
      </c>
      <c r="O252" s="40" t="n">
        <f aca="false">IF(OR(M252="",N252=""),"",M252/N252)</f>
        <v>0.303030303030303</v>
      </c>
      <c r="P252" s="41" t="n">
        <v>0</v>
      </c>
      <c r="Q252" s="37" t="str">
        <f aca="false">IF(P252="","",IF(P252=0,"Free","Paid"))</f>
        <v>Free</v>
      </c>
      <c r="R252" s="39" t="n">
        <v>5</v>
      </c>
      <c r="S252" s="37" t="n">
        <v>2</v>
      </c>
      <c r="T252" s="37" t="n">
        <v>5</v>
      </c>
      <c r="U252" s="39" t="n">
        <v>5.8</v>
      </c>
      <c r="V252" s="42" t="n">
        <f aca="false">IF(OR(U252="",M252="",M252=0),"",U252/(M252*7))</f>
        <v>0.414285714285714</v>
      </c>
      <c r="W252" s="37" t="s">
        <v>88</v>
      </c>
      <c r="X252" s="37"/>
      <c r="Y252" s="37" t="s">
        <v>752</v>
      </c>
    </row>
    <row r="253" customFormat="false" ht="15" hidden="false" customHeight="false" outlineLevel="0" collapsed="false">
      <c r="A253" s="37" t="s">
        <v>753</v>
      </c>
      <c r="B253" s="37" t="n">
        <v>35</v>
      </c>
      <c r="C253" s="37" t="str">
        <f aca="false">IF(B253="","",IF(B253&lt;18,"Under 18",IF(B253&lt;25,"18-24",IF(B253&lt;35,"25-34",IF(B253&lt;45,"35-44","45+")))))</f>
        <v>35-44</v>
      </c>
      <c r="D253" s="37" t="s">
        <v>134</v>
      </c>
      <c r="E253" s="37" t="s">
        <v>66</v>
      </c>
      <c r="F253" s="37" t="s">
        <v>48</v>
      </c>
      <c r="G253" s="37" t="s">
        <v>139</v>
      </c>
      <c r="H253" s="37" t="s">
        <v>136</v>
      </c>
      <c r="I253" s="37" t="s">
        <v>94</v>
      </c>
      <c r="J253" s="38" t="n">
        <v>3513</v>
      </c>
      <c r="K253" s="37" t="s">
        <v>29</v>
      </c>
      <c r="L253" s="37" t="s">
        <v>42</v>
      </c>
      <c r="M253" s="39" t="n">
        <v>1.5</v>
      </c>
      <c r="N253" s="39" t="n">
        <v>8</v>
      </c>
      <c r="O253" s="40" t="n">
        <f aca="false">IF(OR(M253="",N253=""),"",M253/N253)</f>
        <v>0.1875</v>
      </c>
      <c r="P253" s="41" t="n">
        <v>0</v>
      </c>
      <c r="Q253" s="37" t="str">
        <f aca="false">IF(P253="","",IF(P253=0,"Free","Paid"))</f>
        <v>Free</v>
      </c>
      <c r="R253" s="39"/>
      <c r="S253" s="37" t="n">
        <v>4</v>
      </c>
      <c r="T253" s="37" t="n">
        <v>7</v>
      </c>
      <c r="U253" s="39" t="n">
        <v>1.9</v>
      </c>
      <c r="V253" s="42" t="n">
        <f aca="false">IF(OR(U253="",M253="",M253=0),"",U253/(M253*7))</f>
        <v>0.180952380952381</v>
      </c>
      <c r="W253" s="37" t="s">
        <v>87</v>
      </c>
      <c r="X253" s="37"/>
      <c r="Y253" s="37" t="s">
        <v>754</v>
      </c>
    </row>
    <row r="254" customFormat="false" ht="15" hidden="false" customHeight="false" outlineLevel="0" collapsed="false">
      <c r="A254" s="37" t="s">
        <v>755</v>
      </c>
      <c r="B254" s="37" t="n">
        <v>32</v>
      </c>
      <c r="C254" s="37" t="str">
        <f aca="false">IF(B254="","",IF(B254&lt;18,"Under 18",IF(B254&lt;25,"18-24",IF(B254&lt;35,"25-34",IF(B254&lt;45,"35-44","45+")))))</f>
        <v>25-34</v>
      </c>
      <c r="D254" s="37" t="s">
        <v>145</v>
      </c>
      <c r="E254" s="37" t="s">
        <v>62</v>
      </c>
      <c r="F254" s="37" t="s">
        <v>47</v>
      </c>
      <c r="G254" s="37" t="s">
        <v>139</v>
      </c>
      <c r="H254" s="37" t="s">
        <v>329</v>
      </c>
      <c r="I254" s="37" t="s">
        <v>95</v>
      </c>
      <c r="J254" s="38" t="n">
        <v>110</v>
      </c>
      <c r="K254" s="37" t="s">
        <v>25</v>
      </c>
      <c r="L254" s="37" t="s">
        <v>40</v>
      </c>
      <c r="M254" s="39" t="n">
        <v>3.3</v>
      </c>
      <c r="N254" s="39" t="n">
        <v>8.2</v>
      </c>
      <c r="O254" s="40" t="n">
        <f aca="false">IF(OR(M254="",N254=""),"",M254/N254)</f>
        <v>0.402439024390244</v>
      </c>
      <c r="P254" s="41" t="n">
        <v>0</v>
      </c>
      <c r="Q254" s="37" t="str">
        <f aca="false">IF(P254="","",IF(P254=0,"Free","Paid"))</f>
        <v>Free</v>
      </c>
      <c r="R254" s="39" t="n">
        <v>6.3</v>
      </c>
      <c r="S254" s="37" t="n">
        <v>5</v>
      </c>
      <c r="T254" s="37" t="n">
        <v>10</v>
      </c>
      <c r="U254" s="39" t="n">
        <v>5.9</v>
      </c>
      <c r="V254" s="42" t="n">
        <f aca="false">IF(OR(U254="",M254="",M254=0),"",U254/(M254*7))</f>
        <v>0.255411255411256</v>
      </c>
      <c r="W254" s="37" t="s">
        <v>87</v>
      </c>
      <c r="X254" s="37"/>
      <c r="Y254" s="37"/>
    </row>
    <row r="255" customFormat="false" ht="15" hidden="false" customHeight="false" outlineLevel="0" collapsed="false">
      <c r="A255" s="37" t="s">
        <v>756</v>
      </c>
      <c r="B255" s="37" t="n">
        <v>49</v>
      </c>
      <c r="C255" s="37" t="str">
        <f aca="false">IF(B255="","",IF(B255&lt;18,"Under 18",IF(B255&lt;25,"18-24",IF(B255&lt;35,"25-34",IF(B255&lt;45,"35-44","45+")))))</f>
        <v>45+</v>
      </c>
      <c r="D255" s="37" t="s">
        <v>134</v>
      </c>
      <c r="E255" s="37" t="s">
        <v>63</v>
      </c>
      <c r="F255" s="37" t="s">
        <v>48</v>
      </c>
      <c r="G255" s="37" t="s">
        <v>195</v>
      </c>
      <c r="H255" s="37" t="s">
        <v>757</v>
      </c>
      <c r="I255" s="37" t="s">
        <v>43</v>
      </c>
      <c r="J255" s="38" t="n">
        <v>2690</v>
      </c>
      <c r="K255" s="37" t="s">
        <v>32</v>
      </c>
      <c r="L255" s="37" t="s">
        <v>37</v>
      </c>
      <c r="M255" s="39" t="n">
        <v>0.6</v>
      </c>
      <c r="N255" s="39" t="n">
        <v>6.5</v>
      </c>
      <c r="O255" s="40" t="n">
        <f aca="false">IF(OR(M255="",N255=""),"",M255/N255)</f>
        <v>0.0923076923076923</v>
      </c>
      <c r="P255" s="41" t="n">
        <v>10</v>
      </c>
      <c r="Q255" s="37" t="str">
        <f aca="false">IF(P255="","",IF(P255=0,"Free","Paid"))</f>
        <v>Paid</v>
      </c>
      <c r="R255" s="39" t="n">
        <v>1.6</v>
      </c>
      <c r="S255" s="37"/>
      <c r="T255" s="37" t="n">
        <v>3</v>
      </c>
      <c r="U255" s="39" t="n">
        <v>2.2</v>
      </c>
      <c r="V255" s="42" t="n">
        <f aca="false">IF(OR(U255="",M255="",M255=0),"",U255/(M255*7))</f>
        <v>0.523809523809524</v>
      </c>
      <c r="W255" s="37" t="s">
        <v>89</v>
      </c>
      <c r="X255" s="37"/>
      <c r="Y255" s="37" t="s">
        <v>758</v>
      </c>
    </row>
    <row r="256" customFormat="false" ht="15" hidden="false" customHeight="false" outlineLevel="0" collapsed="false">
      <c r="A256" s="37" t="s">
        <v>759</v>
      </c>
      <c r="B256" s="37"/>
      <c r="C256" s="37" t="str">
        <f aca="false">IF(B256="","",IF(B256&lt;18,"Under 18",IF(B256&lt;25,"18-24",IF(B256&lt;35,"25-34",IF(B256&lt;45,"35-44","45+")))))</f>
        <v/>
      </c>
      <c r="D256" s="37" t="s">
        <v>134</v>
      </c>
      <c r="E256" s="37" t="s">
        <v>66</v>
      </c>
      <c r="F256" s="37" t="s">
        <v>48</v>
      </c>
      <c r="G256" s="37" t="s">
        <v>139</v>
      </c>
      <c r="H256" s="37"/>
      <c r="I256" s="37"/>
      <c r="J256" s="38" t="n">
        <v>4102</v>
      </c>
      <c r="K256" s="37" t="s">
        <v>26</v>
      </c>
      <c r="L256" s="37" t="s">
        <v>41</v>
      </c>
      <c r="M256" s="39" t="n">
        <v>2.5</v>
      </c>
      <c r="N256" s="39" t="n">
        <v>7.5</v>
      </c>
      <c r="O256" s="40" t="n">
        <f aca="false">IF(OR(M256="",N256=""),"",M256/N256)</f>
        <v>0.333333333333333</v>
      </c>
      <c r="P256" s="41" t="n">
        <v>10</v>
      </c>
      <c r="Q256" s="37" t="str">
        <f aca="false">IF(P256="","",IF(P256=0,"Free","Paid"))</f>
        <v>Paid</v>
      </c>
      <c r="R256" s="39" t="n">
        <v>6.1</v>
      </c>
      <c r="S256" s="37" t="n">
        <v>5</v>
      </c>
      <c r="T256" s="37" t="n">
        <v>7</v>
      </c>
      <c r="U256" s="39" t="n">
        <v>5.6</v>
      </c>
      <c r="V256" s="42" t="n">
        <f aca="false">IF(OR(U256="",M256="",M256=0),"",U256/(M256*7))</f>
        <v>0.32</v>
      </c>
      <c r="W256" s="37" t="s">
        <v>87</v>
      </c>
      <c r="X256" s="37"/>
      <c r="Y256" s="37" t="s">
        <v>760</v>
      </c>
    </row>
    <row r="257" customFormat="false" ht="15" hidden="false" customHeight="false" outlineLevel="0" collapsed="false">
      <c r="A257" s="37" t="s">
        <v>761</v>
      </c>
      <c r="B257" s="37"/>
      <c r="C257" s="37" t="str">
        <f aca="false">IF(B257="","",IF(B257&lt;18,"Under 18",IF(B257&lt;25,"18-24",IF(B257&lt;35,"25-34",IF(B257&lt;45,"35-44","45+")))))</f>
        <v/>
      </c>
      <c r="D257" s="37" t="s">
        <v>278</v>
      </c>
      <c r="E257" s="37" t="s">
        <v>63</v>
      </c>
      <c r="F257" s="37" t="s">
        <v>47</v>
      </c>
      <c r="G257" s="37" t="s">
        <v>139</v>
      </c>
      <c r="H257" s="37" t="s">
        <v>189</v>
      </c>
      <c r="I257" s="37" t="s">
        <v>92</v>
      </c>
      <c r="J257" s="38" t="n">
        <v>390</v>
      </c>
      <c r="K257" s="37" t="s">
        <v>32</v>
      </c>
      <c r="L257" s="37" t="s">
        <v>38</v>
      </c>
      <c r="M257" s="39" t="n">
        <v>7.9</v>
      </c>
      <c r="N257" s="39" t="n">
        <v>6</v>
      </c>
      <c r="O257" s="40" t="n">
        <f aca="false">IF(OR(M257="",N257=""),"",M257/N257)</f>
        <v>1.31666666666667</v>
      </c>
      <c r="P257" s="41" t="n">
        <v>0</v>
      </c>
      <c r="Q257" s="37" t="str">
        <f aca="false">IF(P257="","",IF(P257=0,"Free","Paid"))</f>
        <v>Free</v>
      </c>
      <c r="R257" s="39" t="n">
        <v>8.9</v>
      </c>
      <c r="S257" s="37" t="n">
        <v>4</v>
      </c>
      <c r="T257" s="37" t="n">
        <v>9</v>
      </c>
      <c r="U257" s="39" t="n">
        <v>14.2</v>
      </c>
      <c r="V257" s="42" t="n">
        <f aca="false">IF(OR(U257="",M257="",M257=0),"",U257/(M257*7))</f>
        <v>0.256781193490054</v>
      </c>
      <c r="W257" s="37" t="s">
        <v>87</v>
      </c>
      <c r="X257" s="37" t="s">
        <v>179</v>
      </c>
      <c r="Y257" s="37" t="s">
        <v>762</v>
      </c>
    </row>
    <row r="258" customFormat="false" ht="15" hidden="false" customHeight="false" outlineLevel="0" collapsed="false">
      <c r="A258" s="37" t="s">
        <v>763</v>
      </c>
      <c r="B258" s="37" t="n">
        <v>23</v>
      </c>
      <c r="C258" s="37" t="str">
        <f aca="false">IF(B258="","",IF(B258&lt;18,"Under 18",IF(B258&lt;25,"18-24",IF(B258&lt;35,"25-34",IF(B258&lt;45,"35-44","45+")))))</f>
        <v>18-24</v>
      </c>
      <c r="D258" s="37" t="s">
        <v>145</v>
      </c>
      <c r="E258" s="37" t="s">
        <v>66</v>
      </c>
      <c r="F258" s="37" t="s">
        <v>47</v>
      </c>
      <c r="G258" s="37" t="s">
        <v>139</v>
      </c>
      <c r="H258" s="37" t="s">
        <v>143</v>
      </c>
      <c r="I258" s="37" t="s">
        <v>93</v>
      </c>
      <c r="J258" s="38" t="n">
        <v>312</v>
      </c>
      <c r="K258" s="37" t="s">
        <v>27</v>
      </c>
      <c r="L258" s="37" t="s">
        <v>37</v>
      </c>
      <c r="M258" s="39" t="n">
        <v>0.7</v>
      </c>
      <c r="N258" s="39" t="n">
        <v>4.1</v>
      </c>
      <c r="O258" s="40" t="n">
        <f aca="false">IF(OR(M258="",N258=""),"",M258/N258)</f>
        <v>0.170731707317073</v>
      </c>
      <c r="P258" s="41" t="n">
        <v>0</v>
      </c>
      <c r="Q258" s="37" t="str">
        <f aca="false">IF(P258="","",IF(P258=0,"Free","Paid"))</f>
        <v>Free</v>
      </c>
      <c r="R258" s="39" t="n">
        <v>5.1</v>
      </c>
      <c r="S258" s="37" t="n">
        <v>4</v>
      </c>
      <c r="T258" s="37" t="n">
        <v>6</v>
      </c>
      <c r="U258" s="39" t="n">
        <v>4.8</v>
      </c>
      <c r="V258" s="42" t="n">
        <f aca="false">IF(OR(U258="",M258="",M258=0),"",U258/(M258*7))</f>
        <v>0.979591836734694</v>
      </c>
      <c r="W258" s="37" t="s">
        <v>89</v>
      </c>
      <c r="X258" s="37"/>
      <c r="Y258" s="37" t="s">
        <v>764</v>
      </c>
    </row>
    <row r="259" customFormat="false" ht="15" hidden="false" customHeight="false" outlineLevel="0" collapsed="false">
      <c r="A259" s="37" t="s">
        <v>765</v>
      </c>
      <c r="B259" s="37" t="n">
        <v>17</v>
      </c>
      <c r="C259" s="37" t="str">
        <f aca="false">IF(B259="","",IF(B259&lt;18,"Under 18",IF(B259&lt;25,"18-24",IF(B259&lt;35,"25-34",IF(B259&lt;45,"35-44","45+")))))</f>
        <v>Under 18</v>
      </c>
      <c r="D259" s="37" t="s">
        <v>145</v>
      </c>
      <c r="E259" s="37" t="s">
        <v>64</v>
      </c>
      <c r="F259" s="37" t="s">
        <v>47</v>
      </c>
      <c r="G259" s="37" t="s">
        <v>160</v>
      </c>
      <c r="H259" s="37" t="s">
        <v>143</v>
      </c>
      <c r="I259" s="37" t="s">
        <v>93</v>
      </c>
      <c r="J259" s="38" t="n">
        <v>595</v>
      </c>
      <c r="K259" s="37" t="s">
        <v>25</v>
      </c>
      <c r="L259" s="37" t="s">
        <v>37</v>
      </c>
      <c r="M259" s="39" t="n">
        <v>8</v>
      </c>
      <c r="N259" s="39" t="n">
        <v>6.1</v>
      </c>
      <c r="O259" s="40" t="n">
        <f aca="false">IF(OR(M259="",N259=""),"",M259/N259)</f>
        <v>1.31147540983607</v>
      </c>
      <c r="P259" s="41" t="n">
        <v>0</v>
      </c>
      <c r="Q259" s="37" t="str">
        <f aca="false">IF(P259="","",IF(P259=0,"Free","Paid"))</f>
        <v>Free</v>
      </c>
      <c r="R259" s="39" t="n">
        <v>7.4</v>
      </c>
      <c r="S259" s="37" t="n">
        <v>3</v>
      </c>
      <c r="T259" s="37" t="n">
        <v>7</v>
      </c>
      <c r="U259" s="39" t="n">
        <v>15.8</v>
      </c>
      <c r="V259" s="42" t="n">
        <f aca="false">IF(OR(U259="",M259="",M259=0),"",U259/(M259*7))</f>
        <v>0.282142857142857</v>
      </c>
      <c r="W259" s="37" t="s">
        <v>87</v>
      </c>
      <c r="X259" s="37" t="s">
        <v>179</v>
      </c>
      <c r="Y259" s="37" t="s">
        <v>766</v>
      </c>
    </row>
    <row r="260" customFormat="false" ht="15" hidden="false" customHeight="false" outlineLevel="0" collapsed="false">
      <c r="A260" s="37" t="s">
        <v>767</v>
      </c>
      <c r="B260" s="37" t="n">
        <v>54</v>
      </c>
      <c r="C260" s="37" t="str">
        <f aca="false">IF(B260="","",IF(B260&lt;18,"Under 18",IF(B260&lt;25,"18-24",IF(B260&lt;35,"25-34",IF(B260&lt;45,"35-44","45+")))))</f>
        <v>45+</v>
      </c>
      <c r="D260" s="37" t="s">
        <v>278</v>
      </c>
      <c r="E260" s="37" t="s">
        <v>62</v>
      </c>
      <c r="F260" s="37" t="s">
        <v>48</v>
      </c>
      <c r="G260" s="37" t="s">
        <v>139</v>
      </c>
      <c r="H260" s="37" t="s">
        <v>745</v>
      </c>
      <c r="I260" s="37" t="s">
        <v>43</v>
      </c>
      <c r="J260" s="38" t="n">
        <v>983</v>
      </c>
      <c r="K260" s="37" t="s">
        <v>28</v>
      </c>
      <c r="L260" s="37" t="s">
        <v>43</v>
      </c>
      <c r="M260" s="39" t="n">
        <v>5</v>
      </c>
      <c r="N260" s="39" t="n">
        <v>9.9</v>
      </c>
      <c r="O260" s="40" t="n">
        <f aca="false">IF(OR(M260="",N260=""),"",M260/N260)</f>
        <v>0.505050505050505</v>
      </c>
      <c r="P260" s="41" t="n">
        <v>20</v>
      </c>
      <c r="Q260" s="37" t="str">
        <f aca="false">IF(P260="","",IF(P260=0,"Free","Paid"))</f>
        <v>Paid</v>
      </c>
      <c r="R260" s="39" t="n">
        <v>7</v>
      </c>
      <c r="S260" s="37" t="n">
        <v>3</v>
      </c>
      <c r="T260" s="37" t="n">
        <v>5</v>
      </c>
      <c r="U260" s="39"/>
      <c r="V260" s="42" t="str">
        <f aca="false">IF(OR(U260="",M260="",M260=0),"",U260/(M260*7))</f>
        <v/>
      </c>
      <c r="W260" s="37" t="s">
        <v>87</v>
      </c>
      <c r="X260" s="37"/>
      <c r="Y260" s="37" t="s">
        <v>768</v>
      </c>
    </row>
    <row r="261" customFormat="false" ht="15" hidden="false" customHeight="false" outlineLevel="0" collapsed="false">
      <c r="A261" s="37" t="s">
        <v>769</v>
      </c>
      <c r="B261" s="37" t="n">
        <v>23</v>
      </c>
      <c r="C261" s="37" t="str">
        <f aca="false">IF(B261="","",IF(B261&lt;18,"Under 18",IF(B261&lt;25,"18-24",IF(B261&lt;35,"25-34",IF(B261&lt;45,"35-44","45+")))))</f>
        <v>18-24</v>
      </c>
      <c r="D261" s="37" t="s">
        <v>145</v>
      </c>
      <c r="E261" s="37" t="s">
        <v>67</v>
      </c>
      <c r="F261" s="37" t="s">
        <v>47</v>
      </c>
      <c r="G261" s="37" t="s">
        <v>160</v>
      </c>
      <c r="H261" s="37" t="s">
        <v>150</v>
      </c>
      <c r="I261" s="37" t="s">
        <v>95</v>
      </c>
      <c r="J261" s="38" t="n">
        <v>0</v>
      </c>
      <c r="K261" s="37" t="s">
        <v>25</v>
      </c>
      <c r="L261" s="37" t="s">
        <v>39</v>
      </c>
      <c r="M261" s="39"/>
      <c r="N261" s="39" t="n">
        <v>2.6</v>
      </c>
      <c r="O261" s="40" t="str">
        <f aca="false">IF(OR(M261="",N261=""),"",M261/N261)</f>
        <v/>
      </c>
      <c r="P261" s="41" t="n">
        <v>0</v>
      </c>
      <c r="Q261" s="37" t="str">
        <f aca="false">IF(P261="","",IF(P261=0,"Free","Paid"))</f>
        <v>Free</v>
      </c>
      <c r="R261" s="39" t="n">
        <v>3.8</v>
      </c>
      <c r="S261" s="37" t="n">
        <v>2</v>
      </c>
      <c r="T261" s="37" t="n">
        <v>6</v>
      </c>
      <c r="U261" s="39" t="n">
        <v>0.1</v>
      </c>
      <c r="V261" s="42" t="str">
        <f aca="false">IF(OR(U261="",M261="",M261=0),"",U261/(M261*7))</f>
        <v/>
      </c>
      <c r="W261" s="37" t="s">
        <v>87</v>
      </c>
      <c r="X261" s="37"/>
      <c r="Y261" s="37" t="s">
        <v>770</v>
      </c>
    </row>
    <row r="262" customFormat="false" ht="15" hidden="false" customHeight="false" outlineLevel="0" collapsed="false">
      <c r="A262" s="37" t="s">
        <v>771</v>
      </c>
      <c r="B262" s="37" t="n">
        <v>16</v>
      </c>
      <c r="C262" s="37" t="str">
        <f aca="false">IF(B262="","",IF(B262&lt;18,"Under 18",IF(B262&lt;25,"18-24",IF(B262&lt;35,"25-34",IF(B262&lt;45,"35-44","45+")))))</f>
        <v>Under 18</v>
      </c>
      <c r="D262" s="37" t="s">
        <v>145</v>
      </c>
      <c r="E262" s="37" t="s">
        <v>68</v>
      </c>
      <c r="F262" s="37" t="s">
        <v>47</v>
      </c>
      <c r="G262" s="37" t="s">
        <v>149</v>
      </c>
      <c r="H262" s="37" t="s">
        <v>236</v>
      </c>
      <c r="I262" s="37" t="s">
        <v>93</v>
      </c>
      <c r="J262" s="38" t="n">
        <v>76</v>
      </c>
      <c r="K262" s="37" t="s">
        <v>25</v>
      </c>
      <c r="L262" s="37" t="s">
        <v>42</v>
      </c>
      <c r="M262" s="39" t="n">
        <v>1.2</v>
      </c>
      <c r="N262" s="39" t="n">
        <v>8.2</v>
      </c>
      <c r="O262" s="40" t="n">
        <f aca="false">IF(OR(M262="",N262=""),"",M262/N262)</f>
        <v>0.146341463414634</v>
      </c>
      <c r="P262" s="41" t="n">
        <v>0</v>
      </c>
      <c r="Q262" s="37" t="str">
        <f aca="false">IF(P262="","",IF(P262=0,"Free","Paid"))</f>
        <v>Free</v>
      </c>
      <c r="R262" s="39" t="n">
        <v>3.4</v>
      </c>
      <c r="S262" s="37" t="n">
        <v>3</v>
      </c>
      <c r="T262" s="37" t="n">
        <v>5</v>
      </c>
      <c r="U262" s="39" t="n">
        <v>3.7</v>
      </c>
      <c r="V262" s="42" t="n">
        <f aca="false">IF(OR(U262="",M262="",M262=0),"",U262/(M262*7))</f>
        <v>0.44047619047619</v>
      </c>
      <c r="W262" s="37" t="s">
        <v>89</v>
      </c>
      <c r="X262" s="37"/>
      <c r="Y262" s="37" t="s">
        <v>772</v>
      </c>
    </row>
    <row r="263" customFormat="false" ht="15" hidden="false" customHeight="false" outlineLevel="0" collapsed="false">
      <c r="A263" s="37" t="s">
        <v>773</v>
      </c>
      <c r="B263" s="37" t="n">
        <v>35</v>
      </c>
      <c r="C263" s="37" t="str">
        <f aca="false">IF(B263="","",IF(B263&lt;18,"Under 18",IF(B263&lt;25,"18-24",IF(B263&lt;35,"25-34",IF(B263&lt;45,"35-44","45+")))))</f>
        <v>35-44</v>
      </c>
      <c r="D263" s="37" t="s">
        <v>145</v>
      </c>
      <c r="E263" s="37" t="s">
        <v>67</v>
      </c>
      <c r="F263" s="37" t="s">
        <v>48</v>
      </c>
      <c r="G263" s="37" t="s">
        <v>139</v>
      </c>
      <c r="H263" s="37" t="s">
        <v>774</v>
      </c>
      <c r="I263" s="37" t="s">
        <v>93</v>
      </c>
      <c r="J263" s="38" t="n">
        <v>1991</v>
      </c>
      <c r="K263" s="37" t="s">
        <v>26</v>
      </c>
      <c r="L263" s="37" t="s">
        <v>37</v>
      </c>
      <c r="M263" s="39" t="n">
        <v>1.7</v>
      </c>
      <c r="N263" s="39" t="n">
        <v>7.3</v>
      </c>
      <c r="O263" s="40" t="n">
        <f aca="false">IF(OR(M263="",N263=""),"",M263/N263)</f>
        <v>0.232876712328767</v>
      </c>
      <c r="P263" s="41" t="n">
        <v>10</v>
      </c>
      <c r="Q263" s="37" t="str">
        <f aca="false">IF(P263="","",IF(P263=0,"Free","Paid"))</f>
        <v>Paid</v>
      </c>
      <c r="R263" s="39" t="n">
        <v>4</v>
      </c>
      <c r="S263" s="37" t="n">
        <v>4</v>
      </c>
      <c r="T263" s="37" t="n">
        <v>6</v>
      </c>
      <c r="U263" s="39" t="n">
        <v>6.2</v>
      </c>
      <c r="V263" s="42" t="n">
        <f aca="false">IF(OR(U263="",M263="",M263=0),"",U263/(M263*7))</f>
        <v>0.521008403361345</v>
      </c>
      <c r="W263" s="37" t="s">
        <v>87</v>
      </c>
      <c r="X263" s="37"/>
      <c r="Y263" s="37" t="s">
        <v>775</v>
      </c>
    </row>
    <row r="264" customFormat="false" ht="15" hidden="false" customHeight="false" outlineLevel="0" collapsed="false">
      <c r="A264" s="37" t="s">
        <v>776</v>
      </c>
      <c r="B264" s="37" t="n">
        <v>22</v>
      </c>
      <c r="C264" s="37" t="str">
        <f aca="false">IF(B264="","",IF(B264&lt;18,"Under 18",IF(B264&lt;25,"18-24",IF(B264&lt;35,"25-34",IF(B264&lt;45,"35-44","45+")))))</f>
        <v>18-24</v>
      </c>
      <c r="D264" s="37" t="s">
        <v>145</v>
      </c>
      <c r="E264" s="37" t="s">
        <v>192</v>
      </c>
      <c r="F264" s="37" t="s">
        <v>47</v>
      </c>
      <c r="G264" s="37" t="s">
        <v>139</v>
      </c>
      <c r="H264" s="37" t="s">
        <v>178</v>
      </c>
      <c r="I264" s="37" t="s">
        <v>93</v>
      </c>
      <c r="J264" s="38" t="n">
        <v>0</v>
      </c>
      <c r="K264" s="37" t="s">
        <v>26</v>
      </c>
      <c r="L264" s="37" t="s">
        <v>37</v>
      </c>
      <c r="M264" s="39" t="n">
        <v>3.3</v>
      </c>
      <c r="N264" s="39" t="n">
        <v>5.5</v>
      </c>
      <c r="O264" s="40" t="n">
        <f aca="false">IF(OR(M264="",N264=""),"",M264/N264)</f>
        <v>0.6</v>
      </c>
      <c r="P264" s="41" t="n">
        <v>0</v>
      </c>
      <c r="Q264" s="37" t="str">
        <f aca="false">IF(P264="","",IF(P264=0,"Free","Paid"))</f>
        <v>Free</v>
      </c>
      <c r="R264" s="39" t="n">
        <v>6</v>
      </c>
      <c r="S264" s="37" t="n">
        <v>2</v>
      </c>
      <c r="T264" s="37" t="n">
        <v>6</v>
      </c>
      <c r="U264" s="39" t="n">
        <v>6.4</v>
      </c>
      <c r="V264" s="42" t="n">
        <f aca="false">IF(OR(U264="",M264="",M264=0),"",U264/(M264*7))</f>
        <v>0.277056277056277</v>
      </c>
      <c r="W264" s="37" t="s">
        <v>87</v>
      </c>
      <c r="X264" s="37"/>
      <c r="Y264" s="37" t="s">
        <v>777</v>
      </c>
    </row>
    <row r="265" customFormat="false" ht="15" hidden="false" customHeight="false" outlineLevel="0" collapsed="false">
      <c r="A265" s="37" t="s">
        <v>778</v>
      </c>
      <c r="B265" s="37" t="n">
        <v>19</v>
      </c>
      <c r="C265" s="37" t="str">
        <f aca="false">IF(B265="","",IF(B265&lt;18,"Under 18",IF(B265&lt;25,"18-24",IF(B265&lt;35,"25-34",IF(B265&lt;45,"35-44","45+")))))</f>
        <v>18-24</v>
      </c>
      <c r="D265" s="37" t="s">
        <v>145</v>
      </c>
      <c r="E265" s="37" t="s">
        <v>63</v>
      </c>
      <c r="F265" s="37" t="s">
        <v>47</v>
      </c>
      <c r="G265" s="37" t="s">
        <v>149</v>
      </c>
      <c r="H265" s="37" t="s">
        <v>361</v>
      </c>
      <c r="I265" s="37" t="s">
        <v>95</v>
      </c>
      <c r="J265" s="38" t="n">
        <v>0</v>
      </c>
      <c r="K265" s="37" t="s">
        <v>27</v>
      </c>
      <c r="L265" s="37" t="s">
        <v>40</v>
      </c>
      <c r="M265" s="39" t="n">
        <v>2.8</v>
      </c>
      <c r="N265" s="39" t="n">
        <v>6.5</v>
      </c>
      <c r="O265" s="40" t="n">
        <f aca="false">IF(OR(M265="",N265=""),"",M265/N265)</f>
        <v>0.430769230769231</v>
      </c>
      <c r="P265" s="41" t="n">
        <v>20</v>
      </c>
      <c r="Q265" s="37" t="str">
        <f aca="false">IF(P265="","",IF(P265=0,"Free","Paid"))</f>
        <v>Paid</v>
      </c>
      <c r="R265" s="39" t="n">
        <v>5</v>
      </c>
      <c r="S265" s="37" t="n">
        <v>3</v>
      </c>
      <c r="T265" s="37" t="n">
        <v>6</v>
      </c>
      <c r="U265" s="39" t="n">
        <v>6.9</v>
      </c>
      <c r="V265" s="42" t="n">
        <f aca="false">IF(OR(U265="",M265="",M265=0),"",U265/(M265*7))</f>
        <v>0.352040816326531</v>
      </c>
      <c r="W265" s="37" t="s">
        <v>88</v>
      </c>
      <c r="X265" s="37"/>
      <c r="Y265" s="37" t="s">
        <v>779</v>
      </c>
    </row>
    <row r="266" customFormat="false" ht="15" hidden="false" customHeight="false" outlineLevel="0" collapsed="false">
      <c r="A266" s="37" t="s">
        <v>780</v>
      </c>
      <c r="B266" s="37" t="n">
        <v>24</v>
      </c>
      <c r="C266" s="37" t="str">
        <f aca="false">IF(B266="","",IF(B266&lt;18,"Under 18",IF(B266&lt;25,"18-24",IF(B266&lt;35,"25-34",IF(B266&lt;45,"35-44","45+")))))</f>
        <v>18-24</v>
      </c>
      <c r="D266" s="37" t="s">
        <v>145</v>
      </c>
      <c r="E266" s="37" t="s">
        <v>69</v>
      </c>
      <c r="F266" s="37" t="s">
        <v>47</v>
      </c>
      <c r="G266" s="37" t="s">
        <v>149</v>
      </c>
      <c r="H266" s="37" t="s">
        <v>153</v>
      </c>
      <c r="I266" s="37" t="s">
        <v>94</v>
      </c>
      <c r="J266" s="38" t="n">
        <v>435</v>
      </c>
      <c r="K266" s="37" t="s">
        <v>28</v>
      </c>
      <c r="L266" s="37" t="s">
        <v>39</v>
      </c>
      <c r="M266" s="39" t="n">
        <v>3.4</v>
      </c>
      <c r="N266" s="39" t="n">
        <v>4.6</v>
      </c>
      <c r="O266" s="40" t="n">
        <f aca="false">IF(OR(M266="",N266=""),"",M266/N266)</f>
        <v>0.739130434782609</v>
      </c>
      <c r="P266" s="41" t="n">
        <v>10</v>
      </c>
      <c r="Q266" s="37" t="str">
        <f aca="false">IF(P266="","",IF(P266=0,"Free","Paid"))</f>
        <v>Paid</v>
      </c>
      <c r="R266" s="39" t="n">
        <v>5.5</v>
      </c>
      <c r="S266" s="37"/>
      <c r="T266" s="37" t="n">
        <v>6</v>
      </c>
      <c r="U266" s="39" t="n">
        <v>7.7</v>
      </c>
      <c r="V266" s="42" t="n">
        <f aca="false">IF(OR(U266="",M266="",M266=0),"",U266/(M266*7))</f>
        <v>0.323529411764706</v>
      </c>
      <c r="W266" s="37" t="s">
        <v>87</v>
      </c>
      <c r="X266" s="37"/>
      <c r="Y266" s="37" t="s">
        <v>781</v>
      </c>
    </row>
    <row r="267" customFormat="false" ht="15" hidden="false" customHeight="false" outlineLevel="0" collapsed="false">
      <c r="A267" s="37" t="s">
        <v>782</v>
      </c>
      <c r="B267" s="37" t="n">
        <v>21</v>
      </c>
      <c r="C267" s="37" t="str">
        <f aca="false">IF(B267="","",IF(B267&lt;18,"Under 18",IF(B267&lt;25,"18-24",IF(B267&lt;35,"25-34",IF(B267&lt;45,"35-44","45+")))))</f>
        <v>18-24</v>
      </c>
      <c r="D267" s="37" t="s">
        <v>134</v>
      </c>
      <c r="E267" s="37" t="s">
        <v>64</v>
      </c>
      <c r="F267" s="37" t="s">
        <v>47</v>
      </c>
      <c r="G267" s="37" t="s">
        <v>149</v>
      </c>
      <c r="H267" s="37" t="s">
        <v>189</v>
      </c>
      <c r="I267" s="37" t="s">
        <v>92</v>
      </c>
      <c r="J267" s="38" t="n">
        <v>678</v>
      </c>
      <c r="K267" s="37" t="s">
        <v>25</v>
      </c>
      <c r="L267" s="37" t="s">
        <v>38</v>
      </c>
      <c r="M267" s="39" t="n">
        <v>3</v>
      </c>
      <c r="N267" s="39" t="n">
        <v>6.7</v>
      </c>
      <c r="O267" s="40" t="n">
        <f aca="false">IF(OR(M267="",N267=""),"",M267/N267)</f>
        <v>0.447761194029851</v>
      </c>
      <c r="P267" s="41" t="n">
        <v>0</v>
      </c>
      <c r="Q267" s="37" t="str">
        <f aca="false">IF(P267="","",IF(P267=0,"Free","Paid"))</f>
        <v>Free</v>
      </c>
      <c r="R267" s="39" t="n">
        <v>4</v>
      </c>
      <c r="S267" s="37" t="n">
        <v>4</v>
      </c>
      <c r="T267" s="37" t="n">
        <v>6</v>
      </c>
      <c r="U267" s="39" t="n">
        <v>7.1</v>
      </c>
      <c r="V267" s="42" t="n">
        <f aca="false">IF(OR(U267="",M267="",M267=0),"",U267/(M267*7))</f>
        <v>0.338095238095238</v>
      </c>
      <c r="W267" s="37" t="s">
        <v>89</v>
      </c>
      <c r="X267" s="37"/>
      <c r="Y267" s="37" t="s">
        <v>783</v>
      </c>
    </row>
    <row r="268" customFormat="false" ht="15" hidden="false" customHeight="false" outlineLevel="0" collapsed="false">
      <c r="A268" s="37" t="s">
        <v>784</v>
      </c>
      <c r="B268" s="37" t="n">
        <v>24</v>
      </c>
      <c r="C268" s="37" t="str">
        <f aca="false">IF(B268="","",IF(B268&lt;18,"Under 18",IF(B268&lt;25,"18-24",IF(B268&lt;35,"25-34",IF(B268&lt;45,"35-44","45+")))))</f>
        <v>18-24</v>
      </c>
      <c r="D268" s="37" t="s">
        <v>145</v>
      </c>
      <c r="E268" s="37" t="s">
        <v>66</v>
      </c>
      <c r="F268" s="37" t="s">
        <v>48</v>
      </c>
      <c r="G268" s="37" t="s">
        <v>160</v>
      </c>
      <c r="H268" s="37" t="s">
        <v>382</v>
      </c>
      <c r="I268" s="37" t="s">
        <v>93</v>
      </c>
      <c r="J268" s="38" t="n">
        <v>4006</v>
      </c>
      <c r="K268" s="37" t="s">
        <v>27</v>
      </c>
      <c r="L268" s="37" t="s">
        <v>37</v>
      </c>
      <c r="M268" s="39" t="n">
        <v>2.9</v>
      </c>
      <c r="N268" s="39" t="n">
        <v>7.8</v>
      </c>
      <c r="O268" s="40" t="n">
        <f aca="false">IF(OR(M268="",N268=""),"",M268/N268)</f>
        <v>0.371794871794872</v>
      </c>
      <c r="P268" s="41" t="n">
        <v>25</v>
      </c>
      <c r="Q268" s="37" t="str">
        <f aca="false">IF(P268="","",IF(P268=0,"Free","Paid"))</f>
        <v>Paid</v>
      </c>
      <c r="R268" s="39" t="n">
        <v>6.1</v>
      </c>
      <c r="S268" s="37" t="n">
        <v>3</v>
      </c>
      <c r="T268" s="37" t="n">
        <v>6</v>
      </c>
      <c r="U268" s="39" t="n">
        <v>8.3</v>
      </c>
      <c r="V268" s="42" t="n">
        <f aca="false">IF(OR(U268="",M268="",M268=0),"",U268/(M268*7))</f>
        <v>0.408866995073892</v>
      </c>
      <c r="W268" s="37" t="s">
        <v>87</v>
      </c>
      <c r="X268" s="37"/>
      <c r="Y268" s="37" t="s">
        <v>785</v>
      </c>
    </row>
    <row r="269" customFormat="false" ht="15" hidden="false" customHeight="false" outlineLevel="0" collapsed="false">
      <c r="A269" s="37" t="s">
        <v>786</v>
      </c>
      <c r="B269" s="37" t="n">
        <v>16</v>
      </c>
      <c r="C269" s="37" t="str">
        <f aca="false">IF(B269="","",IF(B269&lt;18,"Under 18",IF(B269&lt;25,"18-24",IF(B269&lt;35,"25-34",IF(B269&lt;45,"35-44","45+")))))</f>
        <v>Under 18</v>
      </c>
      <c r="D269" s="37" t="s">
        <v>145</v>
      </c>
      <c r="E269" s="37" t="s">
        <v>63</v>
      </c>
      <c r="F269" s="37" t="s">
        <v>47</v>
      </c>
      <c r="G269" s="37" t="s">
        <v>246</v>
      </c>
      <c r="H269" s="37"/>
      <c r="I269" s="37"/>
      <c r="J269" s="38" t="n">
        <v>707</v>
      </c>
      <c r="K269" s="37" t="s">
        <v>25</v>
      </c>
      <c r="L269" s="37" t="s">
        <v>42</v>
      </c>
      <c r="M269" s="39" t="n">
        <v>1.1</v>
      </c>
      <c r="N269" s="39" t="n">
        <v>4.9</v>
      </c>
      <c r="O269" s="40" t="n">
        <f aca="false">IF(OR(M269="",N269=""),"",M269/N269)</f>
        <v>0.224489795918367</v>
      </c>
      <c r="P269" s="41" t="n">
        <v>0</v>
      </c>
      <c r="Q269" s="37" t="str">
        <f aca="false">IF(P269="","",IF(P269=0,"Free","Paid"))</f>
        <v>Free</v>
      </c>
      <c r="R269" s="39" t="n">
        <v>5.1</v>
      </c>
      <c r="S269" s="37" t="n">
        <v>3</v>
      </c>
      <c r="T269" s="37" t="n">
        <v>7</v>
      </c>
      <c r="U269" s="39" t="n">
        <v>5.1</v>
      </c>
      <c r="V269" s="42" t="n">
        <f aca="false">IF(OR(U269="",M269="",M269=0),"",U269/(M269*7))</f>
        <v>0.662337662337662</v>
      </c>
      <c r="W269" s="37" t="s">
        <v>87</v>
      </c>
      <c r="X269" s="37"/>
      <c r="Y269" s="37" t="s">
        <v>787</v>
      </c>
    </row>
    <row r="270" customFormat="false" ht="15" hidden="false" customHeight="false" outlineLevel="0" collapsed="false">
      <c r="A270" s="37" t="s">
        <v>788</v>
      </c>
      <c r="B270" s="37" t="n">
        <v>31</v>
      </c>
      <c r="C270" s="37" t="str">
        <f aca="false">IF(B270="","",IF(B270&lt;18,"Under 18",IF(B270&lt;25,"18-24",IF(B270&lt;35,"25-34",IF(B270&lt;45,"35-44","45+")))))</f>
        <v>25-34</v>
      </c>
      <c r="D270" s="37" t="s">
        <v>134</v>
      </c>
      <c r="E270" s="37" t="s">
        <v>71</v>
      </c>
      <c r="F270" s="37" t="s">
        <v>47</v>
      </c>
      <c r="G270" s="37" t="s">
        <v>139</v>
      </c>
      <c r="H270" s="37" t="s">
        <v>427</v>
      </c>
      <c r="I270" s="37" t="s">
        <v>94</v>
      </c>
      <c r="J270" s="38" t="n">
        <v>523</v>
      </c>
      <c r="K270" s="37"/>
      <c r="L270" s="37" t="s">
        <v>40</v>
      </c>
      <c r="M270" s="39" t="n">
        <v>2</v>
      </c>
      <c r="N270" s="39" t="n">
        <v>2.8</v>
      </c>
      <c r="O270" s="40" t="n">
        <f aca="false">IF(OR(M270="",N270=""),"",M270/N270)</f>
        <v>0.714285714285714</v>
      </c>
      <c r="P270" s="41" t="n">
        <v>0</v>
      </c>
      <c r="Q270" s="37" t="str">
        <f aca="false">IF(P270="","",IF(P270=0,"Free","Paid"))</f>
        <v>Free</v>
      </c>
      <c r="R270" s="39" t="n">
        <v>5.6</v>
      </c>
      <c r="S270" s="37" t="n">
        <v>4</v>
      </c>
      <c r="T270" s="37" t="n">
        <v>6</v>
      </c>
      <c r="U270" s="39" t="n">
        <v>3.8</v>
      </c>
      <c r="V270" s="42" t="n">
        <f aca="false">IF(OR(U270="",M270="",M270=0),"",U270/(M270*7))</f>
        <v>0.271428571428571</v>
      </c>
      <c r="W270" s="37" t="s">
        <v>87</v>
      </c>
      <c r="X270" s="37"/>
      <c r="Y270" s="37" t="s">
        <v>789</v>
      </c>
    </row>
    <row r="271" customFormat="false" ht="15" hidden="false" customHeight="false" outlineLevel="0" collapsed="false">
      <c r="A271" s="37" t="s">
        <v>790</v>
      </c>
      <c r="B271" s="37" t="n">
        <v>20</v>
      </c>
      <c r="C271" s="37" t="str">
        <f aca="false">IF(B271="","",IF(B271&lt;18,"Under 18",IF(B271&lt;25,"18-24",IF(B271&lt;35,"25-34",IF(B271&lt;45,"35-44","45+")))))</f>
        <v>18-24</v>
      </c>
      <c r="D271" s="37" t="s">
        <v>145</v>
      </c>
      <c r="E271" s="37" t="s">
        <v>68</v>
      </c>
      <c r="F271" s="37" t="s">
        <v>47</v>
      </c>
      <c r="G271" s="37"/>
      <c r="H271" s="37" t="s">
        <v>189</v>
      </c>
      <c r="I271" s="37" t="s">
        <v>92</v>
      </c>
      <c r="J271" s="38" t="n">
        <v>93</v>
      </c>
      <c r="K271" s="37" t="s">
        <v>25</v>
      </c>
      <c r="L271" s="37" t="s">
        <v>38</v>
      </c>
      <c r="M271" s="39" t="n">
        <v>2.3</v>
      </c>
      <c r="N271" s="39" t="n">
        <v>6.1</v>
      </c>
      <c r="O271" s="40" t="n">
        <f aca="false">IF(OR(M271="",N271=""),"",M271/N271)</f>
        <v>0.377049180327869</v>
      </c>
      <c r="P271" s="41" t="n">
        <v>10</v>
      </c>
      <c r="Q271" s="37" t="str">
        <f aca="false">IF(P271="","",IF(P271=0,"Free","Paid"))</f>
        <v>Paid</v>
      </c>
      <c r="R271" s="39" t="n">
        <v>4.2</v>
      </c>
      <c r="S271" s="37" t="n">
        <v>3</v>
      </c>
      <c r="T271" s="37" t="n">
        <v>4</v>
      </c>
      <c r="U271" s="39" t="n">
        <v>3.4</v>
      </c>
      <c r="V271" s="42" t="n">
        <f aca="false">IF(OR(U271="",M271="",M271=0),"",U271/(M271*7))</f>
        <v>0.211180124223603</v>
      </c>
      <c r="W271" s="37" t="s">
        <v>89</v>
      </c>
      <c r="X271" s="37"/>
      <c r="Y271" s="37" t="s">
        <v>791</v>
      </c>
    </row>
    <row r="272" customFormat="false" ht="15" hidden="false" customHeight="false" outlineLevel="0" collapsed="false">
      <c r="A272" s="37" t="s">
        <v>792</v>
      </c>
      <c r="B272" s="37" t="n">
        <v>29</v>
      </c>
      <c r="C272" s="37" t="str">
        <f aca="false">IF(B272="","",IF(B272&lt;18,"Under 18",IF(B272&lt;25,"18-24",IF(B272&lt;35,"25-34",IF(B272&lt;45,"35-44","45+")))))</f>
        <v>25-34</v>
      </c>
      <c r="D272" s="37" t="s">
        <v>278</v>
      </c>
      <c r="E272" s="37" t="s">
        <v>156</v>
      </c>
      <c r="F272" s="37" t="s">
        <v>48</v>
      </c>
      <c r="G272" s="37" t="s">
        <v>139</v>
      </c>
      <c r="H272" s="37" t="s">
        <v>793</v>
      </c>
      <c r="I272" s="37" t="s">
        <v>94</v>
      </c>
      <c r="J272" s="38" t="n">
        <v>5785</v>
      </c>
      <c r="K272" s="37" t="s">
        <v>28</v>
      </c>
      <c r="L272" s="37" t="s">
        <v>42</v>
      </c>
      <c r="M272" s="39" t="n">
        <v>1.7</v>
      </c>
      <c r="N272" s="39" t="n">
        <v>6.4</v>
      </c>
      <c r="O272" s="40" t="n">
        <f aca="false">IF(OR(M272="",N272=""),"",M272/N272)</f>
        <v>0.265625</v>
      </c>
      <c r="P272" s="41" t="n">
        <v>0</v>
      </c>
      <c r="Q272" s="37" t="str">
        <f aca="false">IF(P272="","",IF(P272=0,"Free","Paid"))</f>
        <v>Free</v>
      </c>
      <c r="R272" s="39" t="n">
        <v>6</v>
      </c>
      <c r="S272" s="37"/>
      <c r="T272" s="37" t="n">
        <v>7</v>
      </c>
      <c r="U272" s="39" t="n">
        <v>3.7</v>
      </c>
      <c r="V272" s="42" t="n">
        <f aca="false">IF(OR(U272="",M272="",M272=0),"",U272/(M272*7))</f>
        <v>0.310924369747899</v>
      </c>
      <c r="W272" s="37" t="s">
        <v>87</v>
      </c>
      <c r="X272" s="37"/>
      <c r="Y272" s="37" t="s">
        <v>794</v>
      </c>
    </row>
    <row r="273" customFormat="false" ht="15" hidden="false" customHeight="false" outlineLevel="0" collapsed="false">
      <c r="A273" s="37" t="s">
        <v>795</v>
      </c>
      <c r="B273" s="37" t="n">
        <v>35</v>
      </c>
      <c r="C273" s="37" t="str">
        <f aca="false">IF(B273="","",IF(B273&lt;18,"Under 18",IF(B273&lt;25,"18-24",IF(B273&lt;35,"25-34",IF(B273&lt;45,"35-44","45+")))))</f>
        <v>35-44</v>
      </c>
      <c r="D273" s="37" t="s">
        <v>145</v>
      </c>
      <c r="E273" s="37" t="s">
        <v>66</v>
      </c>
      <c r="F273" s="37" t="s">
        <v>48</v>
      </c>
      <c r="G273" s="37" t="s">
        <v>135</v>
      </c>
      <c r="H273" s="37" t="s">
        <v>796</v>
      </c>
      <c r="I273" s="37" t="s">
        <v>95</v>
      </c>
      <c r="J273" s="38" t="n">
        <v>3114</v>
      </c>
      <c r="K273" s="37" t="s">
        <v>29</v>
      </c>
      <c r="L273" s="37" t="s">
        <v>40</v>
      </c>
      <c r="M273" s="39" t="n">
        <v>5.7</v>
      </c>
      <c r="N273" s="39" t="n">
        <v>9</v>
      </c>
      <c r="O273" s="40" t="n">
        <f aca="false">IF(OR(M273="",N273=""),"",M273/N273)</f>
        <v>0.633333333333333</v>
      </c>
      <c r="P273" s="41" t="n">
        <v>0</v>
      </c>
      <c r="Q273" s="37" t="str">
        <f aca="false">IF(P273="","",IF(P273=0,"Free","Paid"))</f>
        <v>Free</v>
      </c>
      <c r="R273" s="39" t="n">
        <v>5.9</v>
      </c>
      <c r="S273" s="37" t="n">
        <v>3</v>
      </c>
      <c r="T273" s="37" t="n">
        <v>7</v>
      </c>
      <c r="U273" s="39" t="n">
        <v>13.4</v>
      </c>
      <c r="V273" s="42" t="n">
        <f aca="false">IF(OR(U273="",M273="",M273=0),"",U273/(M273*7))</f>
        <v>0.335839598997494</v>
      </c>
      <c r="W273" s="37" t="s">
        <v>87</v>
      </c>
      <c r="X273" s="37"/>
      <c r="Y273" s="37" t="s">
        <v>797</v>
      </c>
    </row>
    <row r="274" customFormat="false" ht="15" hidden="false" customHeight="false" outlineLevel="0" collapsed="false">
      <c r="A274" s="37" t="s">
        <v>798</v>
      </c>
      <c r="B274" s="37" t="n">
        <v>27</v>
      </c>
      <c r="C274" s="37" t="str">
        <f aca="false">IF(B274="","",IF(B274&lt;18,"Under 18",IF(B274&lt;25,"18-24",IF(B274&lt;35,"25-34",IF(B274&lt;45,"35-44","45+")))))</f>
        <v>25-34</v>
      </c>
      <c r="D274" s="37" t="s">
        <v>145</v>
      </c>
      <c r="E274" s="37" t="s">
        <v>66</v>
      </c>
      <c r="F274" s="37" t="s">
        <v>48</v>
      </c>
      <c r="G274" s="37" t="s">
        <v>135</v>
      </c>
      <c r="H274" s="37" t="s">
        <v>652</v>
      </c>
      <c r="I274" s="37" t="s">
        <v>92</v>
      </c>
      <c r="J274" s="38" t="n">
        <v>4186</v>
      </c>
      <c r="K274" s="37" t="s">
        <v>25</v>
      </c>
      <c r="L274" s="37" t="s">
        <v>38</v>
      </c>
      <c r="M274" s="39" t="n">
        <v>0.8</v>
      </c>
      <c r="N274" s="39" t="n">
        <v>9</v>
      </c>
      <c r="O274" s="40" t="n">
        <f aca="false">IF(OR(M274="",N274=""),"",M274/N274)</f>
        <v>0.0888888888888889</v>
      </c>
      <c r="P274" s="41" t="n">
        <v>0</v>
      </c>
      <c r="Q274" s="37" t="str">
        <f aca="false">IF(P274="","",IF(P274=0,"Free","Paid"))</f>
        <v>Free</v>
      </c>
      <c r="R274" s="39" t="n">
        <v>3.9</v>
      </c>
      <c r="S274" s="37" t="n">
        <v>4</v>
      </c>
      <c r="T274" s="37" t="n">
        <v>6</v>
      </c>
      <c r="U274" s="39" t="n">
        <v>4.3</v>
      </c>
      <c r="V274" s="42" t="n">
        <f aca="false">IF(OR(U274="",M274="",M274=0),"",U274/(M274*7))</f>
        <v>0.767857142857143</v>
      </c>
      <c r="W274" s="37" t="s">
        <v>88</v>
      </c>
      <c r="X274" s="37"/>
      <c r="Y274" s="37" t="s">
        <v>799</v>
      </c>
    </row>
    <row r="275" customFormat="false" ht="15" hidden="false" customHeight="false" outlineLevel="0" collapsed="false">
      <c r="A275" s="37" t="s">
        <v>800</v>
      </c>
      <c r="B275" s="37" t="n">
        <v>20</v>
      </c>
      <c r="C275" s="37" t="str">
        <f aca="false">IF(B275="","",IF(B275&lt;18,"Under 18",IF(B275&lt;25,"18-24",IF(B275&lt;35,"25-34",IF(B275&lt;45,"35-44","45+")))))</f>
        <v>18-24</v>
      </c>
      <c r="D275" s="37" t="s">
        <v>145</v>
      </c>
      <c r="E275" s="37" t="s">
        <v>62</v>
      </c>
      <c r="F275" s="37" t="s">
        <v>47</v>
      </c>
      <c r="G275" s="37" t="s">
        <v>139</v>
      </c>
      <c r="H275" s="37" t="s">
        <v>189</v>
      </c>
      <c r="I275" s="37" t="s">
        <v>92</v>
      </c>
      <c r="J275" s="38" t="n">
        <v>0</v>
      </c>
      <c r="K275" s="37" t="s">
        <v>25</v>
      </c>
      <c r="L275" s="37" t="s">
        <v>38</v>
      </c>
      <c r="M275" s="39" t="n">
        <v>1.6</v>
      </c>
      <c r="N275" s="39" t="n">
        <v>8.4</v>
      </c>
      <c r="O275" s="40" t="n">
        <f aca="false">IF(OR(M275="",N275=""),"",M275/N275)</f>
        <v>0.19047619047619</v>
      </c>
      <c r="P275" s="41" t="n">
        <v>0</v>
      </c>
      <c r="Q275" s="37" t="str">
        <f aca="false">IF(P275="","",IF(P275=0,"Free","Paid"))</f>
        <v>Free</v>
      </c>
      <c r="R275" s="39" t="n">
        <v>5.2</v>
      </c>
      <c r="S275" s="37" t="n">
        <v>2</v>
      </c>
      <c r="T275" s="37" t="n">
        <v>5</v>
      </c>
      <c r="U275" s="39" t="n">
        <v>5.3</v>
      </c>
      <c r="V275" s="42" t="n">
        <f aca="false">IF(OR(U275="",M275="",M275=0),"",U275/(M275*7))</f>
        <v>0.473214285714286</v>
      </c>
      <c r="W275" s="37" t="s">
        <v>87</v>
      </c>
      <c r="X275" s="37"/>
      <c r="Y275" s="37" t="s">
        <v>801</v>
      </c>
    </row>
    <row r="276" customFormat="false" ht="15" hidden="false" customHeight="false" outlineLevel="0" collapsed="false">
      <c r="A276" s="37" t="s">
        <v>802</v>
      </c>
      <c r="B276" s="37" t="n">
        <v>49</v>
      </c>
      <c r="C276" s="37" t="str">
        <f aca="false">IF(B276="","",IF(B276&lt;18,"Under 18",IF(B276&lt;25,"18-24",IF(B276&lt;35,"25-34",IF(B276&lt;45,"35-44","45+")))))</f>
        <v>45+</v>
      </c>
      <c r="D276" s="37" t="s">
        <v>145</v>
      </c>
      <c r="E276" s="37" t="s">
        <v>70</v>
      </c>
      <c r="F276" s="37" t="s">
        <v>48</v>
      </c>
      <c r="G276" s="37" t="s">
        <v>139</v>
      </c>
      <c r="H276" s="37" t="s">
        <v>250</v>
      </c>
      <c r="I276" s="37" t="s">
        <v>92</v>
      </c>
      <c r="J276" s="38" t="n">
        <v>243</v>
      </c>
      <c r="K276" s="37" t="s">
        <v>25</v>
      </c>
      <c r="L276" s="37" t="s">
        <v>38</v>
      </c>
      <c r="M276" s="39" t="n">
        <v>3.2</v>
      </c>
      <c r="N276" s="39" t="n">
        <v>7.2</v>
      </c>
      <c r="O276" s="40" t="n">
        <f aca="false">IF(OR(M276="",N276=""),"",M276/N276)</f>
        <v>0.444444444444445</v>
      </c>
      <c r="P276" s="41" t="n">
        <v>0</v>
      </c>
      <c r="Q276" s="37" t="str">
        <f aca="false">IF(P276="","",IF(P276=0,"Free","Paid"))</f>
        <v>Free</v>
      </c>
      <c r="R276" s="39"/>
      <c r="S276" s="37" t="n">
        <v>3</v>
      </c>
      <c r="T276" s="37" t="n">
        <v>6</v>
      </c>
      <c r="U276" s="39" t="n">
        <v>10</v>
      </c>
      <c r="V276" s="42" t="n">
        <f aca="false">IF(OR(U276="",M276="",M276=0),"",U276/(M276*7))</f>
        <v>0.446428571428571</v>
      </c>
      <c r="W276" s="37" t="s">
        <v>88</v>
      </c>
      <c r="X276" s="37"/>
      <c r="Y276" s="37" t="s">
        <v>803</v>
      </c>
    </row>
    <row r="277" customFormat="false" ht="15" hidden="false" customHeight="false" outlineLevel="0" collapsed="false">
      <c r="A277" s="37" t="s">
        <v>804</v>
      </c>
      <c r="B277" s="37" t="n">
        <v>18</v>
      </c>
      <c r="C277" s="37" t="str">
        <f aca="false">IF(B277="","",IF(B277&lt;18,"Under 18",IF(B277&lt;25,"18-24",IF(B277&lt;35,"25-34",IF(B277&lt;45,"35-44","45+")))))</f>
        <v>18-24</v>
      </c>
      <c r="D277" s="37" t="s">
        <v>145</v>
      </c>
      <c r="E277" s="37" t="s">
        <v>63</v>
      </c>
      <c r="F277" s="37" t="s">
        <v>47</v>
      </c>
      <c r="G277" s="37" t="s">
        <v>139</v>
      </c>
      <c r="H277" s="37" t="s">
        <v>150</v>
      </c>
      <c r="I277" s="37" t="s">
        <v>95</v>
      </c>
      <c r="J277" s="38" t="n">
        <v>540</v>
      </c>
      <c r="K277" s="37" t="s">
        <v>25</v>
      </c>
      <c r="L277" s="37" t="s">
        <v>39</v>
      </c>
      <c r="M277" s="39" t="n">
        <v>4.3</v>
      </c>
      <c r="N277" s="39" t="n">
        <v>5.2</v>
      </c>
      <c r="O277" s="40" t="n">
        <f aca="false">IF(OR(M277="",N277=""),"",M277/N277)</f>
        <v>0.826923076923077</v>
      </c>
      <c r="P277" s="41" t="n">
        <v>20</v>
      </c>
      <c r="Q277" s="37" t="str">
        <f aca="false">IF(P277="","",IF(P277=0,"Free","Paid"))</f>
        <v>Paid</v>
      </c>
      <c r="R277" s="39" t="n">
        <v>5.8</v>
      </c>
      <c r="S277" s="37" t="n">
        <v>2</v>
      </c>
      <c r="T277" s="37" t="n">
        <v>6</v>
      </c>
      <c r="U277" s="39" t="n">
        <v>8.1</v>
      </c>
      <c r="V277" s="42" t="n">
        <f aca="false">IF(OR(U277="",M277="",M277=0),"",U277/(M277*7))</f>
        <v>0.269102990033223</v>
      </c>
      <c r="W277" s="37" t="s">
        <v>89</v>
      </c>
      <c r="X277" s="37"/>
      <c r="Y277" s="37" t="s">
        <v>805</v>
      </c>
    </row>
    <row r="278" customFormat="false" ht="15" hidden="false" customHeight="false" outlineLevel="0" collapsed="false">
      <c r="A278" s="37" t="s">
        <v>806</v>
      </c>
      <c r="B278" s="37" t="n">
        <v>32</v>
      </c>
      <c r="C278" s="37" t="str">
        <f aca="false">IF(B278="","",IF(B278&lt;18,"Under 18",IF(B278&lt;25,"18-24",IF(B278&lt;35,"25-34",IF(B278&lt;45,"35-44","45+")))))</f>
        <v>25-34</v>
      </c>
      <c r="D278" s="37" t="s">
        <v>145</v>
      </c>
      <c r="E278" s="37" t="s">
        <v>67</v>
      </c>
      <c r="F278" s="37" t="s">
        <v>47</v>
      </c>
      <c r="G278" s="37" t="s">
        <v>160</v>
      </c>
      <c r="H278" s="37" t="s">
        <v>189</v>
      </c>
      <c r="I278" s="37" t="s">
        <v>92</v>
      </c>
      <c r="J278" s="38" t="n">
        <v>152</v>
      </c>
      <c r="K278" s="37" t="s">
        <v>27</v>
      </c>
      <c r="L278" s="37" t="s">
        <v>38</v>
      </c>
      <c r="M278" s="39" t="n">
        <v>0.5</v>
      </c>
      <c r="N278" s="39" t="n">
        <v>5.9</v>
      </c>
      <c r="O278" s="40" t="n">
        <f aca="false">IF(OR(M278="",N278=""),"",M278/N278)</f>
        <v>0.0847457627118644</v>
      </c>
      <c r="P278" s="41" t="n">
        <v>10</v>
      </c>
      <c r="Q278" s="37" t="str">
        <f aca="false">IF(P278="","",IF(P278=0,"Free","Paid"))</f>
        <v>Paid</v>
      </c>
      <c r="R278" s="39" t="n">
        <v>2.3</v>
      </c>
      <c r="S278" s="37" t="n">
        <v>5</v>
      </c>
      <c r="T278" s="37" t="n">
        <v>7</v>
      </c>
      <c r="U278" s="39" t="n">
        <v>3.1</v>
      </c>
      <c r="V278" s="42" t="n">
        <f aca="false">IF(OR(U278="",M278="",M278=0),"",U278/(M278*7))</f>
        <v>0.885714285714286</v>
      </c>
      <c r="W278" s="37" t="s">
        <v>87</v>
      </c>
      <c r="X278" s="37"/>
      <c r="Y278" s="37" t="s">
        <v>807</v>
      </c>
    </row>
    <row r="279" customFormat="false" ht="15" hidden="false" customHeight="false" outlineLevel="0" collapsed="false">
      <c r="A279" s="37" t="s">
        <v>808</v>
      </c>
      <c r="B279" s="37" t="n">
        <v>38</v>
      </c>
      <c r="C279" s="37" t="str">
        <f aca="false">IF(B279="","",IF(B279&lt;18,"Under 18",IF(B279&lt;25,"18-24",IF(B279&lt;35,"25-34",IF(B279&lt;45,"35-44","45+")))))</f>
        <v>35-44</v>
      </c>
      <c r="D279" s="37" t="s">
        <v>134</v>
      </c>
      <c r="E279" s="37" t="s">
        <v>68</v>
      </c>
      <c r="F279" s="37" t="s">
        <v>48</v>
      </c>
      <c r="G279" s="37" t="s">
        <v>246</v>
      </c>
      <c r="H279" s="37" t="s">
        <v>809</v>
      </c>
      <c r="I279" s="37" t="s">
        <v>92</v>
      </c>
      <c r="J279" s="38" t="n">
        <v>1148</v>
      </c>
      <c r="K279" s="37" t="s">
        <v>30</v>
      </c>
      <c r="L279" s="37" t="s">
        <v>38</v>
      </c>
      <c r="M279" s="39" t="n">
        <v>4.3</v>
      </c>
      <c r="N279" s="39" t="n">
        <v>5.9</v>
      </c>
      <c r="O279" s="40" t="n">
        <f aca="false">IF(OR(M279="",N279=""),"",M279/N279)</f>
        <v>0.728813559322034</v>
      </c>
      <c r="P279" s="41" t="n">
        <v>50</v>
      </c>
      <c r="Q279" s="37" t="str">
        <f aca="false">IF(P279="","",IF(P279=0,"Free","Paid"))</f>
        <v>Paid</v>
      </c>
      <c r="R279" s="39" t="n">
        <v>7.2</v>
      </c>
      <c r="S279" s="37" t="n">
        <v>5</v>
      </c>
      <c r="T279" s="37" t="n">
        <v>7</v>
      </c>
      <c r="U279" s="39" t="n">
        <v>4.8</v>
      </c>
      <c r="V279" s="42" t="n">
        <f aca="false">IF(OR(U279="",M279="",M279=0),"",U279/(M279*7))</f>
        <v>0.159468438538206</v>
      </c>
      <c r="W279" s="37" t="s">
        <v>87</v>
      </c>
      <c r="X279" s="37"/>
      <c r="Y279" s="37" t="s">
        <v>810</v>
      </c>
    </row>
    <row r="280" customFormat="false" ht="15" hidden="false" customHeight="false" outlineLevel="0" collapsed="false">
      <c r="A280" s="37" t="s">
        <v>811</v>
      </c>
      <c r="B280" s="37" t="n">
        <v>22</v>
      </c>
      <c r="C280" s="37" t="str">
        <f aca="false">IF(B280="","",IF(B280&lt;18,"Under 18",IF(B280&lt;25,"18-24",IF(B280&lt;35,"25-34",IF(B280&lt;45,"35-44","45+")))))</f>
        <v>18-24</v>
      </c>
      <c r="D280" s="37" t="s">
        <v>278</v>
      </c>
      <c r="E280" s="37" t="s">
        <v>62</v>
      </c>
      <c r="F280" s="37" t="s">
        <v>47</v>
      </c>
      <c r="G280" s="37" t="s">
        <v>149</v>
      </c>
      <c r="H280" s="37" t="s">
        <v>172</v>
      </c>
      <c r="I280" s="37" t="s">
        <v>96</v>
      </c>
      <c r="J280" s="38" t="n">
        <v>0</v>
      </c>
      <c r="K280" s="37" t="s">
        <v>31</v>
      </c>
      <c r="L280" s="37" t="s">
        <v>39</v>
      </c>
      <c r="M280" s="39" t="n">
        <v>2.4</v>
      </c>
      <c r="N280" s="39" t="n">
        <v>6.2</v>
      </c>
      <c r="O280" s="40" t="n">
        <f aca="false">IF(OR(M280="",N280=""),"",M280/N280)</f>
        <v>0.387096774193548</v>
      </c>
      <c r="P280" s="41" t="n">
        <v>20</v>
      </c>
      <c r="Q280" s="37" t="str">
        <f aca="false">IF(P280="","",IF(P280=0,"Free","Paid"))</f>
        <v>Paid</v>
      </c>
      <c r="R280" s="39" t="n">
        <v>3.4</v>
      </c>
      <c r="S280" s="37" t="n">
        <v>4</v>
      </c>
      <c r="T280" s="37" t="n">
        <v>6</v>
      </c>
      <c r="U280" s="39" t="n">
        <v>4.8</v>
      </c>
      <c r="V280" s="42" t="n">
        <f aca="false">IF(OR(U280="",M280="",M280=0),"",U280/(M280*7))</f>
        <v>0.285714285714286</v>
      </c>
      <c r="W280" s="37" t="s">
        <v>89</v>
      </c>
      <c r="X280" s="37"/>
      <c r="Y280" s="37" t="s">
        <v>812</v>
      </c>
    </row>
    <row r="281" customFormat="false" ht="15" hidden="false" customHeight="false" outlineLevel="0" collapsed="false">
      <c r="A281" s="37" t="s">
        <v>813</v>
      </c>
      <c r="B281" s="37" t="n">
        <v>39</v>
      </c>
      <c r="C281" s="37" t="str">
        <f aca="false">IF(B281="","",IF(B281&lt;18,"Under 18",IF(B281&lt;25,"18-24",IF(B281&lt;35,"25-34",IF(B281&lt;45,"35-44","45+")))))</f>
        <v>35-44</v>
      </c>
      <c r="D281" s="37" t="s">
        <v>134</v>
      </c>
      <c r="E281" s="37" t="s">
        <v>67</v>
      </c>
      <c r="F281" s="37" t="s">
        <v>48</v>
      </c>
      <c r="G281" s="37" t="s">
        <v>195</v>
      </c>
      <c r="H281" s="37" t="s">
        <v>814</v>
      </c>
      <c r="I281" s="37" t="s">
        <v>94</v>
      </c>
      <c r="J281" s="38" t="n">
        <v>894</v>
      </c>
      <c r="K281" s="37" t="s">
        <v>25</v>
      </c>
      <c r="L281" s="37" t="s">
        <v>42</v>
      </c>
      <c r="M281" s="39" t="n">
        <v>2.8</v>
      </c>
      <c r="N281" s="39" t="n">
        <v>9.2</v>
      </c>
      <c r="O281" s="40" t="n">
        <f aca="false">IF(OR(M281="",N281=""),"",M281/N281)</f>
        <v>0.304347826086957</v>
      </c>
      <c r="P281" s="41" t="n">
        <v>20</v>
      </c>
      <c r="Q281" s="37" t="str">
        <f aca="false">IF(P281="","",IF(P281=0,"Free","Paid"))</f>
        <v>Paid</v>
      </c>
      <c r="R281" s="39" t="n">
        <v>7.9</v>
      </c>
      <c r="S281" s="37" t="n">
        <v>4</v>
      </c>
      <c r="T281" s="37" t="n">
        <v>9</v>
      </c>
      <c r="U281" s="39" t="n">
        <v>3.9</v>
      </c>
      <c r="V281" s="42" t="n">
        <f aca="false">IF(OR(U281="",M281="",M281=0),"",U281/(M281*7))</f>
        <v>0.198979591836735</v>
      </c>
      <c r="W281" s="37" t="s">
        <v>87</v>
      </c>
      <c r="X281" s="37"/>
      <c r="Y281" s="37"/>
    </row>
    <row r="282" customFormat="false" ht="15" hidden="false" customHeight="false" outlineLevel="0" collapsed="false">
      <c r="A282" s="37" t="s">
        <v>815</v>
      </c>
      <c r="B282" s="37" t="n">
        <v>27</v>
      </c>
      <c r="C282" s="37" t="str">
        <f aca="false">IF(B282="","",IF(B282&lt;18,"Under 18",IF(B282&lt;25,"18-24",IF(B282&lt;35,"25-34",IF(B282&lt;45,"35-44","45+")))))</f>
        <v>25-34</v>
      </c>
      <c r="D282" s="37" t="s">
        <v>278</v>
      </c>
      <c r="E282" s="37" t="s">
        <v>64</v>
      </c>
      <c r="F282" s="37" t="s">
        <v>47</v>
      </c>
      <c r="G282" s="37" t="s">
        <v>149</v>
      </c>
      <c r="H282" s="37" t="s">
        <v>164</v>
      </c>
      <c r="I282" s="37" t="s">
        <v>92</v>
      </c>
      <c r="J282" s="38" t="n">
        <v>675</v>
      </c>
      <c r="K282" s="37" t="s">
        <v>28</v>
      </c>
      <c r="L282" s="37" t="s">
        <v>41</v>
      </c>
      <c r="M282" s="39" t="n">
        <v>1.2</v>
      </c>
      <c r="N282" s="39" t="n">
        <v>7.6</v>
      </c>
      <c r="O282" s="40" t="n">
        <f aca="false">IF(OR(M282="",N282=""),"",M282/N282)</f>
        <v>0.157894736842105</v>
      </c>
      <c r="P282" s="41" t="n">
        <v>20</v>
      </c>
      <c r="Q282" s="37" t="str">
        <f aca="false">IF(P282="","",IF(P282=0,"Free","Paid"))</f>
        <v>Paid</v>
      </c>
      <c r="R282" s="39" t="n">
        <v>4.1</v>
      </c>
      <c r="S282" s="37" t="n">
        <v>3</v>
      </c>
      <c r="T282" s="37" t="n">
        <v>6</v>
      </c>
      <c r="U282" s="39" t="n">
        <v>1.1</v>
      </c>
      <c r="V282" s="42" t="n">
        <f aca="false">IF(OR(U282="",M282="",M282=0),"",U282/(M282*7))</f>
        <v>0.130952380952381</v>
      </c>
      <c r="W282" s="37" t="s">
        <v>87</v>
      </c>
      <c r="X282" s="37"/>
      <c r="Y282" s="37" t="s">
        <v>816</v>
      </c>
    </row>
    <row r="283" customFormat="false" ht="15" hidden="false" customHeight="false" outlineLevel="0" collapsed="false">
      <c r="A283" s="37" t="s">
        <v>817</v>
      </c>
      <c r="B283" s="37" t="n">
        <v>31</v>
      </c>
      <c r="C283" s="37" t="str">
        <f aca="false">IF(B283="","",IF(B283&lt;18,"Under 18",IF(B283&lt;25,"18-24",IF(B283&lt;35,"25-34",IF(B283&lt;45,"35-44","45+")))))</f>
        <v>25-34</v>
      </c>
      <c r="D283" s="37" t="s">
        <v>134</v>
      </c>
      <c r="E283" s="37" t="s">
        <v>69</v>
      </c>
      <c r="F283" s="37" t="s">
        <v>47</v>
      </c>
      <c r="G283" s="37" t="s">
        <v>149</v>
      </c>
      <c r="H283" s="37"/>
      <c r="I283" s="37"/>
      <c r="J283" s="38" t="n">
        <v>204</v>
      </c>
      <c r="K283" s="37" t="s">
        <v>31</v>
      </c>
      <c r="L283" s="37" t="s">
        <v>38</v>
      </c>
      <c r="M283" s="39" t="n">
        <v>0.6</v>
      </c>
      <c r="N283" s="39" t="n">
        <v>5.6</v>
      </c>
      <c r="O283" s="40" t="n">
        <f aca="false">IF(OR(M283="",N283=""),"",M283/N283)</f>
        <v>0.107142857142857</v>
      </c>
      <c r="P283" s="41" t="n">
        <v>0</v>
      </c>
      <c r="Q283" s="37" t="str">
        <f aca="false">IF(P283="","",IF(P283=0,"Free","Paid"))</f>
        <v>Free</v>
      </c>
      <c r="R283" s="39" t="n">
        <v>3.3</v>
      </c>
      <c r="S283" s="37" t="n">
        <v>2</v>
      </c>
      <c r="T283" s="37" t="n">
        <v>4</v>
      </c>
      <c r="U283" s="39" t="n">
        <v>3.6</v>
      </c>
      <c r="V283" s="42" t="n">
        <f aca="false">IF(OR(U283="",M283="",M283=0),"",U283/(M283*7))</f>
        <v>0.857142857142857</v>
      </c>
      <c r="W283" s="37" t="s">
        <v>89</v>
      </c>
      <c r="X283" s="37"/>
      <c r="Y283" s="37" t="s">
        <v>818</v>
      </c>
    </row>
    <row r="284" customFormat="false" ht="15" hidden="false" customHeight="false" outlineLevel="0" collapsed="false">
      <c r="A284" s="37" t="s">
        <v>819</v>
      </c>
      <c r="B284" s="37" t="n">
        <v>32</v>
      </c>
      <c r="C284" s="37" t="str">
        <f aca="false">IF(B284="","",IF(B284&lt;18,"Under 18",IF(B284&lt;25,"18-24",IF(B284&lt;35,"25-34",IF(B284&lt;45,"35-44","45+")))))</f>
        <v>25-34</v>
      </c>
      <c r="D284" s="37" t="s">
        <v>134</v>
      </c>
      <c r="E284" s="37" t="s">
        <v>64</v>
      </c>
      <c r="F284" s="37" t="s">
        <v>47</v>
      </c>
      <c r="G284" s="37" t="s">
        <v>160</v>
      </c>
      <c r="H284" s="37" t="s">
        <v>143</v>
      </c>
      <c r="I284" s="37" t="s">
        <v>93</v>
      </c>
      <c r="J284" s="38" t="n">
        <v>0</v>
      </c>
      <c r="K284" s="37" t="s">
        <v>28</v>
      </c>
      <c r="L284" s="37" t="s">
        <v>37</v>
      </c>
      <c r="M284" s="39" t="n">
        <v>3.9</v>
      </c>
      <c r="N284" s="39" t="n">
        <v>4.8</v>
      </c>
      <c r="O284" s="40" t="n">
        <f aca="false">IF(OR(M284="",N284=""),"",M284/N284)</f>
        <v>0.8125</v>
      </c>
      <c r="P284" s="41" t="n">
        <v>0</v>
      </c>
      <c r="Q284" s="37" t="str">
        <f aca="false">IF(P284="","",IF(P284=0,"Free","Paid"))</f>
        <v>Free</v>
      </c>
      <c r="R284" s="39" t="n">
        <v>5.7</v>
      </c>
      <c r="S284" s="37" t="n">
        <v>3</v>
      </c>
      <c r="T284" s="37" t="n">
        <v>6</v>
      </c>
      <c r="U284" s="39" t="n">
        <v>7.3</v>
      </c>
      <c r="V284" s="42" t="n">
        <f aca="false">IF(OR(U284="",M284="",M284=0),"",U284/(M284*7))</f>
        <v>0.267399267399267</v>
      </c>
      <c r="W284" s="37" t="s">
        <v>88</v>
      </c>
      <c r="X284" s="37"/>
      <c r="Y284" s="37" t="s">
        <v>820</v>
      </c>
    </row>
    <row r="285" customFormat="false" ht="15" hidden="false" customHeight="false" outlineLevel="0" collapsed="false">
      <c r="A285" s="37" t="s">
        <v>821</v>
      </c>
      <c r="B285" s="37"/>
      <c r="C285" s="37" t="str">
        <f aca="false">IF(B285="","",IF(B285&lt;18,"Under 18",IF(B285&lt;25,"18-24",IF(B285&lt;35,"25-34",IF(B285&lt;45,"35-44","45+")))))</f>
        <v/>
      </c>
      <c r="D285" s="37" t="s">
        <v>145</v>
      </c>
      <c r="E285" s="37" t="s">
        <v>63</v>
      </c>
      <c r="F285" s="37" t="s">
        <v>48</v>
      </c>
      <c r="G285" s="37" t="s">
        <v>139</v>
      </c>
      <c r="H285" s="37"/>
      <c r="I285" s="37"/>
      <c r="J285" s="38" t="n">
        <v>8255</v>
      </c>
      <c r="K285" s="37" t="s">
        <v>27</v>
      </c>
      <c r="L285" s="37"/>
      <c r="M285" s="39" t="n">
        <v>1.8</v>
      </c>
      <c r="N285" s="39" t="n">
        <v>12.2</v>
      </c>
      <c r="O285" s="40" t="n">
        <f aca="false">IF(OR(M285="",N285=""),"",M285/N285)</f>
        <v>0.147540983606557</v>
      </c>
      <c r="P285" s="41" t="n">
        <v>0</v>
      </c>
      <c r="Q285" s="37" t="str">
        <f aca="false">IF(P285="","",IF(P285=0,"Free","Paid"))</f>
        <v>Free</v>
      </c>
      <c r="R285" s="39" t="n">
        <v>1.8</v>
      </c>
      <c r="S285" s="37" t="n">
        <v>3</v>
      </c>
      <c r="T285" s="37" t="n">
        <v>4</v>
      </c>
      <c r="U285" s="39"/>
      <c r="V285" s="42" t="str">
        <f aca="false">IF(OR(U285="",M285="",M285=0),"",U285/(M285*7))</f>
        <v/>
      </c>
      <c r="W285" s="37" t="s">
        <v>89</v>
      </c>
      <c r="X285" s="37"/>
      <c r="Y285" s="37" t="s">
        <v>822</v>
      </c>
    </row>
    <row r="286" customFormat="false" ht="15" hidden="false" customHeight="false" outlineLevel="0" collapsed="false">
      <c r="A286" s="37" t="s">
        <v>823</v>
      </c>
      <c r="B286" s="37" t="n">
        <v>43</v>
      </c>
      <c r="C286" s="37" t="str">
        <f aca="false">IF(B286="","",IF(B286&lt;18,"Under 18",IF(B286&lt;25,"18-24",IF(B286&lt;35,"25-34",IF(B286&lt;45,"35-44","45+")))))</f>
        <v>35-44</v>
      </c>
      <c r="D286" s="37" t="s">
        <v>134</v>
      </c>
      <c r="E286" s="37" t="s">
        <v>70</v>
      </c>
      <c r="F286" s="37" t="s">
        <v>48</v>
      </c>
      <c r="G286" s="37" t="s">
        <v>195</v>
      </c>
      <c r="H286" s="37" t="s">
        <v>824</v>
      </c>
      <c r="I286" s="37" t="s">
        <v>92</v>
      </c>
      <c r="J286" s="38"/>
      <c r="K286" s="37" t="s">
        <v>25</v>
      </c>
      <c r="L286" s="37" t="s">
        <v>41</v>
      </c>
      <c r="M286" s="39" t="n">
        <v>1.2</v>
      </c>
      <c r="N286" s="39" t="n">
        <v>10.9</v>
      </c>
      <c r="O286" s="40" t="n">
        <f aca="false">IF(OR(M286="",N286=""),"",M286/N286)</f>
        <v>0.110091743119266</v>
      </c>
      <c r="P286" s="41" t="n">
        <v>0</v>
      </c>
      <c r="Q286" s="37" t="str">
        <f aca="false">IF(P286="","",IF(P286=0,"Free","Paid"))</f>
        <v>Free</v>
      </c>
      <c r="R286" s="39" t="n">
        <v>4.7</v>
      </c>
      <c r="S286" s="37" t="n">
        <v>3</v>
      </c>
      <c r="T286" s="37"/>
      <c r="U286" s="39" t="n">
        <v>1</v>
      </c>
      <c r="V286" s="42" t="n">
        <f aca="false">IF(OR(U286="",M286="",M286=0),"",U286/(M286*7))</f>
        <v>0.119047619047619</v>
      </c>
      <c r="W286" s="37" t="s">
        <v>89</v>
      </c>
      <c r="X286" s="37"/>
      <c r="Y286" s="37" t="s">
        <v>825</v>
      </c>
    </row>
    <row r="287" customFormat="false" ht="15" hidden="false" customHeight="false" outlineLevel="0" collapsed="false">
      <c r="A287" s="37" t="s">
        <v>826</v>
      </c>
      <c r="B287" s="37" t="n">
        <v>48</v>
      </c>
      <c r="C287" s="37" t="str">
        <f aca="false">IF(B287="","",IF(B287&lt;18,"Under 18",IF(B287&lt;25,"18-24",IF(B287&lt;35,"25-34",IF(B287&lt;45,"35-44","45+")))))</f>
        <v>45+</v>
      </c>
      <c r="D287" s="37" t="s">
        <v>134</v>
      </c>
      <c r="E287" s="37" t="s">
        <v>67</v>
      </c>
      <c r="F287" s="37" t="s">
        <v>48</v>
      </c>
      <c r="G287" s="37" t="s">
        <v>195</v>
      </c>
      <c r="H287" s="37" t="s">
        <v>827</v>
      </c>
      <c r="I287" s="37" t="s">
        <v>93</v>
      </c>
      <c r="J287" s="38" t="n">
        <v>544</v>
      </c>
      <c r="K287" s="37" t="s">
        <v>26</v>
      </c>
      <c r="L287" s="37" t="s">
        <v>37</v>
      </c>
      <c r="M287" s="39" t="n">
        <v>5.5</v>
      </c>
      <c r="N287" s="39" t="n">
        <v>8.4</v>
      </c>
      <c r="O287" s="40" t="n">
        <f aca="false">IF(OR(M287="",N287=""),"",M287/N287)</f>
        <v>0.654761904761905</v>
      </c>
      <c r="P287" s="41" t="n">
        <v>0</v>
      </c>
      <c r="Q287" s="37" t="str">
        <f aca="false">IF(P287="","",IF(P287=0,"Free","Paid"))</f>
        <v>Free</v>
      </c>
      <c r="R287" s="39" t="n">
        <v>7.8</v>
      </c>
      <c r="S287" s="37" t="n">
        <v>4</v>
      </c>
      <c r="T287" s="37" t="n">
        <v>7</v>
      </c>
      <c r="U287" s="39" t="n">
        <v>11.5</v>
      </c>
      <c r="V287" s="42" t="n">
        <f aca="false">IF(OR(U287="",M287="",M287=0),"",U287/(M287*7))</f>
        <v>0.298701298701299</v>
      </c>
      <c r="W287" s="37" t="s">
        <v>87</v>
      </c>
      <c r="X287" s="37"/>
      <c r="Y287" s="37" t="s">
        <v>828</v>
      </c>
    </row>
    <row r="288" customFormat="false" ht="15" hidden="false" customHeight="false" outlineLevel="0" collapsed="false">
      <c r="A288" s="37" t="s">
        <v>829</v>
      </c>
      <c r="B288" s="37" t="n">
        <v>31</v>
      </c>
      <c r="C288" s="37" t="str">
        <f aca="false">IF(B288="","",IF(B288&lt;18,"Under 18",IF(B288&lt;25,"18-24",IF(B288&lt;35,"25-34",IF(B288&lt;45,"35-44","45+")))))</f>
        <v>25-34</v>
      </c>
      <c r="D288" s="37" t="s">
        <v>145</v>
      </c>
      <c r="E288" s="37" t="s">
        <v>65</v>
      </c>
      <c r="F288" s="37" t="s">
        <v>48</v>
      </c>
      <c r="G288" s="37" t="s">
        <v>195</v>
      </c>
      <c r="H288" s="37" t="s">
        <v>382</v>
      </c>
      <c r="I288" s="37" t="s">
        <v>93</v>
      </c>
      <c r="J288" s="38" t="n">
        <v>448</v>
      </c>
      <c r="K288" s="37" t="s">
        <v>25</v>
      </c>
      <c r="L288" s="37" t="s">
        <v>37</v>
      </c>
      <c r="M288" s="39" t="n">
        <v>0.7</v>
      </c>
      <c r="N288" s="39" t="n">
        <v>9.5</v>
      </c>
      <c r="O288" s="40" t="n">
        <f aca="false">IF(OR(M288="",N288=""),"",M288/N288)</f>
        <v>0.0736842105263158</v>
      </c>
      <c r="P288" s="41" t="n">
        <v>0</v>
      </c>
      <c r="Q288" s="37" t="str">
        <f aca="false">IF(P288="","",IF(P288=0,"Free","Paid"))</f>
        <v>Free</v>
      </c>
      <c r="R288" s="39" t="n">
        <v>4.3</v>
      </c>
      <c r="S288" s="37" t="n">
        <v>3</v>
      </c>
      <c r="T288" s="37" t="n">
        <v>4</v>
      </c>
      <c r="U288" s="39" t="n">
        <v>1.7</v>
      </c>
      <c r="V288" s="42" t="n">
        <f aca="false">IF(OR(U288="",M288="",M288=0),"",U288/(M288*7))</f>
        <v>0.346938775510204</v>
      </c>
      <c r="W288" s="37" t="s">
        <v>89</v>
      </c>
      <c r="X288" s="37"/>
      <c r="Y288" s="37" t="s">
        <v>830</v>
      </c>
    </row>
    <row r="289" customFormat="false" ht="15" hidden="false" customHeight="false" outlineLevel="0" collapsed="false">
      <c r="A289" s="37" t="s">
        <v>831</v>
      </c>
      <c r="B289" s="37" t="n">
        <v>36</v>
      </c>
      <c r="C289" s="37" t="str">
        <f aca="false">IF(B289="","",IF(B289&lt;18,"Under 18",IF(B289&lt;25,"18-24",IF(B289&lt;35,"25-34",IF(B289&lt;45,"35-44","45+")))))</f>
        <v>35-44</v>
      </c>
      <c r="D289" s="37" t="s">
        <v>134</v>
      </c>
      <c r="E289" s="37" t="s">
        <v>63</v>
      </c>
      <c r="F289" s="37" t="s">
        <v>48</v>
      </c>
      <c r="G289" s="37" t="s">
        <v>195</v>
      </c>
      <c r="H289" s="37" t="s">
        <v>175</v>
      </c>
      <c r="I289" s="37" t="s">
        <v>93</v>
      </c>
      <c r="J289" s="38" t="n">
        <v>6766</v>
      </c>
      <c r="K289" s="37" t="s">
        <v>25</v>
      </c>
      <c r="L289" s="37" t="s">
        <v>37</v>
      </c>
      <c r="M289" s="39" t="n">
        <v>2.8</v>
      </c>
      <c r="N289" s="39" t="n">
        <v>8.2</v>
      </c>
      <c r="O289" s="40" t="n">
        <f aca="false">IF(OR(M289="",N289=""),"",M289/N289)</f>
        <v>0.341463414634146</v>
      </c>
      <c r="P289" s="41" t="n">
        <v>0</v>
      </c>
      <c r="Q289" s="37" t="str">
        <f aca="false">IF(P289="","",IF(P289=0,"Free","Paid"))</f>
        <v>Free</v>
      </c>
      <c r="R289" s="39" t="n">
        <v>5.4</v>
      </c>
      <c r="S289" s="37" t="n">
        <v>4</v>
      </c>
      <c r="T289" s="37" t="n">
        <v>7</v>
      </c>
      <c r="U289" s="39" t="n">
        <v>6.2</v>
      </c>
      <c r="V289" s="42" t="n">
        <f aca="false">IF(OR(U289="",M289="",M289=0),"",U289/(M289*7))</f>
        <v>0.316326530612245</v>
      </c>
      <c r="W289" s="37" t="s">
        <v>87</v>
      </c>
      <c r="X289" s="37"/>
      <c r="Y289" s="37" t="s">
        <v>832</v>
      </c>
    </row>
  </sheetData>
  <conditionalFormatting sqref="T2:T289">
    <cfRule type="colorScale" priority="2">
      <colorScale>
        <cfvo type="num" val="3"/>
        <cfvo type="num" val="6"/>
        <cfvo type="num" val="10"/>
        <color rgb="FFFDE2E2"/>
        <color rgb="FFFFFFFF"/>
        <color rgb="FFC7F0E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3AED"/>
    <pageSetUpPr fitToPage="false"/>
  </sheetPr>
  <dimension ref="A1:C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92"/>
    <col collapsed="false" customWidth="true" hidden="false" outlineLevel="0" max="3" min="3" style="0" width="20"/>
  </cols>
  <sheetData>
    <row r="1" customFormat="false" ht="22.05" hidden="false" customHeight="false" outlineLevel="0" collapsed="false">
      <c r="A1" s="21" t="s">
        <v>833</v>
      </c>
    </row>
    <row r="2" customFormat="false" ht="15" hidden="false" customHeight="false" outlineLevel="0" collapsed="false">
      <c r="A2" s="22" t="s">
        <v>834</v>
      </c>
    </row>
    <row r="4" customFormat="false" ht="15" hidden="false" customHeight="false" outlineLevel="0" collapsed="false">
      <c r="A4" s="43" t="s">
        <v>835</v>
      </c>
      <c r="B4" s="44" t="n">
        <f aca="false">COUNTA(Raw_Data!A:A)-1</f>
        <v>300</v>
      </c>
    </row>
    <row r="5" customFormat="false" ht="15" hidden="false" customHeight="false" outlineLevel="0" collapsed="false">
      <c r="A5" s="43" t="s">
        <v>836</v>
      </c>
      <c r="B5" s="44" t="n">
        <f aca="false">COUNTA(Clean_Data!A:A)-1</f>
        <v>288</v>
      </c>
    </row>
    <row r="6" customFormat="false" ht="15" hidden="false" customHeight="false" outlineLevel="0" collapsed="false">
      <c r="A6" s="43" t="s">
        <v>837</v>
      </c>
      <c r="B6" s="44" t="n">
        <v>19</v>
      </c>
    </row>
    <row r="7" customFormat="false" ht="15" hidden="false" customHeight="false" outlineLevel="0" collapsed="false">
      <c r="A7" s="43" t="s">
        <v>838</v>
      </c>
      <c r="B7" s="44" t="n">
        <v>25</v>
      </c>
    </row>
    <row r="9" customFormat="false" ht="15" hidden="false" customHeight="false" outlineLevel="0" collapsed="false">
      <c r="A9" s="45" t="s">
        <v>839</v>
      </c>
      <c r="B9" s="45" t="s">
        <v>840</v>
      </c>
      <c r="C9" s="45" t="s">
        <v>841</v>
      </c>
    </row>
    <row r="10" customFormat="false" ht="43.5" hidden="false" customHeight="true" outlineLevel="0" collapsed="false">
      <c r="A10" s="46" t="s">
        <v>842</v>
      </c>
      <c r="B10" s="47" t="s">
        <v>843</v>
      </c>
      <c r="C10" s="48" t="n">
        <v>12</v>
      </c>
    </row>
    <row r="11" customFormat="false" ht="43.5" hidden="false" customHeight="true" outlineLevel="0" collapsed="false">
      <c r="A11" s="46" t="s">
        <v>844</v>
      </c>
      <c r="B11" s="47" t="s">
        <v>845</v>
      </c>
      <c r="C11" s="48" t="n">
        <v>12</v>
      </c>
    </row>
    <row r="12" customFormat="false" ht="43.5" hidden="false" customHeight="true" outlineLevel="0" collapsed="false">
      <c r="A12" s="46" t="s">
        <v>846</v>
      </c>
      <c r="B12" s="47" t="s">
        <v>845</v>
      </c>
      <c r="C12" s="48" t="n">
        <v>6</v>
      </c>
    </row>
    <row r="13" customFormat="false" ht="43.5" hidden="false" customHeight="true" outlineLevel="0" collapsed="false">
      <c r="A13" s="46" t="s">
        <v>847</v>
      </c>
      <c r="B13" s="47" t="s">
        <v>845</v>
      </c>
      <c r="C13" s="48" t="n">
        <v>21</v>
      </c>
    </row>
    <row r="14" customFormat="false" ht="43.5" hidden="false" customHeight="true" outlineLevel="0" collapsed="false">
      <c r="A14" s="46" t="s">
        <v>848</v>
      </c>
      <c r="B14" s="47" t="s">
        <v>845</v>
      </c>
      <c r="C14" s="48" t="n">
        <v>12</v>
      </c>
    </row>
    <row r="15" customFormat="false" ht="43.5" hidden="false" customHeight="true" outlineLevel="0" collapsed="false">
      <c r="A15" s="46" t="s">
        <v>849</v>
      </c>
      <c r="B15" s="47" t="s">
        <v>845</v>
      </c>
      <c r="C15" s="48" t="n">
        <v>15</v>
      </c>
    </row>
    <row r="16" customFormat="false" ht="43.5" hidden="false" customHeight="true" outlineLevel="0" collapsed="false">
      <c r="A16" s="46" t="s">
        <v>850</v>
      </c>
      <c r="B16" s="47" t="s">
        <v>845</v>
      </c>
      <c r="C16" s="48" t="n">
        <v>15</v>
      </c>
    </row>
    <row r="17" customFormat="false" ht="43.5" hidden="false" customHeight="true" outlineLevel="0" collapsed="false">
      <c r="A17" s="46" t="s">
        <v>851</v>
      </c>
      <c r="B17" s="47" t="s">
        <v>852</v>
      </c>
      <c r="C17" s="48" t="n">
        <v>63</v>
      </c>
    </row>
    <row r="18" customFormat="false" ht="43.5" hidden="false" customHeight="true" outlineLevel="0" collapsed="false">
      <c r="A18" s="46" t="s">
        <v>853</v>
      </c>
      <c r="B18" s="47" t="s">
        <v>854</v>
      </c>
      <c r="C18" s="48" t="n">
        <v>14</v>
      </c>
    </row>
    <row r="19" customFormat="false" ht="43.5" hidden="false" customHeight="true" outlineLevel="0" collapsed="false">
      <c r="A19" s="46" t="s">
        <v>855</v>
      </c>
      <c r="B19" s="47" t="s">
        <v>856</v>
      </c>
      <c r="C19" s="48" t="n">
        <v>16</v>
      </c>
    </row>
    <row r="20" customFormat="false" ht="43.5" hidden="false" customHeight="true" outlineLevel="0" collapsed="false">
      <c r="A20" s="46" t="s">
        <v>857</v>
      </c>
      <c r="B20" s="47" t="s">
        <v>858</v>
      </c>
      <c r="C20" s="48" t="n">
        <v>16</v>
      </c>
    </row>
    <row r="21" customFormat="false" ht="43.5" hidden="false" customHeight="true" outlineLevel="0" collapsed="false">
      <c r="A21" s="46" t="s">
        <v>859</v>
      </c>
      <c r="B21" s="47" t="s">
        <v>860</v>
      </c>
      <c r="C21" s="48" t="n">
        <v>2</v>
      </c>
    </row>
    <row r="22" customFormat="false" ht="43.5" hidden="false" customHeight="true" outlineLevel="0" collapsed="false">
      <c r="A22" s="46" t="s">
        <v>861</v>
      </c>
      <c r="B22" s="47" t="s">
        <v>862</v>
      </c>
      <c r="C22" s="48" t="n">
        <v>1</v>
      </c>
    </row>
    <row r="23" customFormat="false" ht="43.5" hidden="false" customHeight="true" outlineLevel="0" collapsed="false">
      <c r="A23" s="46" t="s">
        <v>863</v>
      </c>
      <c r="B23" s="47" t="s">
        <v>864</v>
      </c>
      <c r="C23" s="48" t="n">
        <v>1</v>
      </c>
    </row>
    <row r="24" customFormat="false" ht="43.5" hidden="false" customHeight="true" outlineLevel="0" collapsed="false">
      <c r="A24" s="46" t="s">
        <v>865</v>
      </c>
      <c r="B24" s="47" t="s">
        <v>866</v>
      </c>
      <c r="C24" s="48" t="n">
        <v>22</v>
      </c>
    </row>
    <row r="25" customFormat="false" ht="43.5" hidden="false" customHeight="true" outlineLevel="0" collapsed="false">
      <c r="A25" s="46" t="s">
        <v>867</v>
      </c>
      <c r="B25" s="47" t="s">
        <v>868</v>
      </c>
      <c r="C25" s="48" t="n">
        <v>1</v>
      </c>
    </row>
    <row r="26" customFormat="false" ht="43.5" hidden="false" customHeight="true" outlineLevel="0" collapsed="false">
      <c r="A26" s="46" t="s">
        <v>869</v>
      </c>
      <c r="B26" s="47" t="s">
        <v>870</v>
      </c>
      <c r="C26" s="48" t="n">
        <v>274</v>
      </c>
    </row>
    <row r="27" customFormat="false" ht="43.5" hidden="false" customHeight="true" outlineLevel="0" collapsed="false">
      <c r="A27" s="46" t="s">
        <v>871</v>
      </c>
      <c r="B27" s="47" t="s">
        <v>872</v>
      </c>
      <c r="C27" s="48" t="n">
        <v>215</v>
      </c>
    </row>
    <row r="28" customFormat="false" ht="15" hidden="false" customHeight="false" outlineLevel="0" collapsed="false">
      <c r="A28" s="33" t="s">
        <v>873</v>
      </c>
    </row>
    <row r="31" customFormat="false" ht="15" hidden="false" customHeight="false" outlineLevel="0" collapsed="false">
      <c r="A31" s="23" t="s">
        <v>874</v>
      </c>
    </row>
    <row r="32" customFormat="false" ht="15" hidden="false" customHeight="false" outlineLevel="0" collapsed="false">
      <c r="A32" s="45" t="s">
        <v>875</v>
      </c>
      <c r="B32" s="45" t="s">
        <v>876</v>
      </c>
      <c r="C32" s="45" t="s">
        <v>877</v>
      </c>
    </row>
    <row r="33" customFormat="false" ht="15" hidden="false" customHeight="false" outlineLevel="0" collapsed="false">
      <c r="A33" s="49" t="s">
        <v>109</v>
      </c>
      <c r="B33" s="44" t="n">
        <f aca="false">SUMPRODUCT(--(LEN(Clean_Data!$A$2:$A$289)=0))</f>
        <v>0</v>
      </c>
      <c r="C33" s="50" t="n">
        <f aca="false">1-B33/COUNTA(Clean_Data!$A$2:$A$289)</f>
        <v>1</v>
      </c>
    </row>
    <row r="34" customFormat="false" ht="15" hidden="false" customHeight="false" outlineLevel="0" collapsed="false">
      <c r="A34" s="49" t="s">
        <v>110</v>
      </c>
      <c r="B34" s="44" t="n">
        <f aca="false">SUMPRODUCT(--(LEN(Clean_Data!$B$2:$B$289)=0))</f>
        <v>25</v>
      </c>
      <c r="C34" s="50" t="n">
        <f aca="false">1-B34/COUNTA(Clean_Data!$A$2:$A$289)</f>
        <v>0.913194444444444</v>
      </c>
    </row>
    <row r="35" customFormat="false" ht="15" hidden="false" customHeight="false" outlineLevel="0" collapsed="false">
      <c r="A35" s="49" t="s">
        <v>111</v>
      </c>
      <c r="B35" s="44" t="n">
        <f aca="false">SUMPRODUCT(--(LEN(Clean_Data!$C$2:$C$289)=0))</f>
        <v>25</v>
      </c>
      <c r="C35" s="50" t="n">
        <f aca="false">1-B35/COUNTA(Clean_Data!$A$2:$A$289)</f>
        <v>0.913194444444444</v>
      </c>
    </row>
    <row r="36" customFormat="false" ht="15" hidden="false" customHeight="false" outlineLevel="0" collapsed="false">
      <c r="A36" s="49" t="s">
        <v>112</v>
      </c>
      <c r="B36" s="44" t="n">
        <f aca="false">SUMPRODUCT(--(LEN(Clean_Data!$D$2:$D$289)=0))</f>
        <v>10</v>
      </c>
      <c r="C36" s="50" t="n">
        <f aca="false">1-B36/COUNTA(Clean_Data!$A$2:$A$289)</f>
        <v>0.965277777777778</v>
      </c>
    </row>
    <row r="37" customFormat="false" ht="15" hidden="false" customHeight="false" outlineLevel="0" collapsed="false">
      <c r="A37" s="49" t="s">
        <v>61</v>
      </c>
      <c r="B37" s="44" t="n">
        <f aca="false">SUMPRODUCT(--(LEN(Clean_Data!$E$2:$E$289)=0))</f>
        <v>10</v>
      </c>
      <c r="C37" s="50" t="n">
        <f aca="false">1-B37/COUNTA(Clean_Data!$A$2:$A$289)</f>
        <v>0.965277777777778</v>
      </c>
    </row>
    <row r="38" customFormat="false" ht="15" hidden="false" customHeight="false" outlineLevel="0" collapsed="false">
      <c r="A38" s="49" t="s">
        <v>113</v>
      </c>
      <c r="B38" s="44" t="n">
        <f aca="false">SUMPRODUCT(--(LEN(Clean_Data!$F$2:$F$289)=0))</f>
        <v>0</v>
      </c>
      <c r="C38" s="50" t="n">
        <f aca="false">1-B38/COUNTA(Clean_Data!$A$2:$A$289)</f>
        <v>1</v>
      </c>
    </row>
    <row r="39" customFormat="false" ht="15" hidden="false" customHeight="false" outlineLevel="0" collapsed="false">
      <c r="A39" s="49" t="s">
        <v>114</v>
      </c>
      <c r="B39" s="44" t="n">
        <f aca="false">SUMPRODUCT(--(LEN(Clean_Data!$G$2:$G$289)=0))</f>
        <v>12</v>
      </c>
      <c r="C39" s="50" t="n">
        <f aca="false">1-B39/COUNTA(Clean_Data!$A$2:$A$289)</f>
        <v>0.958333333333333</v>
      </c>
    </row>
    <row r="40" customFormat="false" ht="15" hidden="false" customHeight="false" outlineLevel="0" collapsed="false">
      <c r="A40" s="49" t="s">
        <v>115</v>
      </c>
      <c r="B40" s="44" t="n">
        <f aca="false">SUMPRODUCT(--(LEN(Clean_Data!$H$2:$H$289)=0))</f>
        <v>14</v>
      </c>
      <c r="C40" s="50" t="n">
        <f aca="false">1-B40/COUNTA(Clean_Data!$A$2:$A$289)</f>
        <v>0.951388888888889</v>
      </c>
    </row>
    <row r="41" customFormat="false" ht="15" hidden="false" customHeight="false" outlineLevel="0" collapsed="false">
      <c r="A41" s="49" t="s">
        <v>116</v>
      </c>
      <c r="B41" s="44" t="n">
        <f aca="false">SUMPRODUCT(--(LEN(Clean_Data!$I$2:$I$289)=0))</f>
        <v>14</v>
      </c>
      <c r="C41" s="50" t="n">
        <f aca="false">1-B41/COUNTA(Clean_Data!$A$2:$A$289)</f>
        <v>0.951388888888889</v>
      </c>
    </row>
    <row r="42" customFormat="false" ht="15" hidden="false" customHeight="false" outlineLevel="0" collapsed="false">
      <c r="A42" s="49" t="s">
        <v>117</v>
      </c>
      <c r="B42" s="44" t="n">
        <f aca="false">SUMPRODUCT(--(LEN(Clean_Data!$J$2:$J$289)=0))</f>
        <v>11</v>
      </c>
      <c r="C42" s="50" t="n">
        <f aca="false">1-B42/COUNTA(Clean_Data!$A$2:$A$289)</f>
        <v>0.961805555555556</v>
      </c>
    </row>
    <row r="43" customFormat="false" ht="15" hidden="false" customHeight="false" outlineLevel="0" collapsed="false">
      <c r="A43" s="49" t="s">
        <v>118</v>
      </c>
      <c r="B43" s="44" t="n">
        <f aca="false">SUMPRODUCT(--(LEN(Clean_Data!$K$2:$K$289)=0))</f>
        <v>10</v>
      </c>
      <c r="C43" s="50" t="n">
        <f aca="false">1-B43/COUNTA(Clean_Data!$A$2:$A$289)</f>
        <v>0.965277777777778</v>
      </c>
    </row>
    <row r="44" customFormat="false" ht="15" hidden="false" customHeight="false" outlineLevel="0" collapsed="false">
      <c r="A44" s="49" t="s">
        <v>119</v>
      </c>
      <c r="B44" s="44" t="n">
        <f aca="false">SUMPRODUCT(--(LEN(Clean_Data!$L$2:$L$289)=0))</f>
        <v>13</v>
      </c>
      <c r="C44" s="50" t="n">
        <f aca="false">1-B44/COUNTA(Clean_Data!$A$2:$A$289)</f>
        <v>0.954861111111111</v>
      </c>
    </row>
    <row r="45" customFormat="false" ht="15" hidden="false" customHeight="false" outlineLevel="0" collapsed="false">
      <c r="A45" s="49" t="s">
        <v>120</v>
      </c>
      <c r="B45" s="44" t="n">
        <f aca="false">SUMPRODUCT(--(LEN(Clean_Data!$M$2:$M$289)=0))</f>
        <v>8</v>
      </c>
      <c r="C45" s="50" t="n">
        <f aca="false">1-B45/COUNTA(Clean_Data!$A$2:$A$289)</f>
        <v>0.972222222222222</v>
      </c>
    </row>
    <row r="46" customFormat="false" ht="15" hidden="false" customHeight="false" outlineLevel="0" collapsed="false">
      <c r="A46" s="49" t="s">
        <v>121</v>
      </c>
      <c r="B46" s="44" t="n">
        <f aca="false">SUMPRODUCT(--(LEN(Clean_Data!$N$2:$N$289)=0))</f>
        <v>9</v>
      </c>
      <c r="C46" s="50" t="n">
        <f aca="false">1-B46/COUNTA(Clean_Data!$A$2:$A$289)</f>
        <v>0.96875</v>
      </c>
    </row>
    <row r="47" customFormat="false" ht="15" hidden="false" customHeight="false" outlineLevel="0" collapsed="false">
      <c r="A47" s="49" t="s">
        <v>122</v>
      </c>
      <c r="B47" s="44" t="n">
        <f aca="false">SUMPRODUCT(--(LEN(Clean_Data!$O$2:$O$289)=0))</f>
        <v>17</v>
      </c>
      <c r="C47" s="50" t="n">
        <f aca="false">1-B47/COUNTA(Clean_Data!$A$2:$A$289)</f>
        <v>0.940972222222222</v>
      </c>
    </row>
    <row r="48" customFormat="false" ht="15" hidden="false" customHeight="false" outlineLevel="0" collapsed="false">
      <c r="A48" s="49" t="s">
        <v>123</v>
      </c>
      <c r="B48" s="44" t="n">
        <f aca="false">SUMPRODUCT(--(LEN(Clean_Data!$P$2:$P$289)=0))</f>
        <v>12</v>
      </c>
      <c r="C48" s="50" t="n">
        <f aca="false">1-B48/COUNTA(Clean_Data!$A$2:$A$289)</f>
        <v>0.958333333333333</v>
      </c>
    </row>
    <row r="49" customFormat="false" ht="15" hidden="false" customHeight="false" outlineLevel="0" collapsed="false">
      <c r="A49" s="49" t="s">
        <v>124</v>
      </c>
      <c r="B49" s="44" t="n">
        <f aca="false">SUMPRODUCT(--(LEN(Clean_Data!$Q$2:$Q$289)=0))</f>
        <v>12</v>
      </c>
      <c r="C49" s="50" t="n">
        <f aca="false">1-B49/COUNTA(Clean_Data!$A$2:$A$289)</f>
        <v>0.958333333333333</v>
      </c>
    </row>
    <row r="50" customFormat="false" ht="15" hidden="false" customHeight="false" outlineLevel="0" collapsed="false">
      <c r="A50" s="49" t="s">
        <v>125</v>
      </c>
      <c r="B50" s="44" t="n">
        <f aca="false">SUMPRODUCT(--(LEN(Clean_Data!$R$2:$R$289)=0))</f>
        <v>14</v>
      </c>
      <c r="C50" s="50" t="n">
        <f aca="false">1-B50/COUNTA(Clean_Data!$A$2:$A$289)</f>
        <v>0.951388888888889</v>
      </c>
    </row>
    <row r="51" customFormat="false" ht="15" hidden="false" customHeight="false" outlineLevel="0" collapsed="false">
      <c r="A51" s="49" t="s">
        <v>126</v>
      </c>
      <c r="B51" s="44" t="n">
        <f aca="false">SUMPRODUCT(--(LEN(Clean_Data!$S$2:$S$289)=0))</f>
        <v>14</v>
      </c>
      <c r="C51" s="50" t="n">
        <f aca="false">1-B51/COUNTA(Clean_Data!$A$2:$A$289)</f>
        <v>0.951388888888889</v>
      </c>
    </row>
    <row r="52" customFormat="false" ht="15" hidden="false" customHeight="false" outlineLevel="0" collapsed="false">
      <c r="A52" s="49" t="s">
        <v>127</v>
      </c>
      <c r="B52" s="44" t="n">
        <f aca="false">SUMPRODUCT(--(LEN(Clean_Data!$T$2:$T$289)=0))</f>
        <v>7</v>
      </c>
      <c r="C52" s="50" t="n">
        <f aca="false">1-B52/COUNTA(Clean_Data!$A$2:$A$289)</f>
        <v>0.975694444444444</v>
      </c>
    </row>
    <row r="53" customFormat="false" ht="15" hidden="false" customHeight="false" outlineLevel="0" collapsed="false">
      <c r="A53" s="49" t="s">
        <v>128</v>
      </c>
      <c r="B53" s="44" t="n">
        <f aca="false">SUMPRODUCT(--(LEN(Clean_Data!$U$2:$U$289)=0))</f>
        <v>10</v>
      </c>
      <c r="C53" s="50" t="n">
        <f aca="false">1-B53/COUNTA(Clean_Data!$A$2:$A$289)</f>
        <v>0.965277777777778</v>
      </c>
    </row>
    <row r="54" customFormat="false" ht="15" hidden="false" customHeight="false" outlineLevel="0" collapsed="false">
      <c r="A54" s="49" t="s">
        <v>129</v>
      </c>
      <c r="B54" s="44" t="n">
        <f aca="false">SUMPRODUCT(--(LEN(Clean_Data!$V$2:$V$289)=0))</f>
        <v>18</v>
      </c>
      <c r="C54" s="50" t="n">
        <f aca="false">1-B54/COUNTA(Clean_Data!$A$2:$A$289)</f>
        <v>0.9375</v>
      </c>
    </row>
    <row r="55" customFormat="false" ht="15" hidden="false" customHeight="false" outlineLevel="0" collapsed="false">
      <c r="A55" s="49" t="s">
        <v>130</v>
      </c>
      <c r="B55" s="44" t="n">
        <f aca="false">SUMPRODUCT(--(LEN(Clean_Data!$W$2:$W$289)=0))</f>
        <v>5</v>
      </c>
      <c r="C55" s="50" t="n">
        <f aca="false">1-B55/COUNTA(Clean_Data!$A$2:$A$289)</f>
        <v>0.982638888888889</v>
      </c>
    </row>
    <row r="56" customFormat="false" ht="15" hidden="false" customHeight="false" outlineLevel="0" collapsed="false">
      <c r="A56" s="49" t="s">
        <v>132</v>
      </c>
      <c r="B56" s="44" t="n">
        <f aca="false">SUMPRODUCT(--(LEN(Clean_Data!$Y$2:$Y$289)=0))</f>
        <v>17</v>
      </c>
      <c r="C56" s="50" t="n">
        <f aca="false">1-B56/COUNTA(Clean_Data!$A$2:$A$289)</f>
        <v>0.940972222222222</v>
      </c>
    </row>
    <row r="59" customFormat="false" ht="15" hidden="false" customHeight="false" outlineLevel="0" collapsed="false">
      <c r="A59" s="23" t="s">
        <v>878</v>
      </c>
    </row>
    <row r="60" customFormat="false" ht="30" hidden="false" customHeight="true" outlineLevel="0" collapsed="false">
      <c r="A60" s="51" t="s">
        <v>879</v>
      </c>
      <c r="B60" s="51"/>
      <c r="C60" s="51"/>
    </row>
    <row r="61" customFormat="false" ht="30" hidden="false" customHeight="true" outlineLevel="0" collapsed="false">
      <c r="A61" s="51" t="s">
        <v>880</v>
      </c>
      <c r="B61" s="51"/>
      <c r="C61" s="51"/>
    </row>
    <row r="62" customFormat="false" ht="30" hidden="false" customHeight="true" outlineLevel="0" collapsed="false">
      <c r="A62" s="51" t="s">
        <v>881</v>
      </c>
      <c r="B62" s="51"/>
      <c r="C62" s="51"/>
    </row>
    <row r="63" customFormat="false" ht="30" hidden="false" customHeight="true" outlineLevel="0" collapsed="false">
      <c r="A63" s="51" t="s">
        <v>882</v>
      </c>
      <c r="B63" s="51"/>
      <c r="C63" s="51"/>
    </row>
    <row r="64" customFormat="false" ht="30" hidden="false" customHeight="true" outlineLevel="0" collapsed="false">
      <c r="A64" s="51" t="s">
        <v>883</v>
      </c>
      <c r="B64" s="51"/>
      <c r="C64" s="51"/>
    </row>
    <row r="65" customFormat="false" ht="30" hidden="false" customHeight="true" outlineLevel="0" collapsed="false">
      <c r="A65" s="51" t="s">
        <v>884</v>
      </c>
      <c r="B65" s="51"/>
      <c r="C65" s="51"/>
    </row>
  </sheetData>
  <mergeCells count="6">
    <mergeCell ref="A60:C60"/>
    <mergeCell ref="A61:C61"/>
    <mergeCell ref="A62:C62"/>
    <mergeCell ref="A63:C63"/>
    <mergeCell ref="A64:C64"/>
    <mergeCell ref="A65:C65"/>
  </mergeCells>
  <conditionalFormatting sqref="C33:C56">
    <cfRule type="dataBar" priority="2">
      <dataBar showValue="1" minLength="10" maxLength="90">
        <cfvo type="num" val="0"/>
        <cfvo type="num" val="1"/>
        <color rgb="FF14B8A6"/>
      </dataBar>
      <extLst>
        <ext xmlns:x14="http://schemas.microsoft.com/office/spreadsheetml/2009/9/main" uri="{B025F937-C7B1-47D3-B67F-A62EFF666E3E}">
          <x14:id>{773BA19B-9EE9-4CF8-8267-90426649B57B}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73BA19B-9EE9-4CF8-8267-90426649B57B}">
            <x14:dataBar minLength="10" maxLength="90" axisPosition="none" gradient="true">
              <x14:cfvo type="num">
                <xm:f>0</xm:f>
              </x14:cfvo>
              <x14:cfvo type="num">
                <xm:f>1</xm:f>
              </x14:cfvo>
              <x14:negativeFillColor rgb="FF14B8A6"/>
              <x14:axisColor rgb="FF000000"/>
            </x14:dataBar>
          </x14:cfRule>
          <xm:sqref>C33:C56</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false"/>
  </sheetPr>
  <dimension ref="A1:S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1" min="1" style="0" width="16"/>
    <col collapsed="false" customWidth="true" hidden="false" outlineLevel="0" max="12" min="12" style="0" width="50"/>
    <col collapsed="false" customWidth="true" hidden="false" outlineLevel="0" max="19" min="13" style="0" width="16"/>
  </cols>
  <sheetData>
    <row r="1" customFormat="false" ht="15" hidden="false" customHeight="false" outlineLevel="0" collapsed="false">
      <c r="A1" s="52" t="s">
        <v>109</v>
      </c>
      <c r="B1" s="52" t="s">
        <v>110</v>
      </c>
      <c r="C1" s="52" t="s">
        <v>112</v>
      </c>
      <c r="D1" s="52" t="s">
        <v>61</v>
      </c>
      <c r="E1" s="52" t="s">
        <v>113</v>
      </c>
      <c r="F1" s="52" t="s">
        <v>114</v>
      </c>
      <c r="G1" s="52" t="s">
        <v>115</v>
      </c>
      <c r="H1" s="52" t="s">
        <v>117</v>
      </c>
      <c r="I1" s="52" t="s">
        <v>118</v>
      </c>
      <c r="J1" s="52" t="s">
        <v>119</v>
      </c>
      <c r="K1" s="52" t="s">
        <v>885</v>
      </c>
      <c r="L1" s="52" t="s">
        <v>132</v>
      </c>
      <c r="M1" s="52" t="s">
        <v>123</v>
      </c>
      <c r="N1" s="52" t="s">
        <v>125</v>
      </c>
      <c r="O1" s="52" t="s">
        <v>126</v>
      </c>
      <c r="P1" s="52" t="s">
        <v>127</v>
      </c>
      <c r="Q1" s="52" t="s">
        <v>128</v>
      </c>
      <c r="R1" s="52" t="s">
        <v>886</v>
      </c>
      <c r="S1" s="52" t="s">
        <v>130</v>
      </c>
    </row>
    <row r="2" customFormat="false" ht="15" hidden="false" customHeight="false" outlineLevel="0" collapsed="false">
      <c r="A2" s="37" t="s">
        <v>133</v>
      </c>
      <c r="B2" s="37" t="s">
        <v>887</v>
      </c>
      <c r="C2" s="37" t="s">
        <v>134</v>
      </c>
      <c r="D2" s="37" t="s">
        <v>66</v>
      </c>
      <c r="E2" s="37" t="s">
        <v>48</v>
      </c>
      <c r="F2" s="37" t="s">
        <v>135</v>
      </c>
      <c r="G2" s="37" t="s">
        <v>136</v>
      </c>
      <c r="H2" s="37" t="s">
        <v>888</v>
      </c>
      <c r="I2" s="37" t="s">
        <v>25</v>
      </c>
      <c r="J2" s="37" t="s">
        <v>44</v>
      </c>
      <c r="K2" s="37" t="s">
        <v>889</v>
      </c>
      <c r="L2" s="37" t="s">
        <v>137</v>
      </c>
      <c r="M2" s="37"/>
      <c r="N2" s="37" t="s">
        <v>890</v>
      </c>
      <c r="O2" s="37" t="s">
        <v>891</v>
      </c>
      <c r="P2" s="37" t="s">
        <v>892</v>
      </c>
      <c r="Q2" s="37" t="s">
        <v>893</v>
      </c>
      <c r="R2" s="37" t="s">
        <v>894</v>
      </c>
      <c r="S2" s="37" t="s">
        <v>87</v>
      </c>
    </row>
    <row r="3" customFormat="false" ht="15" hidden="false" customHeight="false" outlineLevel="0" collapsed="false">
      <c r="A3" s="37" t="s">
        <v>138</v>
      </c>
      <c r="B3" s="37" t="s">
        <v>887</v>
      </c>
      <c r="C3" s="37" t="s">
        <v>134</v>
      </c>
      <c r="D3" s="37" t="s">
        <v>63</v>
      </c>
      <c r="E3" s="37" t="s">
        <v>48</v>
      </c>
      <c r="F3" s="37" t="s">
        <v>139</v>
      </c>
      <c r="G3" s="37" t="s">
        <v>140</v>
      </c>
      <c r="H3" s="37" t="s">
        <v>895</v>
      </c>
      <c r="I3" s="37" t="s">
        <v>25</v>
      </c>
      <c r="J3" s="37" t="s">
        <v>43</v>
      </c>
      <c r="K3" s="37" t="s">
        <v>896</v>
      </c>
      <c r="L3" s="37" t="s">
        <v>141</v>
      </c>
      <c r="M3" s="37" t="s">
        <v>897</v>
      </c>
      <c r="N3" s="37" t="s">
        <v>898</v>
      </c>
      <c r="O3" s="37" t="s">
        <v>899</v>
      </c>
      <c r="P3" s="37" t="s">
        <v>900</v>
      </c>
      <c r="Q3" s="37" t="s">
        <v>901</v>
      </c>
      <c r="R3" s="37" t="s">
        <v>902</v>
      </c>
      <c r="S3" s="37" t="s">
        <v>87</v>
      </c>
    </row>
    <row r="4" customFormat="false" ht="15" hidden="false" customHeight="false" outlineLevel="0" collapsed="false">
      <c r="A4" s="37" t="s">
        <v>142</v>
      </c>
      <c r="B4" s="37" t="s">
        <v>903</v>
      </c>
      <c r="C4" s="37" t="s">
        <v>134</v>
      </c>
      <c r="D4" s="37" t="s">
        <v>64</v>
      </c>
      <c r="E4" s="37" t="s">
        <v>47</v>
      </c>
      <c r="F4" s="37"/>
      <c r="G4" s="37" t="s">
        <v>143</v>
      </c>
      <c r="H4" s="37" t="s">
        <v>904</v>
      </c>
      <c r="I4" s="37" t="s">
        <v>905</v>
      </c>
      <c r="J4" s="37" t="s">
        <v>37</v>
      </c>
      <c r="K4" s="37" t="s">
        <v>906</v>
      </c>
      <c r="L4" s="37"/>
      <c r="M4" s="37" t="s">
        <v>907</v>
      </c>
      <c r="N4" s="37" t="s">
        <v>908</v>
      </c>
      <c r="O4" s="37" t="s">
        <v>909</v>
      </c>
      <c r="P4" s="37" t="s">
        <v>891</v>
      </c>
      <c r="Q4" s="37" t="s">
        <v>910</v>
      </c>
      <c r="R4" s="37" t="s">
        <v>911</v>
      </c>
      <c r="S4" s="37" t="s">
        <v>89</v>
      </c>
    </row>
    <row r="5" customFormat="false" ht="15" hidden="false" customHeight="false" outlineLevel="0" collapsed="false">
      <c r="A5" s="37" t="s">
        <v>144</v>
      </c>
      <c r="B5" s="37" t="s">
        <v>912</v>
      </c>
      <c r="C5" s="37" t="s">
        <v>913</v>
      </c>
      <c r="D5" s="37" t="s">
        <v>67</v>
      </c>
      <c r="E5" s="37" t="s">
        <v>48</v>
      </c>
      <c r="F5" s="37" t="s">
        <v>139</v>
      </c>
      <c r="G5" s="37" t="s">
        <v>146</v>
      </c>
      <c r="H5" s="37" t="s">
        <v>914</v>
      </c>
      <c r="I5" s="37" t="s">
        <v>31</v>
      </c>
      <c r="J5" s="37" t="s">
        <v>37</v>
      </c>
      <c r="K5" s="37" t="s">
        <v>915</v>
      </c>
      <c r="L5" s="37" t="s">
        <v>147</v>
      </c>
      <c r="M5" s="37" t="s">
        <v>907</v>
      </c>
      <c r="N5" s="37" t="s">
        <v>916</v>
      </c>
      <c r="O5" s="37" t="s">
        <v>891</v>
      </c>
      <c r="P5" s="37" t="s">
        <v>917</v>
      </c>
      <c r="Q5" s="37" t="s">
        <v>918</v>
      </c>
      <c r="R5" s="37" t="s">
        <v>919</v>
      </c>
      <c r="S5" s="37" t="s">
        <v>88</v>
      </c>
    </row>
    <row r="6" customFormat="false" ht="15" hidden="false" customHeight="false" outlineLevel="0" collapsed="false">
      <c r="A6" s="37" t="s">
        <v>148</v>
      </c>
      <c r="B6" s="37" t="s">
        <v>920</v>
      </c>
      <c r="C6" s="37" t="s">
        <v>145</v>
      </c>
      <c r="D6" s="37" t="s">
        <v>64</v>
      </c>
      <c r="E6" s="37" t="s">
        <v>47</v>
      </c>
      <c r="F6" s="37" t="s">
        <v>149</v>
      </c>
      <c r="G6" s="37" t="s">
        <v>150</v>
      </c>
      <c r="H6" s="37" t="s">
        <v>921</v>
      </c>
      <c r="I6" s="37" t="s">
        <v>29</v>
      </c>
      <c r="J6" s="37"/>
      <c r="K6" s="37" t="s">
        <v>922</v>
      </c>
      <c r="L6" s="37" t="s">
        <v>151</v>
      </c>
      <c r="M6" s="37" t="s">
        <v>897</v>
      </c>
      <c r="N6" s="37" t="s">
        <v>923</v>
      </c>
      <c r="O6" s="37" t="s">
        <v>891</v>
      </c>
      <c r="P6" s="37" t="s">
        <v>892</v>
      </c>
      <c r="Q6" s="37" t="s">
        <v>924</v>
      </c>
      <c r="R6" s="37" t="s">
        <v>925</v>
      </c>
      <c r="S6" s="37" t="s">
        <v>87</v>
      </c>
    </row>
    <row r="7" customFormat="false" ht="15" hidden="false" customHeight="false" outlineLevel="0" collapsed="false">
      <c r="A7" s="37" t="s">
        <v>152</v>
      </c>
      <c r="B7" s="37" t="s">
        <v>920</v>
      </c>
      <c r="C7" s="37"/>
      <c r="D7" s="37" t="s">
        <v>63</v>
      </c>
      <c r="E7" s="37" t="s">
        <v>47</v>
      </c>
      <c r="F7" s="37" t="s">
        <v>149</v>
      </c>
      <c r="G7" s="37" t="s">
        <v>153</v>
      </c>
      <c r="H7" s="37" t="s">
        <v>926</v>
      </c>
      <c r="I7" s="37" t="s">
        <v>31</v>
      </c>
      <c r="J7" s="37" t="s">
        <v>42</v>
      </c>
      <c r="K7" s="37" t="s">
        <v>927</v>
      </c>
      <c r="L7" s="37" t="s">
        <v>154</v>
      </c>
      <c r="M7" s="37" t="s">
        <v>897</v>
      </c>
      <c r="N7" s="37" t="s">
        <v>917</v>
      </c>
      <c r="O7" s="37" t="s">
        <v>899</v>
      </c>
      <c r="P7" s="37" t="s">
        <v>928</v>
      </c>
      <c r="Q7" s="37" t="s">
        <v>929</v>
      </c>
      <c r="R7" s="37" t="s">
        <v>930</v>
      </c>
      <c r="S7" s="37" t="s">
        <v>89</v>
      </c>
    </row>
    <row r="8" customFormat="false" ht="15" hidden="false" customHeight="false" outlineLevel="0" collapsed="false">
      <c r="A8" s="37" t="s">
        <v>155</v>
      </c>
      <c r="B8" s="37" t="s">
        <v>931</v>
      </c>
      <c r="C8" s="37" t="s">
        <v>134</v>
      </c>
      <c r="D8" s="37" t="s">
        <v>932</v>
      </c>
      <c r="E8" s="37" t="s">
        <v>48</v>
      </c>
      <c r="F8" s="37" t="s">
        <v>139</v>
      </c>
      <c r="G8" s="37" t="s">
        <v>157</v>
      </c>
      <c r="H8" s="37" t="s">
        <v>933</v>
      </c>
      <c r="I8" s="37" t="s">
        <v>25</v>
      </c>
      <c r="J8" s="37" t="s">
        <v>37</v>
      </c>
      <c r="K8" s="37" t="s">
        <v>934</v>
      </c>
      <c r="L8" s="37" t="s">
        <v>158</v>
      </c>
      <c r="M8" s="37" t="s">
        <v>907</v>
      </c>
      <c r="N8" s="37" t="s">
        <v>899</v>
      </c>
      <c r="O8" s="37" t="s">
        <v>909</v>
      </c>
      <c r="P8" s="37" t="s">
        <v>917</v>
      </c>
      <c r="Q8" s="37" t="s">
        <v>935</v>
      </c>
      <c r="R8" s="37" t="s">
        <v>918</v>
      </c>
      <c r="S8" s="37" t="s">
        <v>87</v>
      </c>
    </row>
    <row r="9" customFormat="false" ht="15" hidden="false" customHeight="false" outlineLevel="0" collapsed="false">
      <c r="A9" s="37" t="s">
        <v>159</v>
      </c>
      <c r="B9" s="37" t="s">
        <v>931</v>
      </c>
      <c r="C9" s="37" t="s">
        <v>134</v>
      </c>
      <c r="D9" s="37" t="s">
        <v>68</v>
      </c>
      <c r="E9" s="37" t="s">
        <v>48</v>
      </c>
      <c r="F9" s="37" t="s">
        <v>160</v>
      </c>
      <c r="G9" s="37" t="s">
        <v>161</v>
      </c>
      <c r="H9" s="37" t="s">
        <v>936</v>
      </c>
      <c r="I9" s="37" t="s">
        <v>25</v>
      </c>
      <c r="J9" s="37" t="s">
        <v>41</v>
      </c>
      <c r="K9" s="37" t="s">
        <v>909</v>
      </c>
      <c r="L9" s="37" t="s">
        <v>162</v>
      </c>
      <c r="M9" s="37" t="s">
        <v>897</v>
      </c>
      <c r="N9" s="37" t="s">
        <v>937</v>
      </c>
      <c r="O9" s="37" t="s">
        <v>909</v>
      </c>
      <c r="P9" s="37" t="s">
        <v>917</v>
      </c>
      <c r="Q9" s="37" t="s">
        <v>938</v>
      </c>
      <c r="R9" s="37" t="s">
        <v>918</v>
      </c>
      <c r="S9" s="37" t="s">
        <v>87</v>
      </c>
    </row>
    <row r="10" customFormat="false" ht="15" hidden="false" customHeight="false" outlineLevel="0" collapsed="false">
      <c r="A10" s="37" t="s">
        <v>163</v>
      </c>
      <c r="B10" s="37" t="s">
        <v>939</v>
      </c>
      <c r="C10" s="37" t="s">
        <v>134</v>
      </c>
      <c r="D10" s="37" t="s">
        <v>68</v>
      </c>
      <c r="E10" s="37" t="s">
        <v>47</v>
      </c>
      <c r="F10" s="37" t="s">
        <v>149</v>
      </c>
      <c r="G10" s="37" t="s">
        <v>164</v>
      </c>
      <c r="H10" s="37" t="s">
        <v>940</v>
      </c>
      <c r="I10" s="37" t="s">
        <v>28</v>
      </c>
      <c r="J10" s="37" t="s">
        <v>41</v>
      </c>
      <c r="K10" s="37" t="s">
        <v>941</v>
      </c>
      <c r="L10" s="37" t="s">
        <v>165</v>
      </c>
      <c r="M10" s="37" t="s">
        <v>887</v>
      </c>
      <c r="N10" s="37" t="s">
        <v>923</v>
      </c>
      <c r="O10" s="37" t="s">
        <v>891</v>
      </c>
      <c r="P10" s="37" t="s">
        <v>928</v>
      </c>
      <c r="Q10" s="37" t="s">
        <v>942</v>
      </c>
      <c r="R10" s="37" t="s">
        <v>942</v>
      </c>
      <c r="S10" s="37" t="s">
        <v>87</v>
      </c>
    </row>
    <row r="11" customFormat="false" ht="15" hidden="false" customHeight="false" outlineLevel="0" collapsed="false">
      <c r="A11" s="37" t="s">
        <v>166</v>
      </c>
      <c r="B11" s="37" t="s">
        <v>943</v>
      </c>
      <c r="C11" s="37" t="s">
        <v>944</v>
      </c>
      <c r="D11" s="37" t="s">
        <v>945</v>
      </c>
      <c r="E11" s="37" t="s">
        <v>48</v>
      </c>
      <c r="F11" s="37" t="s">
        <v>160</v>
      </c>
      <c r="G11" s="37"/>
      <c r="H11" s="37" t="s">
        <v>946</v>
      </c>
      <c r="I11" s="37" t="s">
        <v>25</v>
      </c>
      <c r="J11" s="37" t="s">
        <v>38</v>
      </c>
      <c r="K11" s="37" t="s">
        <v>915</v>
      </c>
      <c r="L11" s="37" t="s">
        <v>167</v>
      </c>
      <c r="M11" s="37" t="s">
        <v>947</v>
      </c>
      <c r="N11" s="37"/>
      <c r="O11" s="37" t="s">
        <v>909</v>
      </c>
      <c r="P11" s="37" t="s">
        <v>917</v>
      </c>
      <c r="Q11" s="37" t="s">
        <v>948</v>
      </c>
      <c r="R11" s="37" t="s">
        <v>949</v>
      </c>
      <c r="S11" s="37" t="s">
        <v>88</v>
      </c>
    </row>
    <row r="12" customFormat="false" ht="15" hidden="false" customHeight="false" outlineLevel="0" collapsed="false">
      <c r="A12" s="37" t="s">
        <v>168</v>
      </c>
      <c r="B12" s="37" t="s">
        <v>950</v>
      </c>
      <c r="C12" s="37" t="s">
        <v>145</v>
      </c>
      <c r="D12" s="37" t="s">
        <v>65</v>
      </c>
      <c r="E12" s="37" t="s">
        <v>48</v>
      </c>
      <c r="F12" s="37" t="s">
        <v>135</v>
      </c>
      <c r="G12" s="37" t="s">
        <v>169</v>
      </c>
      <c r="H12" s="37" t="s">
        <v>951</v>
      </c>
      <c r="I12" s="37" t="s">
        <v>952</v>
      </c>
      <c r="J12" s="37" t="s">
        <v>40</v>
      </c>
      <c r="K12" s="37" t="s">
        <v>953</v>
      </c>
      <c r="L12" s="37" t="s">
        <v>170</v>
      </c>
      <c r="M12" s="37" t="s">
        <v>897</v>
      </c>
      <c r="N12" s="37"/>
      <c r="O12" s="37" t="s">
        <v>891</v>
      </c>
      <c r="P12" s="37" t="s">
        <v>928</v>
      </c>
      <c r="Q12" s="37" t="s">
        <v>896</v>
      </c>
      <c r="R12" s="37" t="s">
        <v>954</v>
      </c>
      <c r="S12" s="37" t="s">
        <v>87</v>
      </c>
    </row>
    <row r="13" customFormat="false" ht="15" hidden="false" customHeight="false" outlineLevel="0" collapsed="false">
      <c r="A13" s="37" t="s">
        <v>171</v>
      </c>
      <c r="B13" s="37" t="s">
        <v>955</v>
      </c>
      <c r="C13" s="37" t="s">
        <v>134</v>
      </c>
      <c r="D13" s="37" t="s">
        <v>64</v>
      </c>
      <c r="E13" s="37" t="s">
        <v>47</v>
      </c>
      <c r="F13" s="37" t="s">
        <v>149</v>
      </c>
      <c r="G13" s="37" t="s">
        <v>172</v>
      </c>
      <c r="H13" s="37" t="s">
        <v>956</v>
      </c>
      <c r="I13" s="37" t="s">
        <v>28</v>
      </c>
      <c r="J13" s="37" t="s">
        <v>40</v>
      </c>
      <c r="K13" s="37" t="s">
        <v>917</v>
      </c>
      <c r="L13" s="37" t="s">
        <v>173</v>
      </c>
      <c r="M13" s="37" t="s">
        <v>897</v>
      </c>
      <c r="N13" s="37" t="s">
        <v>935</v>
      </c>
      <c r="O13" s="37" t="s">
        <v>899</v>
      </c>
      <c r="P13" s="37" t="s">
        <v>928</v>
      </c>
      <c r="Q13" s="37" t="s">
        <v>957</v>
      </c>
      <c r="R13" s="37" t="s">
        <v>916</v>
      </c>
      <c r="S13" s="37" t="s">
        <v>89</v>
      </c>
    </row>
    <row r="14" customFormat="false" ht="15" hidden="false" customHeight="false" outlineLevel="0" collapsed="false">
      <c r="A14" s="37" t="s">
        <v>174</v>
      </c>
      <c r="B14" s="37" t="s">
        <v>887</v>
      </c>
      <c r="C14" s="37" t="s">
        <v>145</v>
      </c>
      <c r="D14" s="37" t="s">
        <v>69</v>
      </c>
      <c r="E14" s="37" t="s">
        <v>48</v>
      </c>
      <c r="F14" s="37" t="s">
        <v>139</v>
      </c>
      <c r="G14" s="37" t="s">
        <v>175</v>
      </c>
      <c r="H14" s="37" t="s">
        <v>958</v>
      </c>
      <c r="I14" s="37" t="s">
        <v>25</v>
      </c>
      <c r="J14" s="37" t="s">
        <v>37</v>
      </c>
      <c r="K14" s="37" t="s">
        <v>959</v>
      </c>
      <c r="L14" s="37" t="s">
        <v>176</v>
      </c>
      <c r="M14" s="37" t="s">
        <v>947</v>
      </c>
      <c r="N14" s="37" t="s">
        <v>960</v>
      </c>
      <c r="O14" s="37" t="s">
        <v>891</v>
      </c>
      <c r="P14" s="37" t="s">
        <v>891</v>
      </c>
      <c r="Q14" s="37" t="s">
        <v>961</v>
      </c>
      <c r="R14" s="37" t="s">
        <v>962</v>
      </c>
      <c r="S14" s="37" t="s">
        <v>89</v>
      </c>
    </row>
    <row r="15" customFormat="false" ht="15" hidden="false" customHeight="false" outlineLevel="0" collapsed="false">
      <c r="A15" s="37" t="s">
        <v>177</v>
      </c>
      <c r="B15" s="37" t="s">
        <v>963</v>
      </c>
      <c r="C15" s="37" t="s">
        <v>145</v>
      </c>
      <c r="D15" s="37" t="s">
        <v>964</v>
      </c>
      <c r="E15" s="37" t="s">
        <v>47</v>
      </c>
      <c r="F15" s="37" t="s">
        <v>149</v>
      </c>
      <c r="G15" s="37" t="s">
        <v>178</v>
      </c>
      <c r="H15" s="37" t="s">
        <v>965</v>
      </c>
      <c r="I15" s="37" t="s">
        <v>25</v>
      </c>
      <c r="J15" s="37" t="s">
        <v>37</v>
      </c>
      <c r="K15" s="37" t="s">
        <v>966</v>
      </c>
      <c r="L15" s="37" t="s">
        <v>180</v>
      </c>
      <c r="M15" s="37" t="s">
        <v>887</v>
      </c>
      <c r="N15" s="37" t="s">
        <v>967</v>
      </c>
      <c r="O15" s="37" t="s">
        <v>891</v>
      </c>
      <c r="P15" s="37" t="s">
        <v>962</v>
      </c>
      <c r="Q15" s="37" t="s">
        <v>968</v>
      </c>
      <c r="R15" s="37" t="s">
        <v>969</v>
      </c>
      <c r="S15" s="37" t="s">
        <v>87</v>
      </c>
    </row>
    <row r="16" customFormat="false" ht="15" hidden="false" customHeight="false" outlineLevel="0" collapsed="false">
      <c r="A16" s="37" t="s">
        <v>181</v>
      </c>
      <c r="B16" s="37" t="s">
        <v>970</v>
      </c>
      <c r="C16" s="37" t="s">
        <v>134</v>
      </c>
      <c r="D16" s="37" t="s">
        <v>66</v>
      </c>
      <c r="E16" s="37" t="s">
        <v>48</v>
      </c>
      <c r="F16" s="37" t="s">
        <v>139</v>
      </c>
      <c r="G16" s="37" t="s">
        <v>182</v>
      </c>
      <c r="H16" s="37" t="s">
        <v>971</v>
      </c>
      <c r="I16" s="37" t="s">
        <v>28</v>
      </c>
      <c r="J16" s="37" t="s">
        <v>42</v>
      </c>
      <c r="K16" s="37" t="s">
        <v>893</v>
      </c>
      <c r="L16" s="37" t="s">
        <v>183</v>
      </c>
      <c r="M16" s="37" t="s">
        <v>947</v>
      </c>
      <c r="N16" s="37" t="s">
        <v>972</v>
      </c>
      <c r="O16" s="37" t="s">
        <v>899</v>
      </c>
      <c r="P16" s="37" t="s">
        <v>962</v>
      </c>
      <c r="Q16" s="37" t="s">
        <v>973</v>
      </c>
      <c r="R16" s="37" t="s">
        <v>974</v>
      </c>
      <c r="S16" s="37" t="s">
        <v>87</v>
      </c>
    </row>
    <row r="17" customFormat="false" ht="15" hidden="false" customHeight="false" outlineLevel="0" collapsed="false">
      <c r="A17" s="37" t="s">
        <v>184</v>
      </c>
      <c r="B17" s="37" t="s">
        <v>975</v>
      </c>
      <c r="C17" s="37" t="s">
        <v>145</v>
      </c>
      <c r="D17" s="37" t="s">
        <v>64</v>
      </c>
      <c r="E17" s="37" t="s">
        <v>47</v>
      </c>
      <c r="F17" s="37" t="s">
        <v>135</v>
      </c>
      <c r="G17" s="37"/>
      <c r="H17" s="37" t="s">
        <v>976</v>
      </c>
      <c r="I17" s="37" t="s">
        <v>27</v>
      </c>
      <c r="J17" s="37" t="s">
        <v>37</v>
      </c>
      <c r="K17" s="37" t="s">
        <v>977</v>
      </c>
      <c r="L17" s="37"/>
      <c r="M17" s="37" t="s">
        <v>907</v>
      </c>
      <c r="N17" s="37"/>
      <c r="O17" s="37" t="s">
        <v>909</v>
      </c>
      <c r="P17" s="37" t="s">
        <v>917</v>
      </c>
      <c r="Q17" s="37" t="s">
        <v>978</v>
      </c>
      <c r="R17" s="37" t="s">
        <v>899</v>
      </c>
      <c r="S17" s="37" t="s">
        <v>89</v>
      </c>
    </row>
    <row r="18" customFormat="false" ht="15" hidden="false" customHeight="false" outlineLevel="0" collapsed="false">
      <c r="A18" s="37" t="s">
        <v>185</v>
      </c>
      <c r="B18" s="37" t="s">
        <v>955</v>
      </c>
      <c r="C18" s="37" t="s">
        <v>134</v>
      </c>
      <c r="D18" s="37" t="s">
        <v>64</v>
      </c>
      <c r="E18" s="37" t="s">
        <v>48</v>
      </c>
      <c r="F18" s="37" t="s">
        <v>160</v>
      </c>
      <c r="G18" s="37" t="s">
        <v>186</v>
      </c>
      <c r="H18" s="37" t="s">
        <v>979</v>
      </c>
      <c r="I18" s="37" t="s">
        <v>29</v>
      </c>
      <c r="J18" s="37" t="s">
        <v>43</v>
      </c>
      <c r="K18" s="37" t="s">
        <v>915</v>
      </c>
      <c r="L18" s="37" t="s">
        <v>187</v>
      </c>
      <c r="M18" s="37" t="s">
        <v>897</v>
      </c>
      <c r="N18" s="37" t="s">
        <v>892</v>
      </c>
      <c r="O18" s="37" t="s">
        <v>891</v>
      </c>
      <c r="P18" s="37" t="s">
        <v>892</v>
      </c>
      <c r="Q18" s="37" t="s">
        <v>980</v>
      </c>
      <c r="R18" s="37" t="s">
        <v>911</v>
      </c>
      <c r="S18" s="37" t="s">
        <v>87</v>
      </c>
    </row>
    <row r="19" customFormat="false" ht="15" hidden="false" customHeight="false" outlineLevel="0" collapsed="false">
      <c r="A19" s="37" t="s">
        <v>188</v>
      </c>
      <c r="B19" s="37" t="s">
        <v>981</v>
      </c>
      <c r="C19" s="37" t="s">
        <v>134</v>
      </c>
      <c r="D19" s="37" t="s">
        <v>62</v>
      </c>
      <c r="E19" s="37" t="s">
        <v>47</v>
      </c>
      <c r="F19" s="37" t="s">
        <v>135</v>
      </c>
      <c r="G19" s="37" t="s">
        <v>189</v>
      </c>
      <c r="H19" s="37" t="s">
        <v>982</v>
      </c>
      <c r="I19" s="37" t="s">
        <v>26</v>
      </c>
      <c r="J19" s="37" t="s">
        <v>38</v>
      </c>
      <c r="K19" s="37" t="s">
        <v>927</v>
      </c>
      <c r="L19" s="37" t="s">
        <v>190</v>
      </c>
      <c r="M19" s="37" t="s">
        <v>907</v>
      </c>
      <c r="N19" s="37" t="s">
        <v>893</v>
      </c>
      <c r="O19" s="37" t="s">
        <v>899</v>
      </c>
      <c r="P19" s="37" t="s">
        <v>928</v>
      </c>
      <c r="Q19" s="37" t="s">
        <v>983</v>
      </c>
      <c r="R19" s="37" t="s">
        <v>893</v>
      </c>
      <c r="S19" s="37" t="s">
        <v>87</v>
      </c>
    </row>
    <row r="20" customFormat="false" ht="15" hidden="false" customHeight="false" outlineLevel="0" collapsed="false">
      <c r="A20" s="37" t="s">
        <v>191</v>
      </c>
      <c r="B20" s="37" t="s">
        <v>955</v>
      </c>
      <c r="C20" s="37" t="s">
        <v>944</v>
      </c>
      <c r="D20" s="37" t="s">
        <v>192</v>
      </c>
      <c r="E20" s="37" t="s">
        <v>47</v>
      </c>
      <c r="F20" s="37" t="s">
        <v>160</v>
      </c>
      <c r="G20" s="37" t="s">
        <v>150</v>
      </c>
      <c r="H20" s="37" t="s">
        <v>982</v>
      </c>
      <c r="I20" s="37" t="s">
        <v>25</v>
      </c>
      <c r="J20" s="37" t="s">
        <v>40</v>
      </c>
      <c r="K20" s="37" t="s">
        <v>919</v>
      </c>
      <c r="L20" s="37" t="s">
        <v>193</v>
      </c>
      <c r="M20" s="37" t="s">
        <v>907</v>
      </c>
      <c r="N20" s="37" t="s">
        <v>894</v>
      </c>
      <c r="O20" s="37" t="s">
        <v>891</v>
      </c>
      <c r="P20" s="37" t="s">
        <v>900</v>
      </c>
      <c r="Q20" s="37" t="s">
        <v>984</v>
      </c>
      <c r="R20" s="37" t="s">
        <v>910</v>
      </c>
      <c r="S20" s="37" t="s">
        <v>87</v>
      </c>
    </row>
    <row r="21" customFormat="false" ht="15" hidden="false" customHeight="false" outlineLevel="0" collapsed="false">
      <c r="A21" s="37" t="s">
        <v>194</v>
      </c>
      <c r="B21" s="37" t="s">
        <v>985</v>
      </c>
      <c r="C21" s="37" t="s">
        <v>145</v>
      </c>
      <c r="D21" s="37" t="s">
        <v>70</v>
      </c>
      <c r="E21" s="37" t="s">
        <v>48</v>
      </c>
      <c r="F21" s="37" t="s">
        <v>195</v>
      </c>
      <c r="G21" s="37" t="s">
        <v>196</v>
      </c>
      <c r="H21" s="37" t="s">
        <v>986</v>
      </c>
      <c r="I21" s="37" t="s">
        <v>26</v>
      </c>
      <c r="J21" s="37" t="s">
        <v>40</v>
      </c>
      <c r="K21" s="37" t="s">
        <v>981</v>
      </c>
      <c r="L21" s="37" t="s">
        <v>198</v>
      </c>
      <c r="M21" s="37" t="s">
        <v>947</v>
      </c>
      <c r="N21" s="37" t="s">
        <v>922</v>
      </c>
      <c r="O21" s="37" t="s">
        <v>899</v>
      </c>
      <c r="P21" s="37" t="s">
        <v>891</v>
      </c>
      <c r="Q21" s="37" t="s">
        <v>987</v>
      </c>
      <c r="R21" s="37" t="s">
        <v>988</v>
      </c>
      <c r="S21" s="37" t="s">
        <v>89</v>
      </c>
    </row>
    <row r="22" customFormat="false" ht="15" hidden="false" customHeight="false" outlineLevel="0" collapsed="false">
      <c r="A22" s="37" t="s">
        <v>199</v>
      </c>
      <c r="B22" s="37" t="s">
        <v>989</v>
      </c>
      <c r="C22" s="37" t="s">
        <v>134</v>
      </c>
      <c r="D22" s="37" t="s">
        <v>62</v>
      </c>
      <c r="E22" s="37" t="s">
        <v>48</v>
      </c>
      <c r="F22" s="37" t="s">
        <v>195</v>
      </c>
      <c r="G22" s="37" t="s">
        <v>200</v>
      </c>
      <c r="H22" s="37" t="s">
        <v>990</v>
      </c>
      <c r="I22" s="37" t="s">
        <v>25</v>
      </c>
      <c r="J22" s="37" t="s">
        <v>43</v>
      </c>
      <c r="K22" s="37" t="s">
        <v>991</v>
      </c>
      <c r="L22" s="37" t="s">
        <v>201</v>
      </c>
      <c r="M22" s="37" t="s">
        <v>947</v>
      </c>
      <c r="N22" s="37" t="s">
        <v>922</v>
      </c>
      <c r="O22" s="37" t="s">
        <v>899</v>
      </c>
      <c r="P22" s="37" t="s">
        <v>928</v>
      </c>
      <c r="Q22" s="37" t="s">
        <v>897</v>
      </c>
      <c r="R22" s="37" t="s">
        <v>894</v>
      </c>
      <c r="S22" s="37" t="s">
        <v>88</v>
      </c>
    </row>
    <row r="23" customFormat="false" ht="15" hidden="false" customHeight="false" outlineLevel="0" collapsed="false">
      <c r="A23" s="37" t="s">
        <v>202</v>
      </c>
      <c r="B23" s="37" t="s">
        <v>981</v>
      </c>
      <c r="C23" s="37" t="s">
        <v>992</v>
      </c>
      <c r="D23" s="37" t="s">
        <v>65</v>
      </c>
      <c r="E23" s="37" t="s">
        <v>47</v>
      </c>
      <c r="F23" s="37" t="s">
        <v>135</v>
      </c>
      <c r="G23" s="37" t="s">
        <v>189</v>
      </c>
      <c r="H23" s="37" t="s">
        <v>897</v>
      </c>
      <c r="I23" s="37" t="s">
        <v>25</v>
      </c>
      <c r="J23" s="37" t="s">
        <v>38</v>
      </c>
      <c r="K23" s="37" t="s">
        <v>993</v>
      </c>
      <c r="L23" s="37" t="s">
        <v>203</v>
      </c>
      <c r="M23" s="37" t="s">
        <v>907</v>
      </c>
      <c r="N23" s="37" t="s">
        <v>994</v>
      </c>
      <c r="O23" s="37" t="s">
        <v>909</v>
      </c>
      <c r="P23" s="37" t="s">
        <v>899</v>
      </c>
      <c r="Q23" s="37" t="s">
        <v>953</v>
      </c>
      <c r="R23" s="37" t="s">
        <v>987</v>
      </c>
      <c r="S23" s="37" t="s">
        <v>89</v>
      </c>
    </row>
    <row r="24" customFormat="false" ht="15" hidden="false" customHeight="false" outlineLevel="0" collapsed="false">
      <c r="A24" s="37" t="s">
        <v>204</v>
      </c>
      <c r="B24" s="37" t="s">
        <v>995</v>
      </c>
      <c r="C24" s="37" t="s">
        <v>145</v>
      </c>
      <c r="D24" s="37" t="s">
        <v>71</v>
      </c>
      <c r="E24" s="37" t="s">
        <v>48</v>
      </c>
      <c r="F24" s="37" t="s">
        <v>139</v>
      </c>
      <c r="G24" s="37" t="s">
        <v>205</v>
      </c>
      <c r="H24" s="37"/>
      <c r="I24" s="37" t="s">
        <v>25</v>
      </c>
      <c r="J24" s="37" t="s">
        <v>43</v>
      </c>
      <c r="K24" s="37" t="s">
        <v>996</v>
      </c>
      <c r="L24" s="37"/>
      <c r="M24" s="37"/>
      <c r="N24" s="37" t="s">
        <v>891</v>
      </c>
      <c r="O24" s="37" t="s">
        <v>899</v>
      </c>
      <c r="P24" s="37" t="s">
        <v>928</v>
      </c>
      <c r="Q24" s="37" t="s">
        <v>953</v>
      </c>
      <c r="R24" s="37" t="s">
        <v>962</v>
      </c>
      <c r="S24" s="37" t="s">
        <v>88</v>
      </c>
    </row>
    <row r="25" customFormat="false" ht="15" hidden="false" customHeight="false" outlineLevel="0" collapsed="false">
      <c r="A25" s="37" t="s">
        <v>206</v>
      </c>
      <c r="B25" s="37" t="s">
        <v>995</v>
      </c>
      <c r="C25" s="37"/>
      <c r="D25" s="37" t="s">
        <v>66</v>
      </c>
      <c r="E25" s="37" t="s">
        <v>47</v>
      </c>
      <c r="F25" s="37" t="s">
        <v>160</v>
      </c>
      <c r="G25" s="37" t="s">
        <v>143</v>
      </c>
      <c r="H25" s="37" t="s">
        <v>897</v>
      </c>
      <c r="I25" s="37" t="s">
        <v>30</v>
      </c>
      <c r="J25" s="37" t="s">
        <v>37</v>
      </c>
      <c r="K25" s="37" t="s">
        <v>997</v>
      </c>
      <c r="L25" s="37" t="s">
        <v>207</v>
      </c>
      <c r="M25" s="37" t="s">
        <v>947</v>
      </c>
      <c r="N25" s="37" t="s">
        <v>983</v>
      </c>
      <c r="O25" s="37" t="s">
        <v>891</v>
      </c>
      <c r="P25" s="37" t="s">
        <v>892</v>
      </c>
      <c r="Q25" s="37" t="s">
        <v>969</v>
      </c>
      <c r="R25" s="37" t="s">
        <v>925</v>
      </c>
      <c r="S25" s="37" t="s">
        <v>87</v>
      </c>
    </row>
    <row r="26" customFormat="false" ht="15" hidden="false" customHeight="false" outlineLevel="0" collapsed="false">
      <c r="A26" s="37" t="s">
        <v>208</v>
      </c>
      <c r="B26" s="37" t="s">
        <v>989</v>
      </c>
      <c r="C26" s="37" t="s">
        <v>134</v>
      </c>
      <c r="D26" s="37" t="s">
        <v>66</v>
      </c>
      <c r="E26" s="37" t="s">
        <v>47</v>
      </c>
      <c r="F26" s="37"/>
      <c r="G26" s="37" t="s">
        <v>172</v>
      </c>
      <c r="H26" s="37" t="s">
        <v>998</v>
      </c>
      <c r="I26" s="37" t="s">
        <v>26</v>
      </c>
      <c r="J26" s="37" t="s">
        <v>39</v>
      </c>
      <c r="K26" s="37" t="s">
        <v>934</v>
      </c>
      <c r="L26" s="37" t="s">
        <v>209</v>
      </c>
      <c r="M26" s="37" t="s">
        <v>897</v>
      </c>
      <c r="N26" s="37" t="s">
        <v>942</v>
      </c>
      <c r="O26" s="37" t="s">
        <v>899</v>
      </c>
      <c r="P26" s="37" t="s">
        <v>917</v>
      </c>
      <c r="Q26" s="37" t="s">
        <v>899</v>
      </c>
      <c r="R26" s="37" t="s">
        <v>999</v>
      </c>
      <c r="S26" s="37" t="s">
        <v>89</v>
      </c>
    </row>
    <row r="27" customFormat="false" ht="15" hidden="false" customHeight="false" outlineLevel="0" collapsed="false">
      <c r="A27" s="37" t="s">
        <v>210</v>
      </c>
      <c r="B27" s="37" t="s">
        <v>970</v>
      </c>
      <c r="C27" s="37" t="s">
        <v>145</v>
      </c>
      <c r="D27" s="37" t="s">
        <v>68</v>
      </c>
      <c r="E27" s="37" t="s">
        <v>48</v>
      </c>
      <c r="F27" s="37" t="s">
        <v>139</v>
      </c>
      <c r="G27" s="37" t="s">
        <v>211</v>
      </c>
      <c r="H27" s="37" t="s">
        <v>1000</v>
      </c>
      <c r="I27" s="37" t="s">
        <v>25</v>
      </c>
      <c r="J27" s="37" t="s">
        <v>41</v>
      </c>
      <c r="K27" s="37" t="s">
        <v>1001</v>
      </c>
      <c r="L27" s="37" t="s">
        <v>212</v>
      </c>
      <c r="M27" s="37" t="s">
        <v>947</v>
      </c>
      <c r="N27" s="37" t="s">
        <v>891</v>
      </c>
      <c r="O27" s="37" t="s">
        <v>909</v>
      </c>
      <c r="P27" s="37" t="s">
        <v>899</v>
      </c>
      <c r="Q27" s="37" t="s">
        <v>1002</v>
      </c>
      <c r="R27" s="37" t="s">
        <v>1003</v>
      </c>
      <c r="S27" s="37" t="s">
        <v>87</v>
      </c>
    </row>
    <row r="28" customFormat="false" ht="15" hidden="false" customHeight="false" outlineLevel="0" collapsed="false">
      <c r="A28" s="37" t="s">
        <v>213</v>
      </c>
      <c r="B28" s="37" t="s">
        <v>981</v>
      </c>
      <c r="C28" s="37" t="s">
        <v>992</v>
      </c>
      <c r="D28" s="37" t="s">
        <v>67</v>
      </c>
      <c r="E28" s="37" t="s">
        <v>47</v>
      </c>
      <c r="F28" s="37" t="s">
        <v>149</v>
      </c>
      <c r="G28" s="37" t="s">
        <v>143</v>
      </c>
      <c r="H28" s="37" t="s">
        <v>1004</v>
      </c>
      <c r="I28" s="37" t="s">
        <v>25</v>
      </c>
      <c r="J28" s="37" t="s">
        <v>37</v>
      </c>
      <c r="K28" s="37" t="s">
        <v>1005</v>
      </c>
      <c r="L28" s="37" t="s">
        <v>214</v>
      </c>
      <c r="M28" s="37" t="s">
        <v>947</v>
      </c>
      <c r="N28" s="37" t="s">
        <v>899</v>
      </c>
      <c r="O28" s="37" t="s">
        <v>891</v>
      </c>
      <c r="P28" s="37" t="s">
        <v>917</v>
      </c>
      <c r="Q28" s="37" t="s">
        <v>897</v>
      </c>
      <c r="R28" s="37" t="s">
        <v>937</v>
      </c>
      <c r="S28" s="37" t="s">
        <v>89</v>
      </c>
    </row>
    <row r="29" customFormat="false" ht="15" hidden="false" customHeight="false" outlineLevel="0" collapsed="false">
      <c r="A29" s="37" t="s">
        <v>215</v>
      </c>
      <c r="B29" s="37" t="s">
        <v>970</v>
      </c>
      <c r="C29" s="37" t="s">
        <v>134</v>
      </c>
      <c r="D29" s="37" t="s">
        <v>67</v>
      </c>
      <c r="E29" s="37" t="s">
        <v>48</v>
      </c>
      <c r="F29" s="37" t="s">
        <v>139</v>
      </c>
      <c r="G29" s="37" t="s">
        <v>216</v>
      </c>
      <c r="H29" s="37" t="s">
        <v>1006</v>
      </c>
      <c r="I29" s="37" t="s">
        <v>27</v>
      </c>
      <c r="J29" s="37" t="s">
        <v>40</v>
      </c>
      <c r="K29" s="37" t="s">
        <v>1007</v>
      </c>
      <c r="L29" s="37" t="s">
        <v>217</v>
      </c>
      <c r="M29" s="37" t="s">
        <v>1008</v>
      </c>
      <c r="N29" s="37" t="s">
        <v>891</v>
      </c>
      <c r="O29" s="37" t="s">
        <v>899</v>
      </c>
      <c r="P29" s="37" t="s">
        <v>928</v>
      </c>
      <c r="Q29" s="37" t="s">
        <v>1009</v>
      </c>
      <c r="R29" s="37" t="s">
        <v>1010</v>
      </c>
      <c r="S29" s="37" t="s">
        <v>89</v>
      </c>
    </row>
    <row r="30" customFormat="false" ht="15" hidden="false" customHeight="false" outlineLevel="0" collapsed="false">
      <c r="A30" s="37" t="s">
        <v>218</v>
      </c>
      <c r="B30" s="37" t="s">
        <v>1011</v>
      </c>
      <c r="C30" s="37" t="s">
        <v>913</v>
      </c>
      <c r="D30" s="37" t="s">
        <v>64</v>
      </c>
      <c r="E30" s="37" t="s">
        <v>47</v>
      </c>
      <c r="F30" s="37" t="s">
        <v>149</v>
      </c>
      <c r="G30" s="37" t="s">
        <v>150</v>
      </c>
      <c r="H30" s="37"/>
      <c r="I30" s="37" t="s">
        <v>25</v>
      </c>
      <c r="J30" s="37" t="s">
        <v>39</v>
      </c>
      <c r="K30" s="37" t="s">
        <v>930</v>
      </c>
      <c r="L30" s="37" t="s">
        <v>219</v>
      </c>
      <c r="M30" s="37" t="s">
        <v>897</v>
      </c>
      <c r="N30" s="37" t="s">
        <v>954</v>
      </c>
      <c r="O30" s="37" t="s">
        <v>899</v>
      </c>
      <c r="P30" s="37" t="s">
        <v>900</v>
      </c>
      <c r="Q30" s="37" t="s">
        <v>1012</v>
      </c>
      <c r="R30" s="37" t="s">
        <v>1013</v>
      </c>
      <c r="S30" s="37" t="s">
        <v>87</v>
      </c>
    </row>
    <row r="31" customFormat="false" ht="15" hidden="false" customHeight="false" outlineLevel="0" collapsed="false">
      <c r="A31" s="37" t="s">
        <v>220</v>
      </c>
      <c r="B31" s="37"/>
      <c r="C31" s="37" t="s">
        <v>134</v>
      </c>
      <c r="D31" s="37" t="s">
        <v>69</v>
      </c>
      <c r="E31" s="37" t="s">
        <v>47</v>
      </c>
      <c r="F31" s="37"/>
      <c r="G31" s="37" t="s">
        <v>221</v>
      </c>
      <c r="H31" s="37" t="s">
        <v>897</v>
      </c>
      <c r="I31" s="37" t="s">
        <v>25</v>
      </c>
      <c r="J31" s="37" t="s">
        <v>40</v>
      </c>
      <c r="K31" s="37" t="s">
        <v>987</v>
      </c>
      <c r="L31" s="37" t="s">
        <v>222</v>
      </c>
      <c r="M31" s="37" t="s">
        <v>897</v>
      </c>
      <c r="N31" s="37" t="s">
        <v>999</v>
      </c>
      <c r="O31" s="37" t="s">
        <v>891</v>
      </c>
      <c r="P31" s="37" t="s">
        <v>962</v>
      </c>
      <c r="Q31" s="37" t="s">
        <v>1014</v>
      </c>
      <c r="R31" s="37" t="s">
        <v>969</v>
      </c>
      <c r="S31" s="37" t="s">
        <v>89</v>
      </c>
    </row>
    <row r="32" customFormat="false" ht="15" hidden="false" customHeight="false" outlineLevel="0" collapsed="false">
      <c r="A32" s="37" t="s">
        <v>223</v>
      </c>
      <c r="B32" s="37" t="s">
        <v>981</v>
      </c>
      <c r="C32" s="37" t="s">
        <v>134</v>
      </c>
      <c r="D32" s="37" t="s">
        <v>69</v>
      </c>
      <c r="E32" s="37" t="s">
        <v>47</v>
      </c>
      <c r="F32" s="37" t="s">
        <v>149</v>
      </c>
      <c r="G32" s="37" t="s">
        <v>189</v>
      </c>
      <c r="H32" s="37" t="s">
        <v>1015</v>
      </c>
      <c r="I32" s="37" t="s">
        <v>25</v>
      </c>
      <c r="J32" s="37" t="s">
        <v>38</v>
      </c>
      <c r="K32" s="37" t="s">
        <v>910</v>
      </c>
      <c r="L32" s="37" t="s">
        <v>224</v>
      </c>
      <c r="M32" s="37" t="s">
        <v>897</v>
      </c>
      <c r="N32" s="37" t="s">
        <v>911</v>
      </c>
      <c r="O32" s="37"/>
      <c r="P32" s="37" t="s">
        <v>892</v>
      </c>
      <c r="Q32" s="37" t="s">
        <v>1016</v>
      </c>
      <c r="R32" s="37" t="s">
        <v>892</v>
      </c>
      <c r="S32" s="37" t="s">
        <v>87</v>
      </c>
    </row>
    <row r="33" customFormat="false" ht="15" hidden="false" customHeight="false" outlineLevel="0" collapsed="false">
      <c r="A33" s="37" t="s">
        <v>225</v>
      </c>
      <c r="B33" s="37" t="s">
        <v>1017</v>
      </c>
      <c r="C33" s="37" t="s">
        <v>145</v>
      </c>
      <c r="D33" s="37" t="s">
        <v>192</v>
      </c>
      <c r="E33" s="37" t="s">
        <v>48</v>
      </c>
      <c r="F33" s="37" t="s">
        <v>139</v>
      </c>
      <c r="G33" s="37" t="s">
        <v>169</v>
      </c>
      <c r="H33" s="37" t="s">
        <v>1018</v>
      </c>
      <c r="I33" s="37" t="s">
        <v>32</v>
      </c>
      <c r="J33" s="37"/>
      <c r="K33" s="37" t="s">
        <v>983</v>
      </c>
      <c r="L33" s="37" t="s">
        <v>226</v>
      </c>
      <c r="M33" s="37" t="s">
        <v>1008</v>
      </c>
      <c r="N33" s="37" t="s">
        <v>1019</v>
      </c>
      <c r="O33" s="37" t="s">
        <v>917</v>
      </c>
      <c r="P33" s="37" t="s">
        <v>928</v>
      </c>
      <c r="Q33" s="37" t="s">
        <v>896</v>
      </c>
      <c r="R33" s="37" t="s">
        <v>967</v>
      </c>
      <c r="S33" s="37" t="s">
        <v>87</v>
      </c>
    </row>
    <row r="34" customFormat="false" ht="15" hidden="false" customHeight="false" outlineLevel="0" collapsed="false">
      <c r="A34" s="37" t="s">
        <v>227</v>
      </c>
      <c r="B34" s="37" t="s">
        <v>981</v>
      </c>
      <c r="C34" s="37" t="s">
        <v>134</v>
      </c>
      <c r="D34" s="37" t="s">
        <v>70</v>
      </c>
      <c r="E34" s="37" t="s">
        <v>48</v>
      </c>
      <c r="F34" s="37" t="s">
        <v>195</v>
      </c>
      <c r="G34" s="37" t="s">
        <v>228</v>
      </c>
      <c r="H34" s="37" t="s">
        <v>1020</v>
      </c>
      <c r="I34" s="37" t="s">
        <v>25</v>
      </c>
      <c r="J34" s="37" t="s">
        <v>40</v>
      </c>
      <c r="K34" s="37" t="s">
        <v>960</v>
      </c>
      <c r="L34" s="37" t="s">
        <v>229</v>
      </c>
      <c r="M34" s="37" t="s">
        <v>907</v>
      </c>
      <c r="N34" s="37" t="s">
        <v>893</v>
      </c>
      <c r="O34" s="37" t="s">
        <v>909</v>
      </c>
      <c r="P34" s="37" t="s">
        <v>917</v>
      </c>
      <c r="Q34" s="37" t="s">
        <v>1021</v>
      </c>
      <c r="R34" s="37" t="s">
        <v>1022</v>
      </c>
      <c r="S34" s="37" t="s">
        <v>89</v>
      </c>
    </row>
    <row r="35" customFormat="false" ht="15" hidden="false" customHeight="false" outlineLevel="0" collapsed="false">
      <c r="A35" s="37" t="s">
        <v>230</v>
      </c>
      <c r="B35" s="37" t="s">
        <v>981</v>
      </c>
      <c r="C35" s="37" t="s">
        <v>134</v>
      </c>
      <c r="D35" s="37" t="s">
        <v>62</v>
      </c>
      <c r="E35" s="37" t="s">
        <v>47</v>
      </c>
      <c r="F35" s="37" t="s">
        <v>1023</v>
      </c>
      <c r="G35" s="37" t="s">
        <v>231</v>
      </c>
      <c r="H35" s="37" t="s">
        <v>1024</v>
      </c>
      <c r="I35" s="37"/>
      <c r="J35" s="37" t="s">
        <v>39</v>
      </c>
      <c r="K35" s="37" t="s">
        <v>987</v>
      </c>
      <c r="L35" s="37" t="s">
        <v>232</v>
      </c>
      <c r="M35" s="37" t="s">
        <v>897</v>
      </c>
      <c r="N35" s="37" t="s">
        <v>1010</v>
      </c>
      <c r="O35" s="37" t="s">
        <v>891</v>
      </c>
      <c r="P35" s="37" t="s">
        <v>900</v>
      </c>
      <c r="Q35" s="37" t="s">
        <v>1013</v>
      </c>
      <c r="R35" s="37" t="s">
        <v>967</v>
      </c>
      <c r="S35" s="37" t="s">
        <v>87</v>
      </c>
    </row>
    <row r="36" customFormat="false" ht="15" hidden="false" customHeight="false" outlineLevel="0" collapsed="false">
      <c r="A36" s="37" t="s">
        <v>233</v>
      </c>
      <c r="B36" s="37" t="s">
        <v>955</v>
      </c>
      <c r="C36" s="37" t="s">
        <v>134</v>
      </c>
      <c r="D36" s="37" t="s">
        <v>64</v>
      </c>
      <c r="E36" s="37" t="s">
        <v>47</v>
      </c>
      <c r="F36" s="37" t="s">
        <v>149</v>
      </c>
      <c r="G36" s="37" t="s">
        <v>172</v>
      </c>
      <c r="H36" s="37" t="s">
        <v>1025</v>
      </c>
      <c r="I36" s="37" t="s">
        <v>29</v>
      </c>
      <c r="J36" s="37" t="s">
        <v>39</v>
      </c>
      <c r="K36" s="37" t="s">
        <v>1026</v>
      </c>
      <c r="L36" s="37" t="s">
        <v>234</v>
      </c>
      <c r="M36" s="37" t="s">
        <v>897</v>
      </c>
      <c r="N36" s="37" t="s">
        <v>1019</v>
      </c>
      <c r="O36" s="37" t="s">
        <v>899</v>
      </c>
      <c r="P36" s="37" t="s">
        <v>891</v>
      </c>
      <c r="Q36" s="37" t="s">
        <v>909</v>
      </c>
      <c r="R36" s="37" t="s">
        <v>922</v>
      </c>
      <c r="S36" s="37" t="s">
        <v>87</v>
      </c>
    </row>
    <row r="37" customFormat="false" ht="15" hidden="false" customHeight="false" outlineLevel="0" collapsed="false">
      <c r="A37" s="37" t="s">
        <v>235</v>
      </c>
      <c r="B37" s="37" t="s">
        <v>1027</v>
      </c>
      <c r="C37" s="37" t="s">
        <v>134</v>
      </c>
      <c r="D37" s="37" t="s">
        <v>68</v>
      </c>
      <c r="E37" s="37" t="s">
        <v>47</v>
      </c>
      <c r="F37" s="37" t="s">
        <v>149</v>
      </c>
      <c r="G37" s="37" t="s">
        <v>236</v>
      </c>
      <c r="H37" s="37" t="s">
        <v>897</v>
      </c>
      <c r="I37" s="37" t="s">
        <v>26</v>
      </c>
      <c r="J37" s="37" t="s">
        <v>39</v>
      </c>
      <c r="K37" s="37" t="s">
        <v>1001</v>
      </c>
      <c r="L37" s="37"/>
      <c r="M37" s="37" t="s">
        <v>897</v>
      </c>
      <c r="N37" s="37" t="s">
        <v>1028</v>
      </c>
      <c r="O37" s="37" t="s">
        <v>891</v>
      </c>
      <c r="P37" s="37" t="s">
        <v>917</v>
      </c>
      <c r="Q37" s="37" t="s">
        <v>1029</v>
      </c>
      <c r="R37" s="37" t="s">
        <v>908</v>
      </c>
      <c r="S37" s="37" t="s">
        <v>87</v>
      </c>
    </row>
    <row r="38" customFormat="false" ht="15" hidden="false" customHeight="false" outlineLevel="0" collapsed="false">
      <c r="A38" s="37" t="s">
        <v>237</v>
      </c>
      <c r="B38" s="37" t="s">
        <v>939</v>
      </c>
      <c r="C38" s="37" t="s">
        <v>1030</v>
      </c>
      <c r="D38" s="37"/>
      <c r="E38" s="37" t="s">
        <v>47</v>
      </c>
      <c r="F38" s="37" t="s">
        <v>149</v>
      </c>
      <c r="G38" s="37"/>
      <c r="H38" s="37" t="s">
        <v>1031</v>
      </c>
      <c r="I38" s="37" t="s">
        <v>29</v>
      </c>
      <c r="J38" s="37" t="s">
        <v>40</v>
      </c>
      <c r="K38" s="37" t="s">
        <v>1026</v>
      </c>
      <c r="L38" s="37" t="s">
        <v>238</v>
      </c>
      <c r="M38" s="37" t="s">
        <v>897</v>
      </c>
      <c r="N38" s="37" t="s">
        <v>1032</v>
      </c>
      <c r="O38" s="37" t="s">
        <v>899</v>
      </c>
      <c r="P38" s="37" t="s">
        <v>917</v>
      </c>
      <c r="Q38" s="37" t="s">
        <v>899</v>
      </c>
      <c r="R38" s="37" t="s">
        <v>987</v>
      </c>
      <c r="S38" s="37" t="s">
        <v>88</v>
      </c>
    </row>
    <row r="39" customFormat="false" ht="15" hidden="false" customHeight="false" outlineLevel="0" collapsed="false">
      <c r="A39" s="37" t="s">
        <v>239</v>
      </c>
      <c r="B39" s="37" t="s">
        <v>1033</v>
      </c>
      <c r="C39" s="37" t="s">
        <v>134</v>
      </c>
      <c r="D39" s="37" t="s">
        <v>65</v>
      </c>
      <c r="E39" s="37" t="s">
        <v>48</v>
      </c>
      <c r="F39" s="37" t="s">
        <v>135</v>
      </c>
      <c r="G39" s="37" t="s">
        <v>240</v>
      </c>
      <c r="H39" s="37" t="s">
        <v>1034</v>
      </c>
      <c r="I39" s="37"/>
      <c r="J39" s="37" t="s">
        <v>37</v>
      </c>
      <c r="K39" s="37" t="s">
        <v>927</v>
      </c>
      <c r="L39" s="37" t="s">
        <v>241</v>
      </c>
      <c r="M39" s="37" t="s">
        <v>1008</v>
      </c>
      <c r="N39" s="37" t="s">
        <v>890</v>
      </c>
      <c r="O39" s="37" t="s">
        <v>899</v>
      </c>
      <c r="P39" s="37" t="s">
        <v>917</v>
      </c>
      <c r="Q39" s="37" t="s">
        <v>890</v>
      </c>
      <c r="R39" s="37" t="s">
        <v>918</v>
      </c>
      <c r="S39" s="37" t="s">
        <v>88</v>
      </c>
    </row>
    <row r="40" customFormat="false" ht="15" hidden="false" customHeight="false" outlineLevel="0" collapsed="false">
      <c r="A40" s="37" t="s">
        <v>242</v>
      </c>
      <c r="B40" s="37" t="s">
        <v>887</v>
      </c>
      <c r="C40" s="37"/>
      <c r="D40" s="37" t="s">
        <v>62</v>
      </c>
      <c r="E40" s="37" t="s">
        <v>48</v>
      </c>
      <c r="F40" s="37" t="s">
        <v>135</v>
      </c>
      <c r="G40" s="37" t="s">
        <v>243</v>
      </c>
      <c r="H40" s="37" t="s">
        <v>1035</v>
      </c>
      <c r="I40" s="37" t="s">
        <v>29</v>
      </c>
      <c r="J40" s="37" t="s">
        <v>42</v>
      </c>
      <c r="K40" s="37" t="s">
        <v>1036</v>
      </c>
      <c r="L40" s="37" t="s">
        <v>244</v>
      </c>
      <c r="M40" s="37" t="s">
        <v>947</v>
      </c>
      <c r="N40" s="37"/>
      <c r="O40" s="37" t="s">
        <v>891</v>
      </c>
      <c r="P40" s="37" t="s">
        <v>962</v>
      </c>
      <c r="Q40" s="37" t="s">
        <v>937</v>
      </c>
      <c r="R40" s="37" t="s">
        <v>948</v>
      </c>
      <c r="S40" s="37" t="s">
        <v>87</v>
      </c>
    </row>
    <row r="41" customFormat="false" ht="15" hidden="false" customHeight="false" outlineLevel="0" collapsed="false">
      <c r="A41" s="37" t="s">
        <v>245</v>
      </c>
      <c r="B41" s="37" t="s">
        <v>1037</v>
      </c>
      <c r="C41" s="37" t="s">
        <v>134</v>
      </c>
      <c r="D41" s="37" t="s">
        <v>67</v>
      </c>
      <c r="E41" s="37" t="s">
        <v>48</v>
      </c>
      <c r="F41" s="37" t="s">
        <v>246</v>
      </c>
      <c r="G41" s="37" t="s">
        <v>247</v>
      </c>
      <c r="H41" s="37"/>
      <c r="I41" s="37" t="s">
        <v>25</v>
      </c>
      <c r="J41" s="37" t="s">
        <v>37</v>
      </c>
      <c r="K41" s="37" t="s">
        <v>1005</v>
      </c>
      <c r="L41" s="37" t="s">
        <v>248</v>
      </c>
      <c r="M41" s="37" t="s">
        <v>907</v>
      </c>
      <c r="N41" s="37" t="s">
        <v>891</v>
      </c>
      <c r="O41" s="37" t="s">
        <v>909</v>
      </c>
      <c r="P41" s="37" t="s">
        <v>917</v>
      </c>
      <c r="Q41" s="37" t="s">
        <v>897</v>
      </c>
      <c r="R41" s="37" t="s">
        <v>1038</v>
      </c>
      <c r="S41" s="37" t="s">
        <v>88</v>
      </c>
    </row>
    <row r="42" customFormat="false" ht="15" hidden="false" customHeight="false" outlineLevel="0" collapsed="false">
      <c r="A42" s="37" t="s">
        <v>249</v>
      </c>
      <c r="B42" s="37" t="s">
        <v>995</v>
      </c>
      <c r="C42" s="37" t="s">
        <v>134</v>
      </c>
      <c r="D42" s="37" t="s">
        <v>63</v>
      </c>
      <c r="E42" s="37" t="s">
        <v>48</v>
      </c>
      <c r="F42" s="37" t="s">
        <v>139</v>
      </c>
      <c r="G42" s="37" t="s">
        <v>250</v>
      </c>
      <c r="H42" s="37" t="s">
        <v>1039</v>
      </c>
      <c r="I42" s="37" t="s">
        <v>905</v>
      </c>
      <c r="J42" s="37" t="s">
        <v>38</v>
      </c>
      <c r="K42" s="37" t="s">
        <v>1001</v>
      </c>
      <c r="L42" s="37" t="s">
        <v>251</v>
      </c>
      <c r="M42" s="37" t="s">
        <v>897</v>
      </c>
      <c r="N42" s="37" t="s">
        <v>893</v>
      </c>
      <c r="O42" s="37" t="s">
        <v>891</v>
      </c>
      <c r="P42" s="37" t="s">
        <v>917</v>
      </c>
      <c r="Q42" s="37" t="s">
        <v>910</v>
      </c>
      <c r="R42" s="37" t="s">
        <v>911</v>
      </c>
      <c r="S42" s="37"/>
    </row>
    <row r="43" customFormat="false" ht="15" hidden="false" customHeight="false" outlineLevel="0" collapsed="false">
      <c r="A43" s="37" t="s">
        <v>252</v>
      </c>
      <c r="B43" s="37" t="s">
        <v>950</v>
      </c>
      <c r="C43" s="37" t="s">
        <v>992</v>
      </c>
      <c r="D43" s="37" t="s">
        <v>65</v>
      </c>
      <c r="E43" s="37" t="s">
        <v>48</v>
      </c>
      <c r="F43" s="37" t="s">
        <v>135</v>
      </c>
      <c r="G43" s="37" t="s">
        <v>253</v>
      </c>
      <c r="H43" s="37" t="s">
        <v>1040</v>
      </c>
      <c r="I43" s="37" t="s">
        <v>25</v>
      </c>
      <c r="J43" s="37" t="s">
        <v>37</v>
      </c>
      <c r="K43" s="37" t="s">
        <v>983</v>
      </c>
      <c r="L43" s="37" t="s">
        <v>254</v>
      </c>
      <c r="M43" s="37" t="s">
        <v>897</v>
      </c>
      <c r="N43" s="37" t="s">
        <v>896</v>
      </c>
      <c r="O43" s="37" t="s">
        <v>909</v>
      </c>
      <c r="P43" s="37" t="s">
        <v>917</v>
      </c>
      <c r="Q43" s="37" t="s">
        <v>966</v>
      </c>
      <c r="R43" s="37" t="s">
        <v>1038</v>
      </c>
      <c r="S43" s="37" t="s">
        <v>88</v>
      </c>
    </row>
    <row r="44" customFormat="false" ht="15" hidden="false" customHeight="false" outlineLevel="0" collapsed="false">
      <c r="A44" s="37" t="s">
        <v>255</v>
      </c>
      <c r="B44" s="37" t="s">
        <v>989</v>
      </c>
      <c r="C44" s="37" t="s">
        <v>145</v>
      </c>
      <c r="D44" s="37" t="s">
        <v>62</v>
      </c>
      <c r="E44" s="37" t="s">
        <v>48</v>
      </c>
      <c r="F44" s="37" t="s">
        <v>1041</v>
      </c>
      <c r="G44" s="37" t="s">
        <v>175</v>
      </c>
      <c r="H44" s="37" t="s">
        <v>1042</v>
      </c>
      <c r="I44" s="37" t="s">
        <v>30</v>
      </c>
      <c r="J44" s="37" t="s">
        <v>37</v>
      </c>
      <c r="K44" s="37" t="s">
        <v>1005</v>
      </c>
      <c r="L44" s="37" t="s">
        <v>256</v>
      </c>
      <c r="M44" s="37" t="s">
        <v>897</v>
      </c>
      <c r="N44" s="37" t="s">
        <v>1009</v>
      </c>
      <c r="O44" s="37" t="s">
        <v>891</v>
      </c>
      <c r="P44" s="37" t="s">
        <v>892</v>
      </c>
      <c r="Q44" s="37" t="s">
        <v>1001</v>
      </c>
      <c r="R44" s="37" t="s">
        <v>1043</v>
      </c>
      <c r="S44" s="37" t="s">
        <v>87</v>
      </c>
    </row>
    <row r="45" customFormat="false" ht="15" hidden="false" customHeight="false" outlineLevel="0" collapsed="false">
      <c r="A45" s="37" t="s">
        <v>257</v>
      </c>
      <c r="B45" s="37" t="s">
        <v>903</v>
      </c>
      <c r="C45" s="37"/>
      <c r="D45" s="37" t="s">
        <v>67</v>
      </c>
      <c r="E45" s="37" t="s">
        <v>47</v>
      </c>
      <c r="F45" s="37" t="s">
        <v>149</v>
      </c>
      <c r="G45" s="37"/>
      <c r="H45" s="37" t="s">
        <v>1044</v>
      </c>
      <c r="I45" s="37" t="s">
        <v>25</v>
      </c>
      <c r="J45" s="37" t="s">
        <v>39</v>
      </c>
      <c r="K45" s="37" t="s">
        <v>1045</v>
      </c>
      <c r="L45" s="37" t="s">
        <v>258</v>
      </c>
      <c r="M45" s="37" t="s">
        <v>897</v>
      </c>
      <c r="N45" s="37" t="s">
        <v>1046</v>
      </c>
      <c r="O45" s="37" t="s">
        <v>917</v>
      </c>
      <c r="P45" s="37" t="s">
        <v>900</v>
      </c>
      <c r="Q45" s="37" t="s">
        <v>901</v>
      </c>
      <c r="R45" s="37" t="s">
        <v>999</v>
      </c>
      <c r="S45" s="37" t="s">
        <v>87</v>
      </c>
    </row>
    <row r="46" customFormat="false" ht="15" hidden="false" customHeight="false" outlineLevel="0" collapsed="false">
      <c r="A46" s="37" t="s">
        <v>259</v>
      </c>
      <c r="B46" s="37" t="s">
        <v>907</v>
      </c>
      <c r="C46" s="37" t="s">
        <v>944</v>
      </c>
      <c r="D46" s="37" t="s">
        <v>62</v>
      </c>
      <c r="E46" s="37" t="s">
        <v>47</v>
      </c>
      <c r="F46" s="37" t="s">
        <v>160</v>
      </c>
      <c r="G46" s="37" t="s">
        <v>143</v>
      </c>
      <c r="H46" s="37" t="s">
        <v>1047</v>
      </c>
      <c r="I46" s="37" t="s">
        <v>26</v>
      </c>
      <c r="J46" s="37" t="s">
        <v>37</v>
      </c>
      <c r="K46" s="37" t="s">
        <v>1048</v>
      </c>
      <c r="L46" s="37" t="s">
        <v>260</v>
      </c>
      <c r="M46" s="37" t="s">
        <v>907</v>
      </c>
      <c r="N46" s="37" t="s">
        <v>1036</v>
      </c>
      <c r="O46" s="37" t="s">
        <v>899</v>
      </c>
      <c r="P46" s="37" t="s">
        <v>917</v>
      </c>
      <c r="Q46" s="37" t="s">
        <v>894</v>
      </c>
      <c r="R46" s="37" t="s">
        <v>972</v>
      </c>
      <c r="S46" s="37" t="s">
        <v>87</v>
      </c>
    </row>
    <row r="47" customFormat="false" ht="15" hidden="false" customHeight="false" outlineLevel="0" collapsed="false">
      <c r="A47" s="37" t="s">
        <v>261</v>
      </c>
      <c r="B47" s="37" t="s">
        <v>1017</v>
      </c>
      <c r="C47" s="37" t="s">
        <v>145</v>
      </c>
      <c r="D47" s="37" t="s">
        <v>70</v>
      </c>
      <c r="E47" s="37" t="s">
        <v>48</v>
      </c>
      <c r="F47" s="37" t="s">
        <v>135</v>
      </c>
      <c r="G47" s="37" t="s">
        <v>262</v>
      </c>
      <c r="H47" s="37" t="s">
        <v>1049</v>
      </c>
      <c r="I47" s="37" t="s">
        <v>27</v>
      </c>
      <c r="J47" s="37" t="s">
        <v>40</v>
      </c>
      <c r="K47" s="37" t="s">
        <v>991</v>
      </c>
      <c r="L47" s="37" t="s">
        <v>263</v>
      </c>
      <c r="M47" s="37" t="s">
        <v>947</v>
      </c>
      <c r="N47" s="37" t="s">
        <v>1050</v>
      </c>
      <c r="O47" s="37" t="s">
        <v>899</v>
      </c>
      <c r="P47" s="37" t="s">
        <v>891</v>
      </c>
      <c r="Q47" s="37" t="s">
        <v>934</v>
      </c>
      <c r="R47" s="37" t="s">
        <v>1051</v>
      </c>
      <c r="S47" s="37" t="s">
        <v>89</v>
      </c>
    </row>
    <row r="48" customFormat="false" ht="15" hidden="false" customHeight="false" outlineLevel="0" collapsed="false">
      <c r="A48" s="37" t="s">
        <v>264</v>
      </c>
      <c r="B48" s="37" t="s">
        <v>963</v>
      </c>
      <c r="C48" s="37" t="s">
        <v>134</v>
      </c>
      <c r="D48" s="37" t="s">
        <v>66</v>
      </c>
      <c r="E48" s="37" t="s">
        <v>47</v>
      </c>
      <c r="F48" s="37" t="s">
        <v>135</v>
      </c>
      <c r="G48" s="37" t="s">
        <v>265</v>
      </c>
      <c r="H48" s="37" t="s">
        <v>1047</v>
      </c>
      <c r="I48" s="37" t="s">
        <v>1052</v>
      </c>
      <c r="J48" s="37" t="s">
        <v>37</v>
      </c>
      <c r="K48" s="37" t="s">
        <v>1053</v>
      </c>
      <c r="L48" s="37" t="s">
        <v>266</v>
      </c>
      <c r="M48" s="37" t="s">
        <v>887</v>
      </c>
      <c r="N48" s="37" t="s">
        <v>937</v>
      </c>
      <c r="O48" s="37" t="s">
        <v>899</v>
      </c>
      <c r="P48" s="37" t="s">
        <v>962</v>
      </c>
      <c r="Q48" s="37" t="s">
        <v>1054</v>
      </c>
      <c r="R48" s="37" t="s">
        <v>987</v>
      </c>
      <c r="S48" s="37" t="s">
        <v>87</v>
      </c>
    </row>
    <row r="49" customFormat="false" ht="15" hidden="false" customHeight="false" outlineLevel="0" collapsed="false">
      <c r="A49" s="37" t="s">
        <v>267</v>
      </c>
      <c r="B49" s="37" t="s">
        <v>1055</v>
      </c>
      <c r="C49" s="37" t="s">
        <v>145</v>
      </c>
      <c r="D49" s="37" t="s">
        <v>63</v>
      </c>
      <c r="E49" s="37" t="s">
        <v>48</v>
      </c>
      <c r="F49" s="37" t="s">
        <v>135</v>
      </c>
      <c r="G49" s="37" t="s">
        <v>268</v>
      </c>
      <c r="H49" s="37" t="s">
        <v>1056</v>
      </c>
      <c r="I49" s="37" t="s">
        <v>25</v>
      </c>
      <c r="J49" s="37" t="s">
        <v>38</v>
      </c>
      <c r="K49" s="37" t="s">
        <v>962</v>
      </c>
      <c r="L49" s="37" t="s">
        <v>269</v>
      </c>
      <c r="M49" s="37" t="s">
        <v>897</v>
      </c>
      <c r="N49" s="37" t="s">
        <v>894</v>
      </c>
      <c r="O49" s="37" t="s">
        <v>909</v>
      </c>
      <c r="P49" s="37" t="s">
        <v>892</v>
      </c>
      <c r="Q49" s="37" t="s">
        <v>1057</v>
      </c>
      <c r="R49" s="37" t="s">
        <v>930</v>
      </c>
      <c r="S49" s="37" t="s">
        <v>87</v>
      </c>
    </row>
    <row r="50" customFormat="false" ht="15" hidden="false" customHeight="false" outlineLevel="0" collapsed="false">
      <c r="A50" s="37" t="s">
        <v>270</v>
      </c>
      <c r="B50" s="37" t="s">
        <v>1027</v>
      </c>
      <c r="C50" s="37" t="s">
        <v>134</v>
      </c>
      <c r="D50" s="37" t="s">
        <v>68</v>
      </c>
      <c r="E50" s="37" t="s">
        <v>47</v>
      </c>
      <c r="F50" s="37" t="s">
        <v>160</v>
      </c>
      <c r="G50" s="37" t="s">
        <v>189</v>
      </c>
      <c r="H50" s="37" t="s">
        <v>1058</v>
      </c>
      <c r="I50" s="37" t="s">
        <v>29</v>
      </c>
      <c r="J50" s="37" t="s">
        <v>38</v>
      </c>
      <c r="K50" s="37"/>
      <c r="L50" s="37" t="s">
        <v>271</v>
      </c>
      <c r="M50" s="37" t="s">
        <v>897</v>
      </c>
      <c r="N50" s="37" t="s">
        <v>967</v>
      </c>
      <c r="O50" s="37" t="s">
        <v>909</v>
      </c>
      <c r="P50" s="37" t="s">
        <v>928</v>
      </c>
      <c r="Q50" s="37" t="s">
        <v>999</v>
      </c>
      <c r="R50" s="37" t="s">
        <v>999</v>
      </c>
      <c r="S50" s="37" t="s">
        <v>88</v>
      </c>
    </row>
    <row r="51" customFormat="false" ht="15" hidden="false" customHeight="false" outlineLevel="0" collapsed="false">
      <c r="A51" s="37" t="s">
        <v>272</v>
      </c>
      <c r="B51" s="37"/>
      <c r="C51" s="37" t="s">
        <v>145</v>
      </c>
      <c r="D51" s="37" t="s">
        <v>68</v>
      </c>
      <c r="E51" s="37" t="s">
        <v>47</v>
      </c>
      <c r="F51" s="37" t="s">
        <v>139</v>
      </c>
      <c r="G51" s="37"/>
      <c r="H51" s="37" t="s">
        <v>1059</v>
      </c>
      <c r="I51" s="37" t="s">
        <v>25</v>
      </c>
      <c r="J51" s="37" t="s">
        <v>40</v>
      </c>
      <c r="K51" s="37" t="s">
        <v>1022</v>
      </c>
      <c r="L51" s="37" t="s">
        <v>273</v>
      </c>
      <c r="M51" s="37"/>
      <c r="N51" s="37" t="s">
        <v>1060</v>
      </c>
      <c r="O51" s="37" t="s">
        <v>917</v>
      </c>
      <c r="P51" s="37" t="s">
        <v>947</v>
      </c>
      <c r="Q51" s="37" t="s">
        <v>1061</v>
      </c>
      <c r="R51" s="37" t="s">
        <v>1013</v>
      </c>
      <c r="S51" s="37" t="s">
        <v>87</v>
      </c>
    </row>
    <row r="52" customFormat="false" ht="15" hidden="false" customHeight="false" outlineLevel="0" collapsed="false">
      <c r="A52" s="37" t="s">
        <v>274</v>
      </c>
      <c r="B52" s="37" t="s">
        <v>931</v>
      </c>
      <c r="C52" s="37" t="s">
        <v>944</v>
      </c>
      <c r="D52" s="37" t="s">
        <v>70</v>
      </c>
      <c r="E52" s="37" t="s">
        <v>48</v>
      </c>
      <c r="F52" s="37" t="s">
        <v>160</v>
      </c>
      <c r="G52" s="37" t="s">
        <v>275</v>
      </c>
      <c r="H52" s="37" t="s">
        <v>1062</v>
      </c>
      <c r="I52" s="37" t="s">
        <v>28</v>
      </c>
      <c r="J52" s="37" t="s">
        <v>41</v>
      </c>
      <c r="K52" s="37" t="s">
        <v>1063</v>
      </c>
      <c r="L52" s="37" t="s">
        <v>276</v>
      </c>
      <c r="M52" s="37" t="s">
        <v>907</v>
      </c>
      <c r="N52" s="37" t="s">
        <v>1028</v>
      </c>
      <c r="O52" s="37" t="s">
        <v>891</v>
      </c>
      <c r="P52" s="37" t="s">
        <v>917</v>
      </c>
      <c r="Q52" s="37" t="s">
        <v>908</v>
      </c>
      <c r="R52" s="37" t="s">
        <v>978</v>
      </c>
      <c r="S52" s="37" t="s">
        <v>88</v>
      </c>
    </row>
    <row r="53" customFormat="false" ht="15" hidden="false" customHeight="false" outlineLevel="0" collapsed="false">
      <c r="A53" s="37" t="s">
        <v>277</v>
      </c>
      <c r="B53" s="37" t="s">
        <v>1017</v>
      </c>
      <c r="C53" s="37" t="s">
        <v>1064</v>
      </c>
      <c r="D53" s="37" t="s">
        <v>156</v>
      </c>
      <c r="E53" s="37" t="s">
        <v>48</v>
      </c>
      <c r="F53" s="37" t="s">
        <v>139</v>
      </c>
      <c r="G53" s="37" t="s">
        <v>279</v>
      </c>
      <c r="H53" s="37" t="s">
        <v>1065</v>
      </c>
      <c r="I53" s="37" t="s">
        <v>25</v>
      </c>
      <c r="J53" s="37" t="s">
        <v>41</v>
      </c>
      <c r="K53" s="37" t="s">
        <v>1066</v>
      </c>
      <c r="L53" s="37" t="s">
        <v>280</v>
      </c>
      <c r="M53" s="37" t="s">
        <v>897</v>
      </c>
      <c r="N53" s="37" t="s">
        <v>917</v>
      </c>
      <c r="O53" s="37" t="s">
        <v>891</v>
      </c>
      <c r="P53" s="37"/>
      <c r="Q53" s="37" t="s">
        <v>994</v>
      </c>
      <c r="R53" s="37" t="s">
        <v>1014</v>
      </c>
      <c r="S53" s="37" t="s">
        <v>87</v>
      </c>
    </row>
    <row r="54" customFormat="false" ht="15" hidden="false" customHeight="false" outlineLevel="0" collapsed="false">
      <c r="A54" s="37" t="s">
        <v>281</v>
      </c>
      <c r="B54" s="37"/>
      <c r="C54" s="37" t="s">
        <v>1067</v>
      </c>
      <c r="D54" s="37" t="s">
        <v>65</v>
      </c>
      <c r="E54" s="37" t="s">
        <v>47</v>
      </c>
      <c r="F54" s="37" t="s">
        <v>149</v>
      </c>
      <c r="G54" s="37" t="s">
        <v>189</v>
      </c>
      <c r="H54" s="37" t="s">
        <v>1068</v>
      </c>
      <c r="I54" s="37" t="s">
        <v>25</v>
      </c>
      <c r="J54" s="37" t="s">
        <v>38</v>
      </c>
      <c r="K54" s="37" t="s">
        <v>934</v>
      </c>
      <c r="L54" s="37" t="s">
        <v>282</v>
      </c>
      <c r="M54" s="37" t="s">
        <v>1069</v>
      </c>
      <c r="N54" s="37" t="s">
        <v>966</v>
      </c>
      <c r="O54" s="37" t="s">
        <v>891</v>
      </c>
      <c r="P54" s="37" t="s">
        <v>892</v>
      </c>
      <c r="Q54" s="37"/>
      <c r="R54" s="37" t="s">
        <v>896</v>
      </c>
      <c r="S54" s="37" t="s">
        <v>87</v>
      </c>
    </row>
    <row r="55" customFormat="false" ht="15" hidden="false" customHeight="false" outlineLevel="0" collapsed="false">
      <c r="A55" s="37" t="s">
        <v>283</v>
      </c>
      <c r="B55" s="37" t="s">
        <v>1070</v>
      </c>
      <c r="C55" s="37"/>
      <c r="D55" s="37" t="s">
        <v>70</v>
      </c>
      <c r="E55" s="37" t="s">
        <v>47</v>
      </c>
      <c r="F55" s="37" t="s">
        <v>160</v>
      </c>
      <c r="G55" s="37" t="s">
        <v>143</v>
      </c>
      <c r="H55" s="37" t="s">
        <v>897</v>
      </c>
      <c r="I55" s="37" t="s">
        <v>25</v>
      </c>
      <c r="J55" s="37" t="s">
        <v>37</v>
      </c>
      <c r="K55" s="37" t="s">
        <v>1005</v>
      </c>
      <c r="L55" s="37" t="s">
        <v>284</v>
      </c>
      <c r="M55" s="37" t="s">
        <v>897</v>
      </c>
      <c r="N55" s="37" t="s">
        <v>908</v>
      </c>
      <c r="O55" s="37" t="s">
        <v>909</v>
      </c>
      <c r="P55" s="37" t="s">
        <v>917</v>
      </c>
      <c r="Q55" s="37" t="s">
        <v>1066</v>
      </c>
      <c r="R55" s="37" t="s">
        <v>1071</v>
      </c>
      <c r="S55" s="37" t="s">
        <v>87</v>
      </c>
    </row>
    <row r="56" customFormat="false" ht="15" hidden="false" customHeight="false" outlineLevel="0" collapsed="false">
      <c r="A56" s="37" t="s">
        <v>285</v>
      </c>
      <c r="B56" s="37" t="s">
        <v>1072</v>
      </c>
      <c r="C56" s="37" t="s">
        <v>1030</v>
      </c>
      <c r="D56" s="37" t="s">
        <v>69</v>
      </c>
      <c r="E56" s="37" t="s">
        <v>48</v>
      </c>
      <c r="F56" s="37" t="s">
        <v>195</v>
      </c>
      <c r="G56" s="37" t="s">
        <v>286</v>
      </c>
      <c r="H56" s="37" t="s">
        <v>1073</v>
      </c>
      <c r="I56" s="37" t="s">
        <v>25</v>
      </c>
      <c r="J56" s="37" t="s">
        <v>38</v>
      </c>
      <c r="K56" s="37" t="s">
        <v>1026</v>
      </c>
      <c r="L56" s="37" t="s">
        <v>287</v>
      </c>
      <c r="M56" s="37"/>
      <c r="N56" s="37" t="s">
        <v>987</v>
      </c>
      <c r="O56" s="37" t="s">
        <v>891</v>
      </c>
      <c r="P56" s="37" t="s">
        <v>892</v>
      </c>
      <c r="Q56" s="37" t="s">
        <v>928</v>
      </c>
      <c r="R56" s="37" t="s">
        <v>1074</v>
      </c>
      <c r="S56" s="37" t="s">
        <v>87</v>
      </c>
    </row>
    <row r="57" customFormat="false" ht="15" hidden="false" customHeight="false" outlineLevel="0" collapsed="false">
      <c r="A57" s="37" t="s">
        <v>288</v>
      </c>
      <c r="B57" s="37" t="s">
        <v>1075</v>
      </c>
      <c r="C57" s="37" t="s">
        <v>134</v>
      </c>
      <c r="D57" s="37" t="s">
        <v>69</v>
      </c>
      <c r="E57" s="37" t="s">
        <v>48</v>
      </c>
      <c r="F57" s="37" t="s">
        <v>139</v>
      </c>
      <c r="G57" s="37" t="s">
        <v>140</v>
      </c>
      <c r="H57" s="37" t="s">
        <v>1076</v>
      </c>
      <c r="I57" s="37" t="s">
        <v>26</v>
      </c>
      <c r="J57" s="37" t="s">
        <v>43</v>
      </c>
      <c r="K57" s="37" t="s">
        <v>1019</v>
      </c>
      <c r="L57" s="37" t="s">
        <v>289</v>
      </c>
      <c r="M57" s="37" t="s">
        <v>897</v>
      </c>
      <c r="N57" s="37" t="s">
        <v>1071</v>
      </c>
      <c r="O57" s="37" t="s">
        <v>909</v>
      </c>
      <c r="P57" s="37" t="s">
        <v>928</v>
      </c>
      <c r="Q57" s="37" t="s">
        <v>1077</v>
      </c>
      <c r="R57" s="37" t="s">
        <v>954</v>
      </c>
      <c r="S57" s="37" t="s">
        <v>87</v>
      </c>
    </row>
    <row r="58" customFormat="false" ht="15" hidden="false" customHeight="false" outlineLevel="0" collapsed="false">
      <c r="A58" s="37" t="s">
        <v>290</v>
      </c>
      <c r="B58" s="37" t="s">
        <v>955</v>
      </c>
      <c r="C58" s="37" t="s">
        <v>134</v>
      </c>
      <c r="D58" s="37" t="s">
        <v>1078</v>
      </c>
      <c r="E58" s="37" t="s">
        <v>47</v>
      </c>
      <c r="F58" s="37" t="s">
        <v>160</v>
      </c>
      <c r="G58" s="37" t="s">
        <v>172</v>
      </c>
      <c r="H58" s="37" t="s">
        <v>1079</v>
      </c>
      <c r="I58" s="37" t="s">
        <v>26</v>
      </c>
      <c r="J58" s="37" t="s">
        <v>39</v>
      </c>
      <c r="K58" s="37" t="s">
        <v>1080</v>
      </c>
      <c r="L58" s="37" t="s">
        <v>291</v>
      </c>
      <c r="M58" s="37" t="s">
        <v>1008</v>
      </c>
      <c r="N58" s="37" t="s">
        <v>1026</v>
      </c>
      <c r="O58" s="37" t="s">
        <v>899</v>
      </c>
      <c r="P58" s="37" t="s">
        <v>917</v>
      </c>
      <c r="Q58" s="37" t="s">
        <v>915</v>
      </c>
      <c r="R58" s="37"/>
      <c r="S58" s="37" t="s">
        <v>87</v>
      </c>
    </row>
    <row r="59" customFormat="false" ht="15" hidden="false" customHeight="false" outlineLevel="0" collapsed="false">
      <c r="A59" s="37" t="s">
        <v>292</v>
      </c>
      <c r="B59" s="37" t="s">
        <v>963</v>
      </c>
      <c r="C59" s="37" t="s">
        <v>134</v>
      </c>
      <c r="D59" s="37" t="s">
        <v>65</v>
      </c>
      <c r="E59" s="37" t="s">
        <v>47</v>
      </c>
      <c r="F59" s="37" t="s">
        <v>160</v>
      </c>
      <c r="G59" s="37" t="s">
        <v>293</v>
      </c>
      <c r="H59" s="37" t="s">
        <v>1081</v>
      </c>
      <c r="I59" s="37" t="s">
        <v>25</v>
      </c>
      <c r="J59" s="37" t="s">
        <v>41</v>
      </c>
      <c r="K59" s="37" t="s">
        <v>999</v>
      </c>
      <c r="L59" s="37" t="s">
        <v>294</v>
      </c>
      <c r="M59" s="37" t="s">
        <v>947</v>
      </c>
      <c r="N59" s="37" t="s">
        <v>1013</v>
      </c>
      <c r="O59" s="37" t="s">
        <v>891</v>
      </c>
      <c r="P59" s="37" t="s">
        <v>892</v>
      </c>
      <c r="Q59" s="37" t="s">
        <v>1082</v>
      </c>
      <c r="R59" s="37" t="s">
        <v>1083</v>
      </c>
      <c r="S59" s="37" t="s">
        <v>87</v>
      </c>
    </row>
    <row r="60" customFormat="false" ht="15" hidden="false" customHeight="false" outlineLevel="0" collapsed="false">
      <c r="A60" s="37" t="s">
        <v>295</v>
      </c>
      <c r="B60" s="37" t="s">
        <v>931</v>
      </c>
      <c r="C60" s="37" t="s">
        <v>134</v>
      </c>
      <c r="D60" s="37" t="s">
        <v>64</v>
      </c>
      <c r="E60" s="37" t="s">
        <v>48</v>
      </c>
      <c r="F60" s="37" t="s">
        <v>139</v>
      </c>
      <c r="G60" s="37" t="s">
        <v>296</v>
      </c>
      <c r="H60" s="37" t="s">
        <v>1084</v>
      </c>
      <c r="I60" s="37" t="s">
        <v>25</v>
      </c>
      <c r="J60" s="37"/>
      <c r="K60" s="37" t="s">
        <v>1063</v>
      </c>
      <c r="L60" s="37" t="s">
        <v>297</v>
      </c>
      <c r="M60" s="37" t="s">
        <v>897</v>
      </c>
      <c r="N60" s="37" t="s">
        <v>942</v>
      </c>
      <c r="O60" s="37" t="s">
        <v>891</v>
      </c>
      <c r="P60" s="37" t="s">
        <v>892</v>
      </c>
      <c r="Q60" s="37" t="s">
        <v>929</v>
      </c>
      <c r="R60" s="37" t="s">
        <v>1085</v>
      </c>
      <c r="S60" s="37" t="s">
        <v>87</v>
      </c>
    </row>
    <row r="61" customFormat="false" ht="15" hidden="false" customHeight="false" outlineLevel="0" collapsed="false">
      <c r="A61" s="37" t="s">
        <v>298</v>
      </c>
      <c r="B61" s="37" t="s">
        <v>955</v>
      </c>
      <c r="C61" s="37" t="s">
        <v>134</v>
      </c>
      <c r="D61" s="37" t="s">
        <v>65</v>
      </c>
      <c r="E61" s="37" t="s">
        <v>47</v>
      </c>
      <c r="F61" s="37" t="s">
        <v>139</v>
      </c>
      <c r="G61" s="37" t="s">
        <v>143</v>
      </c>
      <c r="H61" s="37" t="s">
        <v>1086</v>
      </c>
      <c r="I61" s="37" t="s">
        <v>29</v>
      </c>
      <c r="J61" s="37" t="s">
        <v>42</v>
      </c>
      <c r="K61" s="37" t="s">
        <v>996</v>
      </c>
      <c r="L61" s="37" t="s">
        <v>299</v>
      </c>
      <c r="M61" s="37" t="s">
        <v>897</v>
      </c>
      <c r="N61" s="37" t="s">
        <v>908</v>
      </c>
      <c r="O61" s="37" t="s">
        <v>899</v>
      </c>
      <c r="P61" s="37" t="s">
        <v>899</v>
      </c>
      <c r="Q61" s="37" t="s">
        <v>1087</v>
      </c>
      <c r="R61" s="37" t="s">
        <v>937</v>
      </c>
      <c r="S61" s="37" t="s">
        <v>89</v>
      </c>
    </row>
    <row r="62" customFormat="false" ht="15" hidden="false" customHeight="false" outlineLevel="0" collapsed="false">
      <c r="A62" s="37" t="s">
        <v>300</v>
      </c>
      <c r="B62" s="37" t="s">
        <v>1088</v>
      </c>
      <c r="C62" s="37" t="s">
        <v>992</v>
      </c>
      <c r="D62" s="37" t="s">
        <v>66</v>
      </c>
      <c r="E62" s="37" t="s">
        <v>47</v>
      </c>
      <c r="F62" s="37" t="s">
        <v>149</v>
      </c>
      <c r="G62" s="37" t="s">
        <v>143</v>
      </c>
      <c r="H62" s="37" t="s">
        <v>1089</v>
      </c>
      <c r="I62" s="37" t="s">
        <v>26</v>
      </c>
      <c r="J62" s="37" t="s">
        <v>37</v>
      </c>
      <c r="K62" s="37"/>
      <c r="L62" s="37"/>
      <c r="M62" s="37" t="s">
        <v>897</v>
      </c>
      <c r="N62" s="37" t="s">
        <v>1085</v>
      </c>
      <c r="O62" s="37" t="s">
        <v>909</v>
      </c>
      <c r="P62" s="37" t="s">
        <v>928</v>
      </c>
      <c r="Q62" s="37" t="s">
        <v>1090</v>
      </c>
      <c r="R62" s="37" t="s">
        <v>1091</v>
      </c>
      <c r="S62" s="37" t="s">
        <v>87</v>
      </c>
    </row>
    <row r="63" customFormat="false" ht="15" hidden="false" customHeight="false" outlineLevel="0" collapsed="false">
      <c r="A63" s="37" t="s">
        <v>301</v>
      </c>
      <c r="B63" s="37" t="s">
        <v>1092</v>
      </c>
      <c r="C63" s="37" t="s">
        <v>134</v>
      </c>
      <c r="D63" s="37" t="s">
        <v>70</v>
      </c>
      <c r="E63" s="37" t="s">
        <v>48</v>
      </c>
      <c r="F63" s="37" t="s">
        <v>139</v>
      </c>
      <c r="G63" s="37" t="s">
        <v>302</v>
      </c>
      <c r="H63" s="37" t="s">
        <v>1093</v>
      </c>
      <c r="I63" s="37" t="s">
        <v>30</v>
      </c>
      <c r="J63" s="37" t="s">
        <v>42</v>
      </c>
      <c r="K63" s="37" t="s">
        <v>980</v>
      </c>
      <c r="L63" s="37" t="s">
        <v>303</v>
      </c>
      <c r="M63" s="37" t="s">
        <v>907</v>
      </c>
      <c r="N63" s="37" t="s">
        <v>1094</v>
      </c>
      <c r="O63" s="37" t="s">
        <v>899</v>
      </c>
      <c r="P63" s="37" t="s">
        <v>917</v>
      </c>
      <c r="Q63" s="37" t="s">
        <v>930</v>
      </c>
      <c r="R63" s="37" t="s">
        <v>894</v>
      </c>
      <c r="S63" s="37" t="s">
        <v>89</v>
      </c>
    </row>
    <row r="64" customFormat="false" ht="15" hidden="false" customHeight="false" outlineLevel="0" collapsed="false">
      <c r="A64" s="37" t="s">
        <v>304</v>
      </c>
      <c r="B64" s="37" t="s">
        <v>1072</v>
      </c>
      <c r="C64" s="37" t="s">
        <v>134</v>
      </c>
      <c r="D64" s="37" t="s">
        <v>1078</v>
      </c>
      <c r="E64" s="37" t="s">
        <v>48</v>
      </c>
      <c r="F64" s="37" t="s">
        <v>139</v>
      </c>
      <c r="G64" s="37" t="s">
        <v>305</v>
      </c>
      <c r="H64" s="37" t="s">
        <v>1095</v>
      </c>
      <c r="I64" s="37" t="s">
        <v>26</v>
      </c>
      <c r="J64" s="37" t="s">
        <v>37</v>
      </c>
      <c r="K64" s="37" t="s">
        <v>961</v>
      </c>
      <c r="L64" s="37" t="s">
        <v>306</v>
      </c>
      <c r="M64" s="37" t="s">
        <v>907</v>
      </c>
      <c r="N64" s="37" t="s">
        <v>929</v>
      </c>
      <c r="O64" s="37" t="s">
        <v>899</v>
      </c>
      <c r="P64" s="37" t="s">
        <v>917</v>
      </c>
      <c r="Q64" s="37" t="s">
        <v>1096</v>
      </c>
      <c r="R64" s="37" t="s">
        <v>968</v>
      </c>
      <c r="S64" s="37" t="s">
        <v>89</v>
      </c>
    </row>
    <row r="65" customFormat="false" ht="15" hidden="false" customHeight="false" outlineLevel="0" collapsed="false">
      <c r="A65" s="37" t="s">
        <v>307</v>
      </c>
      <c r="B65" s="37" t="s">
        <v>907</v>
      </c>
      <c r="C65" s="37" t="s">
        <v>134</v>
      </c>
      <c r="D65" s="37" t="s">
        <v>62</v>
      </c>
      <c r="E65" s="37" t="s">
        <v>47</v>
      </c>
      <c r="F65" s="37" t="s">
        <v>149</v>
      </c>
      <c r="G65" s="37" t="s">
        <v>308</v>
      </c>
      <c r="H65" s="37" t="s">
        <v>1097</v>
      </c>
      <c r="I65" s="37" t="s">
        <v>26</v>
      </c>
      <c r="J65" s="37" t="s">
        <v>41</v>
      </c>
      <c r="K65" s="37" t="s">
        <v>1032</v>
      </c>
      <c r="L65" s="37" t="s">
        <v>309</v>
      </c>
      <c r="M65" s="37" t="s">
        <v>907</v>
      </c>
      <c r="N65" s="37" t="s">
        <v>923</v>
      </c>
      <c r="O65" s="37" t="s">
        <v>891</v>
      </c>
      <c r="P65" s="37" t="s">
        <v>892</v>
      </c>
      <c r="Q65" s="37" t="s">
        <v>1046</v>
      </c>
      <c r="R65" s="37" t="s">
        <v>925</v>
      </c>
      <c r="S65" s="37" t="s">
        <v>87</v>
      </c>
    </row>
    <row r="66" customFormat="false" ht="15" hidden="false" customHeight="false" outlineLevel="0" collapsed="false">
      <c r="A66" s="37" t="s">
        <v>310</v>
      </c>
      <c r="B66" s="37" t="s">
        <v>981</v>
      </c>
      <c r="C66" s="37" t="s">
        <v>134</v>
      </c>
      <c r="D66" s="37" t="s">
        <v>66</v>
      </c>
      <c r="E66" s="37" t="s">
        <v>47</v>
      </c>
      <c r="F66" s="37" t="s">
        <v>135</v>
      </c>
      <c r="G66" s="37" t="s">
        <v>311</v>
      </c>
      <c r="H66" s="37" t="s">
        <v>1098</v>
      </c>
      <c r="I66" s="37" t="s">
        <v>28</v>
      </c>
      <c r="J66" s="37" t="s">
        <v>40</v>
      </c>
      <c r="K66" s="37" t="s">
        <v>996</v>
      </c>
      <c r="L66" s="37" t="s">
        <v>312</v>
      </c>
      <c r="M66" s="37" t="s">
        <v>907</v>
      </c>
      <c r="N66" s="37" t="s">
        <v>1021</v>
      </c>
      <c r="O66" s="37" t="s">
        <v>891</v>
      </c>
      <c r="P66" s="37" t="s">
        <v>928</v>
      </c>
      <c r="Q66" s="37" t="s">
        <v>1007</v>
      </c>
      <c r="R66" s="37" t="s">
        <v>935</v>
      </c>
      <c r="S66" s="37" t="s">
        <v>88</v>
      </c>
    </row>
    <row r="67" customFormat="false" ht="15" hidden="false" customHeight="false" outlineLevel="0" collapsed="false">
      <c r="A67" s="37" t="s">
        <v>313</v>
      </c>
      <c r="B67" s="37" t="s">
        <v>1099</v>
      </c>
      <c r="C67" s="37" t="s">
        <v>1030</v>
      </c>
      <c r="D67" s="37" t="s">
        <v>62</v>
      </c>
      <c r="E67" s="37" t="s">
        <v>48</v>
      </c>
      <c r="F67" s="37" t="s">
        <v>195</v>
      </c>
      <c r="G67" s="37" t="s">
        <v>175</v>
      </c>
      <c r="H67" s="37" t="s">
        <v>1100</v>
      </c>
      <c r="I67" s="37" t="s">
        <v>25</v>
      </c>
      <c r="J67" s="37" t="s">
        <v>37</v>
      </c>
      <c r="K67" s="37" t="s">
        <v>915</v>
      </c>
      <c r="L67" s="37" t="s">
        <v>314</v>
      </c>
      <c r="M67" s="37"/>
      <c r="N67" s="37" t="s">
        <v>896</v>
      </c>
      <c r="O67" s="37" t="s">
        <v>917</v>
      </c>
      <c r="P67" s="37" t="s">
        <v>892</v>
      </c>
      <c r="Q67" s="37" t="s">
        <v>980</v>
      </c>
      <c r="R67" s="37" t="s">
        <v>918</v>
      </c>
      <c r="S67" s="37" t="s">
        <v>87</v>
      </c>
    </row>
    <row r="68" customFormat="false" ht="15" hidden="false" customHeight="false" outlineLevel="0" collapsed="false">
      <c r="A68" s="37" t="s">
        <v>315</v>
      </c>
      <c r="B68" s="37" t="s">
        <v>981</v>
      </c>
      <c r="C68" s="37" t="s">
        <v>1067</v>
      </c>
      <c r="D68" s="37"/>
      <c r="E68" s="37" t="s">
        <v>47</v>
      </c>
      <c r="F68" s="37" t="s">
        <v>135</v>
      </c>
      <c r="G68" s="37" t="s">
        <v>178</v>
      </c>
      <c r="H68" s="37" t="s">
        <v>897</v>
      </c>
      <c r="I68" s="37" t="s">
        <v>27</v>
      </c>
      <c r="J68" s="37" t="s">
        <v>37</v>
      </c>
      <c r="K68" s="37" t="s">
        <v>996</v>
      </c>
      <c r="L68" s="37" t="s">
        <v>316</v>
      </c>
      <c r="M68" s="37" t="s">
        <v>907</v>
      </c>
      <c r="N68" s="37" t="s">
        <v>1028</v>
      </c>
      <c r="O68" s="37" t="s">
        <v>899</v>
      </c>
      <c r="P68" s="37" t="s">
        <v>917</v>
      </c>
      <c r="Q68" s="37" t="s">
        <v>997</v>
      </c>
      <c r="R68" s="37" t="s">
        <v>925</v>
      </c>
      <c r="S68" s="37" t="s">
        <v>87</v>
      </c>
    </row>
    <row r="69" customFormat="false" ht="15" hidden="false" customHeight="false" outlineLevel="0" collapsed="false">
      <c r="A69" s="37" t="s">
        <v>307</v>
      </c>
      <c r="B69" s="37" t="s">
        <v>907</v>
      </c>
      <c r="C69" s="37" t="s">
        <v>134</v>
      </c>
      <c r="D69" s="37" t="s">
        <v>62</v>
      </c>
      <c r="E69" s="37" t="s">
        <v>47</v>
      </c>
      <c r="F69" s="37" t="s">
        <v>149</v>
      </c>
      <c r="G69" s="37" t="s">
        <v>308</v>
      </c>
      <c r="H69" s="37" t="s">
        <v>1097</v>
      </c>
      <c r="I69" s="37" t="s">
        <v>26</v>
      </c>
      <c r="J69" s="37" t="s">
        <v>41</v>
      </c>
      <c r="K69" s="37" t="s">
        <v>1032</v>
      </c>
      <c r="L69" s="37" t="s">
        <v>309</v>
      </c>
      <c r="M69" s="37" t="s">
        <v>907</v>
      </c>
      <c r="N69" s="37" t="s">
        <v>923</v>
      </c>
      <c r="O69" s="37" t="s">
        <v>891</v>
      </c>
      <c r="P69" s="37" t="s">
        <v>892</v>
      </c>
      <c r="Q69" s="37" t="s">
        <v>1046</v>
      </c>
      <c r="R69" s="37" t="s">
        <v>925</v>
      </c>
      <c r="S69" s="37" t="s">
        <v>87</v>
      </c>
    </row>
    <row r="70" customFormat="false" ht="15" hidden="false" customHeight="false" outlineLevel="0" collapsed="false">
      <c r="A70" s="37" t="s">
        <v>317</v>
      </c>
      <c r="B70" s="37" t="s">
        <v>907</v>
      </c>
      <c r="C70" s="37" t="s">
        <v>944</v>
      </c>
      <c r="D70" s="37" t="s">
        <v>66</v>
      </c>
      <c r="E70" s="37" t="s">
        <v>47</v>
      </c>
      <c r="F70" s="37" t="s">
        <v>149</v>
      </c>
      <c r="G70" s="37" t="s">
        <v>143</v>
      </c>
      <c r="H70" s="37" t="s">
        <v>897</v>
      </c>
      <c r="I70" s="37" t="s">
        <v>25</v>
      </c>
      <c r="J70" s="37" t="s">
        <v>37</v>
      </c>
      <c r="K70" s="37" t="s">
        <v>1063</v>
      </c>
      <c r="L70" s="37" t="s">
        <v>318</v>
      </c>
      <c r="M70" s="37" t="s">
        <v>897</v>
      </c>
      <c r="N70" s="37" t="s">
        <v>969</v>
      </c>
      <c r="O70" s="37" t="s">
        <v>891</v>
      </c>
      <c r="P70" s="37" t="s">
        <v>892</v>
      </c>
      <c r="Q70" s="37" t="s">
        <v>929</v>
      </c>
      <c r="R70" s="37" t="s">
        <v>1010</v>
      </c>
      <c r="S70" s="37" t="s">
        <v>87</v>
      </c>
    </row>
    <row r="71" customFormat="false" ht="15" hidden="false" customHeight="false" outlineLevel="0" collapsed="false">
      <c r="A71" s="37" t="s">
        <v>319</v>
      </c>
      <c r="B71" s="37" t="s">
        <v>1075</v>
      </c>
      <c r="C71" s="37" t="s">
        <v>145</v>
      </c>
      <c r="D71" s="37" t="s">
        <v>156</v>
      </c>
      <c r="E71" s="37" t="s">
        <v>47</v>
      </c>
      <c r="F71" s="37" t="s">
        <v>149</v>
      </c>
      <c r="G71" s="37" t="s">
        <v>150</v>
      </c>
      <c r="H71" s="37" t="s">
        <v>1101</v>
      </c>
      <c r="I71" s="37" t="s">
        <v>26</v>
      </c>
      <c r="J71" s="37" t="s">
        <v>39</v>
      </c>
      <c r="K71" s="37" t="s">
        <v>1102</v>
      </c>
      <c r="L71" s="37" t="s">
        <v>320</v>
      </c>
      <c r="M71" s="37" t="s">
        <v>897</v>
      </c>
      <c r="N71" s="37" t="s">
        <v>980</v>
      </c>
      <c r="O71" s="37"/>
      <c r="P71" s="37" t="s">
        <v>917</v>
      </c>
      <c r="Q71" s="37" t="s">
        <v>959</v>
      </c>
      <c r="R71" s="37" t="s">
        <v>1103</v>
      </c>
      <c r="S71" s="37" t="s">
        <v>88</v>
      </c>
    </row>
    <row r="72" customFormat="false" ht="15" hidden="false" customHeight="false" outlineLevel="0" collapsed="false">
      <c r="A72" s="37" t="s">
        <v>321</v>
      </c>
      <c r="B72" s="37" t="s">
        <v>912</v>
      </c>
      <c r="C72" s="37"/>
      <c r="D72" s="37" t="s">
        <v>63</v>
      </c>
      <c r="E72" s="37" t="s">
        <v>48</v>
      </c>
      <c r="F72" s="37" t="s">
        <v>195</v>
      </c>
      <c r="G72" s="37" t="s">
        <v>322</v>
      </c>
      <c r="H72" s="37" t="s">
        <v>1104</v>
      </c>
      <c r="I72" s="37" t="s">
        <v>25</v>
      </c>
      <c r="J72" s="37" t="s">
        <v>44</v>
      </c>
      <c r="K72" s="37" t="s">
        <v>1094</v>
      </c>
      <c r="L72" s="37" t="s">
        <v>323</v>
      </c>
      <c r="M72" s="37" t="s">
        <v>907</v>
      </c>
      <c r="N72" s="37" t="s">
        <v>896</v>
      </c>
      <c r="O72" s="37" t="s">
        <v>899</v>
      </c>
      <c r="P72" s="37" t="s">
        <v>917</v>
      </c>
      <c r="Q72" s="37" t="s">
        <v>1077</v>
      </c>
      <c r="R72" s="37" t="s">
        <v>1105</v>
      </c>
      <c r="S72" s="37" t="s">
        <v>87</v>
      </c>
    </row>
    <row r="73" customFormat="false" ht="15" hidden="false" customHeight="false" outlineLevel="0" collapsed="false">
      <c r="A73" s="37" t="s">
        <v>324</v>
      </c>
      <c r="B73" s="37" t="s">
        <v>970</v>
      </c>
      <c r="C73" s="37" t="s">
        <v>134</v>
      </c>
      <c r="D73" s="37" t="s">
        <v>69</v>
      </c>
      <c r="E73" s="37" t="s">
        <v>48</v>
      </c>
      <c r="F73" s="37" t="s">
        <v>1106</v>
      </c>
      <c r="G73" s="37" t="s">
        <v>240</v>
      </c>
      <c r="H73" s="37" t="s">
        <v>1107</v>
      </c>
      <c r="I73" s="37" t="s">
        <v>26</v>
      </c>
      <c r="J73" s="37" t="s">
        <v>37</v>
      </c>
      <c r="K73" s="37" t="s">
        <v>1029</v>
      </c>
      <c r="L73" s="37" t="s">
        <v>325</v>
      </c>
      <c r="M73" s="37" t="s">
        <v>897</v>
      </c>
      <c r="N73" s="37" t="s">
        <v>1083</v>
      </c>
      <c r="O73" s="37" t="s">
        <v>899</v>
      </c>
      <c r="P73" s="37" t="s">
        <v>892</v>
      </c>
      <c r="Q73" s="37" t="s">
        <v>911</v>
      </c>
      <c r="R73" s="37" t="s">
        <v>1010</v>
      </c>
      <c r="S73" s="37" t="s">
        <v>87</v>
      </c>
    </row>
    <row r="74" customFormat="false" ht="15" hidden="false" customHeight="false" outlineLevel="0" collapsed="false">
      <c r="A74" s="37" t="s">
        <v>326</v>
      </c>
      <c r="B74" s="37" t="s">
        <v>955</v>
      </c>
      <c r="C74" s="37" t="s">
        <v>944</v>
      </c>
      <c r="D74" s="37" t="s">
        <v>70</v>
      </c>
      <c r="E74" s="37" t="s">
        <v>48</v>
      </c>
      <c r="F74" s="37" t="s">
        <v>135</v>
      </c>
      <c r="G74" s="37" t="s">
        <v>182</v>
      </c>
      <c r="H74" s="37" t="s">
        <v>1108</v>
      </c>
      <c r="I74" s="37"/>
      <c r="J74" s="37" t="s">
        <v>42</v>
      </c>
      <c r="K74" s="37" t="s">
        <v>1048</v>
      </c>
      <c r="L74" s="37" t="s">
        <v>327</v>
      </c>
      <c r="M74" s="37" t="s">
        <v>897</v>
      </c>
      <c r="N74" s="37" t="s">
        <v>987</v>
      </c>
      <c r="O74" s="37" t="s">
        <v>891</v>
      </c>
      <c r="P74" s="37" t="s">
        <v>917</v>
      </c>
      <c r="Q74" s="37" t="s">
        <v>1109</v>
      </c>
      <c r="R74" s="37" t="s">
        <v>962</v>
      </c>
      <c r="S74" s="37" t="s">
        <v>87</v>
      </c>
    </row>
    <row r="75" customFormat="false" ht="15" hidden="false" customHeight="false" outlineLevel="0" collapsed="false">
      <c r="A75" s="37" t="s">
        <v>328</v>
      </c>
      <c r="B75" s="37" t="s">
        <v>955</v>
      </c>
      <c r="C75" s="37" t="s">
        <v>1067</v>
      </c>
      <c r="D75" s="37" t="s">
        <v>62</v>
      </c>
      <c r="E75" s="37" t="s">
        <v>47</v>
      </c>
      <c r="F75" s="37" t="s">
        <v>149</v>
      </c>
      <c r="G75" s="37" t="s">
        <v>329</v>
      </c>
      <c r="H75" s="37" t="s">
        <v>1110</v>
      </c>
      <c r="I75" s="37" t="s">
        <v>25</v>
      </c>
      <c r="J75" s="37"/>
      <c r="K75" s="37" t="s">
        <v>1007</v>
      </c>
      <c r="L75" s="37" t="s">
        <v>330</v>
      </c>
      <c r="M75" s="37" t="s">
        <v>897</v>
      </c>
      <c r="N75" s="37" t="s">
        <v>922</v>
      </c>
      <c r="O75" s="37" t="s">
        <v>891</v>
      </c>
      <c r="P75" s="37" t="s">
        <v>928</v>
      </c>
      <c r="Q75" s="37" t="s">
        <v>1111</v>
      </c>
      <c r="R75" s="37" t="s">
        <v>972</v>
      </c>
      <c r="S75" s="37" t="s">
        <v>89</v>
      </c>
    </row>
    <row r="76" customFormat="false" ht="15" hidden="false" customHeight="false" outlineLevel="0" collapsed="false">
      <c r="A76" s="37" t="s">
        <v>331</v>
      </c>
      <c r="B76" s="37"/>
      <c r="C76" s="37" t="s">
        <v>145</v>
      </c>
      <c r="D76" s="37" t="s">
        <v>70</v>
      </c>
      <c r="E76" s="37" t="s">
        <v>47</v>
      </c>
      <c r="F76" s="37" t="s">
        <v>139</v>
      </c>
      <c r="G76" s="37" t="s">
        <v>189</v>
      </c>
      <c r="H76" s="37"/>
      <c r="I76" s="37" t="s">
        <v>25</v>
      </c>
      <c r="J76" s="37" t="s">
        <v>38</v>
      </c>
      <c r="K76" s="37" t="s">
        <v>1111</v>
      </c>
      <c r="L76" s="37" t="s">
        <v>332</v>
      </c>
      <c r="M76" s="37" t="s">
        <v>897</v>
      </c>
      <c r="N76" s="37" t="s">
        <v>923</v>
      </c>
      <c r="O76" s="37" t="s">
        <v>917</v>
      </c>
      <c r="P76" s="37" t="s">
        <v>962</v>
      </c>
      <c r="Q76" s="37"/>
      <c r="R76" s="37" t="s">
        <v>1112</v>
      </c>
      <c r="S76" s="37" t="s">
        <v>87</v>
      </c>
    </row>
    <row r="77" customFormat="false" ht="15" hidden="false" customHeight="false" outlineLevel="0" collapsed="false">
      <c r="A77" s="37" t="s">
        <v>333</v>
      </c>
      <c r="B77" s="37" t="s">
        <v>950</v>
      </c>
      <c r="C77" s="37" t="s">
        <v>145</v>
      </c>
      <c r="D77" s="37" t="s">
        <v>68</v>
      </c>
      <c r="E77" s="37" t="s">
        <v>48</v>
      </c>
      <c r="F77" s="37" t="s">
        <v>1113</v>
      </c>
      <c r="G77" s="37" t="s">
        <v>334</v>
      </c>
      <c r="H77" s="37" t="s">
        <v>1114</v>
      </c>
      <c r="I77" s="37" t="s">
        <v>29</v>
      </c>
      <c r="J77" s="37" t="s">
        <v>37</v>
      </c>
      <c r="K77" s="37" t="s">
        <v>1111</v>
      </c>
      <c r="L77" s="37"/>
      <c r="M77" s="37" t="s">
        <v>897</v>
      </c>
      <c r="N77" s="37" t="s">
        <v>942</v>
      </c>
      <c r="O77" s="37" t="s">
        <v>891</v>
      </c>
      <c r="P77" s="37" t="s">
        <v>917</v>
      </c>
      <c r="Q77" s="37" t="s">
        <v>994</v>
      </c>
      <c r="R77" s="37" t="s">
        <v>1003</v>
      </c>
      <c r="S77" s="37" t="s">
        <v>87</v>
      </c>
    </row>
    <row r="78" customFormat="false" ht="15" hidden="false" customHeight="false" outlineLevel="0" collapsed="false">
      <c r="A78" s="37" t="s">
        <v>335</v>
      </c>
      <c r="B78" s="37" t="s">
        <v>903</v>
      </c>
      <c r="C78" s="37" t="s">
        <v>134</v>
      </c>
      <c r="D78" s="37" t="s">
        <v>63</v>
      </c>
      <c r="E78" s="37" t="s">
        <v>47</v>
      </c>
      <c r="F78" s="37" t="s">
        <v>160</v>
      </c>
      <c r="G78" s="37" t="s">
        <v>336</v>
      </c>
      <c r="H78" s="37" t="s">
        <v>1115</v>
      </c>
      <c r="I78" s="37"/>
      <c r="J78" s="37" t="s">
        <v>40</v>
      </c>
      <c r="K78" s="37" t="s">
        <v>892</v>
      </c>
      <c r="L78" s="37"/>
      <c r="M78" s="37" t="s">
        <v>907</v>
      </c>
      <c r="N78" s="37" t="s">
        <v>1116</v>
      </c>
      <c r="O78" s="37" t="s">
        <v>891</v>
      </c>
      <c r="P78" s="37" t="s">
        <v>947</v>
      </c>
      <c r="Q78" s="37" t="s">
        <v>1117</v>
      </c>
      <c r="R78" s="37" t="s">
        <v>966</v>
      </c>
      <c r="S78" s="37" t="s">
        <v>87</v>
      </c>
    </row>
    <row r="79" customFormat="false" ht="15" hidden="false" customHeight="false" outlineLevel="0" collapsed="false">
      <c r="A79" s="37" t="s">
        <v>337</v>
      </c>
      <c r="B79" s="37" t="s">
        <v>1118</v>
      </c>
      <c r="C79" s="37" t="s">
        <v>145</v>
      </c>
      <c r="D79" s="37" t="s">
        <v>63</v>
      </c>
      <c r="E79" s="37" t="s">
        <v>48</v>
      </c>
      <c r="F79" s="37" t="s">
        <v>139</v>
      </c>
      <c r="G79" s="37" t="s">
        <v>182</v>
      </c>
      <c r="H79" s="37" t="s">
        <v>1119</v>
      </c>
      <c r="I79" s="37" t="s">
        <v>25</v>
      </c>
      <c r="J79" s="37" t="s">
        <v>42</v>
      </c>
      <c r="K79" s="37" t="s">
        <v>997</v>
      </c>
      <c r="L79" s="37" t="s">
        <v>338</v>
      </c>
      <c r="M79" s="37" t="s">
        <v>897</v>
      </c>
      <c r="N79" s="37"/>
      <c r="O79" s="37" t="s">
        <v>899</v>
      </c>
      <c r="P79" s="37" t="s">
        <v>928</v>
      </c>
      <c r="Q79" s="37" t="s">
        <v>1120</v>
      </c>
      <c r="R79" s="37" t="s">
        <v>924</v>
      </c>
      <c r="S79" s="37" t="s">
        <v>87</v>
      </c>
    </row>
    <row r="80" customFormat="false" ht="15" hidden="false" customHeight="false" outlineLevel="0" collapsed="false">
      <c r="A80" s="37" t="s">
        <v>339</v>
      </c>
      <c r="B80" s="37"/>
      <c r="C80" s="37" t="s">
        <v>134</v>
      </c>
      <c r="D80" s="37" t="s">
        <v>192</v>
      </c>
      <c r="E80" s="37" t="s">
        <v>48</v>
      </c>
      <c r="F80" s="37" t="s">
        <v>160</v>
      </c>
      <c r="G80" s="37" t="s">
        <v>322</v>
      </c>
      <c r="H80" s="37" t="s">
        <v>1121</v>
      </c>
      <c r="I80" s="37" t="s">
        <v>25</v>
      </c>
      <c r="J80" s="37" t="s">
        <v>44</v>
      </c>
      <c r="K80" s="37" t="s">
        <v>1122</v>
      </c>
      <c r="L80" s="37"/>
      <c r="M80" s="37" t="s">
        <v>897</v>
      </c>
      <c r="N80" s="37" t="s">
        <v>1071</v>
      </c>
      <c r="O80" s="37" t="s">
        <v>917</v>
      </c>
      <c r="P80" s="37" t="s">
        <v>900</v>
      </c>
      <c r="Q80" s="37" t="s">
        <v>1123</v>
      </c>
      <c r="R80" s="37" t="s">
        <v>1124</v>
      </c>
      <c r="S80" s="37" t="s">
        <v>87</v>
      </c>
    </row>
    <row r="81" customFormat="false" ht="15" hidden="false" customHeight="false" outlineLevel="0" collapsed="false">
      <c r="A81" s="37" t="s">
        <v>340</v>
      </c>
      <c r="B81" s="37" t="s">
        <v>1125</v>
      </c>
      <c r="C81" s="37" t="s">
        <v>1126</v>
      </c>
      <c r="D81" s="37" t="s">
        <v>71</v>
      </c>
      <c r="E81" s="37" t="s">
        <v>48</v>
      </c>
      <c r="F81" s="37" t="s">
        <v>135</v>
      </c>
      <c r="G81" s="37" t="s">
        <v>341</v>
      </c>
      <c r="H81" s="37" t="s">
        <v>1127</v>
      </c>
      <c r="I81" s="37" t="s">
        <v>26</v>
      </c>
      <c r="J81" s="37" t="s">
        <v>37</v>
      </c>
      <c r="K81" s="37" t="s">
        <v>922</v>
      </c>
      <c r="L81" s="37" t="s">
        <v>342</v>
      </c>
      <c r="M81" s="37" t="s">
        <v>897</v>
      </c>
      <c r="N81" s="37" t="s">
        <v>928</v>
      </c>
      <c r="O81" s="37" t="s">
        <v>891</v>
      </c>
      <c r="P81" s="37" t="s">
        <v>892</v>
      </c>
      <c r="Q81" s="37" t="s">
        <v>999</v>
      </c>
      <c r="R81" s="37"/>
      <c r="S81" s="37" t="s">
        <v>87</v>
      </c>
    </row>
    <row r="82" customFormat="false" ht="15" hidden="false" customHeight="false" outlineLevel="0" collapsed="false">
      <c r="A82" s="37" t="s">
        <v>343</v>
      </c>
      <c r="B82" s="37" t="s">
        <v>1128</v>
      </c>
      <c r="C82" s="37" t="s">
        <v>145</v>
      </c>
      <c r="D82" s="37" t="s">
        <v>66</v>
      </c>
      <c r="E82" s="37" t="s">
        <v>48</v>
      </c>
      <c r="F82" s="37" t="s">
        <v>139</v>
      </c>
      <c r="G82" s="37" t="s">
        <v>344</v>
      </c>
      <c r="H82" s="37" t="s">
        <v>1129</v>
      </c>
      <c r="I82" s="37" t="s">
        <v>29</v>
      </c>
      <c r="J82" s="37" t="s">
        <v>43</v>
      </c>
      <c r="K82" s="37" t="s">
        <v>1026</v>
      </c>
      <c r="L82" s="37" t="s">
        <v>345</v>
      </c>
      <c r="M82" s="37" t="s">
        <v>897</v>
      </c>
      <c r="N82" s="37" t="s">
        <v>980</v>
      </c>
      <c r="O82" s="37"/>
      <c r="P82" s="37" t="s">
        <v>892</v>
      </c>
      <c r="Q82" s="37" t="s">
        <v>1130</v>
      </c>
      <c r="R82" s="37" t="s">
        <v>972</v>
      </c>
      <c r="S82" s="37" t="s">
        <v>87</v>
      </c>
    </row>
    <row r="83" customFormat="false" ht="15" hidden="false" customHeight="false" outlineLevel="0" collapsed="false">
      <c r="A83" s="37" t="s">
        <v>346</v>
      </c>
      <c r="B83" s="37" t="s">
        <v>1055</v>
      </c>
      <c r="C83" s="37" t="s">
        <v>145</v>
      </c>
      <c r="D83" s="37" t="s">
        <v>63</v>
      </c>
      <c r="E83" s="37" t="s">
        <v>48</v>
      </c>
      <c r="F83" s="37" t="s">
        <v>160</v>
      </c>
      <c r="G83" s="37" t="s">
        <v>347</v>
      </c>
      <c r="H83" s="37" t="s">
        <v>1131</v>
      </c>
      <c r="I83" s="37"/>
      <c r="J83" s="37" t="s">
        <v>42</v>
      </c>
      <c r="K83" s="37" t="s">
        <v>1132</v>
      </c>
      <c r="L83" s="37" t="s">
        <v>348</v>
      </c>
      <c r="M83" s="37" t="s">
        <v>1133</v>
      </c>
      <c r="N83" s="37" t="s">
        <v>1022</v>
      </c>
      <c r="O83" s="37" t="s">
        <v>899</v>
      </c>
      <c r="P83" s="37" t="s">
        <v>928</v>
      </c>
      <c r="Q83" s="37" t="s">
        <v>896</v>
      </c>
      <c r="R83" s="37" t="s">
        <v>1134</v>
      </c>
      <c r="S83" s="37" t="s">
        <v>89</v>
      </c>
    </row>
    <row r="84" customFormat="false" ht="15" hidden="false" customHeight="false" outlineLevel="0" collapsed="false">
      <c r="A84" s="37" t="s">
        <v>349</v>
      </c>
      <c r="B84" s="37" t="s">
        <v>989</v>
      </c>
      <c r="C84" s="37" t="s">
        <v>134</v>
      </c>
      <c r="D84" s="37" t="s">
        <v>945</v>
      </c>
      <c r="E84" s="37" t="s">
        <v>48</v>
      </c>
      <c r="F84" s="37" t="s">
        <v>160</v>
      </c>
      <c r="G84" s="37" t="s">
        <v>350</v>
      </c>
      <c r="H84" s="37" t="s">
        <v>1135</v>
      </c>
      <c r="I84" s="37" t="s">
        <v>26</v>
      </c>
      <c r="J84" s="37" t="s">
        <v>42</v>
      </c>
      <c r="K84" s="37" t="s">
        <v>1005</v>
      </c>
      <c r="L84" s="37" t="s">
        <v>351</v>
      </c>
      <c r="M84" s="37" t="s">
        <v>1069</v>
      </c>
      <c r="N84" s="37" t="s">
        <v>1028</v>
      </c>
      <c r="O84" s="37" t="s">
        <v>899</v>
      </c>
      <c r="P84" s="37" t="s">
        <v>917</v>
      </c>
      <c r="Q84" s="37" t="s">
        <v>1087</v>
      </c>
      <c r="R84" s="37" t="s">
        <v>1136</v>
      </c>
      <c r="S84" s="37" t="s">
        <v>87</v>
      </c>
    </row>
    <row r="85" customFormat="false" ht="15" hidden="false" customHeight="false" outlineLevel="0" collapsed="false">
      <c r="A85" s="37" t="s">
        <v>352</v>
      </c>
      <c r="B85" s="37" t="s">
        <v>1137</v>
      </c>
      <c r="C85" s="37" t="s">
        <v>1138</v>
      </c>
      <c r="D85" s="37" t="s">
        <v>64</v>
      </c>
      <c r="E85" s="37" t="s">
        <v>47</v>
      </c>
      <c r="F85" s="37" t="s">
        <v>246</v>
      </c>
      <c r="G85" s="37" t="s">
        <v>353</v>
      </c>
      <c r="H85" s="37" t="s">
        <v>897</v>
      </c>
      <c r="I85" s="37" t="s">
        <v>952</v>
      </c>
      <c r="J85" s="37" t="s">
        <v>39</v>
      </c>
      <c r="K85" s="37" t="s">
        <v>1026</v>
      </c>
      <c r="L85" s="37" t="s">
        <v>354</v>
      </c>
      <c r="M85" s="37" t="s">
        <v>947</v>
      </c>
      <c r="N85" s="37" t="s">
        <v>1036</v>
      </c>
      <c r="O85" s="37" t="s">
        <v>899</v>
      </c>
      <c r="P85" s="37" t="s">
        <v>917</v>
      </c>
      <c r="Q85" s="37" t="s">
        <v>1139</v>
      </c>
      <c r="R85" s="37" t="s">
        <v>1111</v>
      </c>
      <c r="S85" s="37" t="s">
        <v>88</v>
      </c>
    </row>
    <row r="86" customFormat="false" ht="15" hidden="false" customHeight="false" outlineLevel="0" collapsed="false">
      <c r="A86" s="37" t="s">
        <v>355</v>
      </c>
      <c r="B86" s="37" t="s">
        <v>995</v>
      </c>
      <c r="C86" s="37" t="s">
        <v>145</v>
      </c>
      <c r="D86" s="37" t="s">
        <v>62</v>
      </c>
      <c r="E86" s="37" t="s">
        <v>48</v>
      </c>
      <c r="F86" s="37" t="s">
        <v>135</v>
      </c>
      <c r="G86" s="37" t="s">
        <v>356</v>
      </c>
      <c r="H86" s="37" t="s">
        <v>1140</v>
      </c>
      <c r="I86" s="37" t="s">
        <v>1141</v>
      </c>
      <c r="J86" s="37" t="s">
        <v>41</v>
      </c>
      <c r="K86" s="37" t="s">
        <v>1063</v>
      </c>
      <c r="L86" s="37" t="s">
        <v>357</v>
      </c>
      <c r="M86" s="37" t="s">
        <v>897</v>
      </c>
      <c r="N86" s="37" t="s">
        <v>1029</v>
      </c>
      <c r="O86" s="37" t="s">
        <v>899</v>
      </c>
      <c r="P86" s="37" t="s">
        <v>892</v>
      </c>
      <c r="Q86" s="37" t="s">
        <v>997</v>
      </c>
      <c r="R86" s="37" t="s">
        <v>898</v>
      </c>
      <c r="S86" s="37" t="s">
        <v>87</v>
      </c>
    </row>
    <row r="87" customFormat="false" ht="15" hidden="false" customHeight="false" outlineLevel="0" collapsed="false">
      <c r="A87" s="37" t="s">
        <v>358</v>
      </c>
      <c r="B87" s="37" t="s">
        <v>887</v>
      </c>
      <c r="C87" s="37" t="s">
        <v>134</v>
      </c>
      <c r="D87" s="37" t="s">
        <v>68</v>
      </c>
      <c r="E87" s="37" t="s">
        <v>48</v>
      </c>
      <c r="F87" s="37" t="s">
        <v>1142</v>
      </c>
      <c r="G87" s="37" t="s">
        <v>240</v>
      </c>
      <c r="H87" s="37" t="s">
        <v>1143</v>
      </c>
      <c r="I87" s="37" t="s">
        <v>27</v>
      </c>
      <c r="J87" s="37" t="s">
        <v>37</v>
      </c>
      <c r="K87" s="37" t="s">
        <v>942</v>
      </c>
      <c r="L87" s="37" t="s">
        <v>359</v>
      </c>
      <c r="M87" s="37" t="s">
        <v>897</v>
      </c>
      <c r="N87" s="37" t="s">
        <v>1083</v>
      </c>
      <c r="O87" s="37" t="s">
        <v>891</v>
      </c>
      <c r="P87" s="37" t="s">
        <v>928</v>
      </c>
      <c r="Q87" s="37" t="s">
        <v>1144</v>
      </c>
      <c r="R87" s="37" t="s">
        <v>930</v>
      </c>
      <c r="S87" s="37" t="s">
        <v>88</v>
      </c>
    </row>
    <row r="88" customFormat="false" ht="15" hidden="false" customHeight="false" outlineLevel="0" collapsed="false">
      <c r="A88" s="37" t="s">
        <v>360</v>
      </c>
      <c r="B88" s="37" t="s">
        <v>989</v>
      </c>
      <c r="C88" s="37" t="s">
        <v>992</v>
      </c>
      <c r="D88" s="37" t="s">
        <v>1145</v>
      </c>
      <c r="E88" s="37" t="s">
        <v>47</v>
      </c>
      <c r="F88" s="37" t="s">
        <v>139</v>
      </c>
      <c r="G88" s="37" t="s">
        <v>361</v>
      </c>
      <c r="H88" s="37" t="s">
        <v>897</v>
      </c>
      <c r="I88" s="37" t="s">
        <v>27</v>
      </c>
      <c r="J88" s="37" t="s">
        <v>40</v>
      </c>
      <c r="K88" s="37" t="s">
        <v>1063</v>
      </c>
      <c r="L88" s="37" t="s">
        <v>362</v>
      </c>
      <c r="M88" s="37" t="s">
        <v>897</v>
      </c>
      <c r="N88" s="37" t="s">
        <v>910</v>
      </c>
      <c r="O88" s="37" t="s">
        <v>891</v>
      </c>
      <c r="P88" s="37" t="s">
        <v>892</v>
      </c>
      <c r="Q88" s="37" t="s">
        <v>953</v>
      </c>
      <c r="R88" s="37" t="s">
        <v>969</v>
      </c>
      <c r="S88" s="37" t="s">
        <v>87</v>
      </c>
    </row>
    <row r="89" customFormat="false" ht="15" hidden="false" customHeight="false" outlineLevel="0" collapsed="false">
      <c r="A89" s="37" t="s">
        <v>185</v>
      </c>
      <c r="B89" s="37" t="s">
        <v>955</v>
      </c>
      <c r="C89" s="37" t="s">
        <v>134</v>
      </c>
      <c r="D89" s="37" t="s">
        <v>64</v>
      </c>
      <c r="E89" s="37" t="s">
        <v>48</v>
      </c>
      <c r="F89" s="37" t="s">
        <v>160</v>
      </c>
      <c r="G89" s="37" t="s">
        <v>186</v>
      </c>
      <c r="H89" s="37" t="s">
        <v>979</v>
      </c>
      <c r="I89" s="37" t="s">
        <v>29</v>
      </c>
      <c r="J89" s="37" t="s">
        <v>43</v>
      </c>
      <c r="K89" s="37" t="s">
        <v>915</v>
      </c>
      <c r="L89" s="37" t="s">
        <v>187</v>
      </c>
      <c r="M89" s="37" t="s">
        <v>897</v>
      </c>
      <c r="N89" s="37" t="s">
        <v>892</v>
      </c>
      <c r="O89" s="37" t="s">
        <v>891</v>
      </c>
      <c r="P89" s="37" t="s">
        <v>892</v>
      </c>
      <c r="Q89" s="37" t="s">
        <v>980</v>
      </c>
      <c r="R89" s="37" t="s">
        <v>911</v>
      </c>
      <c r="S89" s="37" t="s">
        <v>87</v>
      </c>
    </row>
    <row r="90" customFormat="false" ht="15" hidden="false" customHeight="false" outlineLevel="0" collapsed="false">
      <c r="A90" s="37" t="s">
        <v>363</v>
      </c>
      <c r="B90" s="37" t="s">
        <v>1146</v>
      </c>
      <c r="C90" s="37" t="s">
        <v>145</v>
      </c>
      <c r="D90" s="37" t="s">
        <v>69</v>
      </c>
      <c r="E90" s="37" t="s">
        <v>48</v>
      </c>
      <c r="F90" s="37" t="s">
        <v>135</v>
      </c>
      <c r="G90" s="37" t="s">
        <v>364</v>
      </c>
      <c r="H90" s="37" t="s">
        <v>1147</v>
      </c>
      <c r="I90" s="37" t="s">
        <v>25</v>
      </c>
      <c r="J90" s="37" t="s">
        <v>41</v>
      </c>
      <c r="K90" s="37" t="s">
        <v>960</v>
      </c>
      <c r="L90" s="37" t="s">
        <v>366</v>
      </c>
      <c r="M90" s="37" t="s">
        <v>897</v>
      </c>
      <c r="N90" s="37" t="s">
        <v>969</v>
      </c>
      <c r="O90" s="37" t="s">
        <v>899</v>
      </c>
      <c r="P90" s="37"/>
      <c r="Q90" s="37" t="s">
        <v>1048</v>
      </c>
      <c r="R90" s="37" t="s">
        <v>1148</v>
      </c>
      <c r="S90" s="37" t="s">
        <v>89</v>
      </c>
    </row>
    <row r="91" customFormat="false" ht="15" hidden="false" customHeight="false" outlineLevel="0" collapsed="false">
      <c r="A91" s="37" t="s">
        <v>367</v>
      </c>
      <c r="B91" s="37" t="s">
        <v>1072</v>
      </c>
      <c r="C91" s="37" t="s">
        <v>134</v>
      </c>
      <c r="D91" s="37" t="s">
        <v>66</v>
      </c>
      <c r="E91" s="37" t="s">
        <v>48</v>
      </c>
      <c r="F91" s="37" t="s">
        <v>246</v>
      </c>
      <c r="G91" s="37" t="s">
        <v>368</v>
      </c>
      <c r="H91" s="37" t="s">
        <v>1149</v>
      </c>
      <c r="I91" s="37" t="s">
        <v>25</v>
      </c>
      <c r="J91" s="37" t="s">
        <v>37</v>
      </c>
      <c r="K91" s="37" t="s">
        <v>927</v>
      </c>
      <c r="L91" s="37" t="s">
        <v>369</v>
      </c>
      <c r="M91" s="37" t="s">
        <v>947</v>
      </c>
      <c r="N91" s="37" t="s">
        <v>917</v>
      </c>
      <c r="O91" s="37" t="s">
        <v>891</v>
      </c>
      <c r="P91" s="37" t="s">
        <v>892</v>
      </c>
      <c r="Q91" s="37" t="s">
        <v>1150</v>
      </c>
      <c r="R91" s="37" t="s">
        <v>1060</v>
      </c>
      <c r="S91" s="37" t="s">
        <v>87</v>
      </c>
    </row>
    <row r="92" customFormat="false" ht="15" hidden="false" customHeight="false" outlineLevel="0" collapsed="false">
      <c r="A92" s="37" t="s">
        <v>370</v>
      </c>
      <c r="B92" s="37" t="s">
        <v>943</v>
      </c>
      <c r="C92" s="37" t="s">
        <v>134</v>
      </c>
      <c r="D92" s="37" t="s">
        <v>62</v>
      </c>
      <c r="E92" s="37" t="s">
        <v>48</v>
      </c>
      <c r="F92" s="37" t="s">
        <v>135</v>
      </c>
      <c r="G92" s="37" t="s">
        <v>371</v>
      </c>
      <c r="H92" s="37" t="s">
        <v>1151</v>
      </c>
      <c r="I92" s="37" t="s">
        <v>25</v>
      </c>
      <c r="J92" s="37" t="s">
        <v>42</v>
      </c>
      <c r="K92" s="37" t="s">
        <v>1007</v>
      </c>
      <c r="L92" s="37" t="s">
        <v>372</v>
      </c>
      <c r="M92" s="37" t="s">
        <v>897</v>
      </c>
      <c r="N92" s="37" t="s">
        <v>942</v>
      </c>
      <c r="O92" s="37" t="s">
        <v>891</v>
      </c>
      <c r="P92" s="37" t="s">
        <v>962</v>
      </c>
      <c r="Q92" s="37" t="s">
        <v>1005</v>
      </c>
      <c r="R92" s="37" t="s">
        <v>1046</v>
      </c>
      <c r="S92" s="37" t="s">
        <v>89</v>
      </c>
    </row>
    <row r="93" customFormat="false" ht="15" hidden="false" customHeight="false" outlineLevel="0" collapsed="false">
      <c r="A93" s="37" t="s">
        <v>373</v>
      </c>
      <c r="B93" s="37" t="s">
        <v>1152</v>
      </c>
      <c r="C93" s="37" t="s">
        <v>145</v>
      </c>
      <c r="D93" s="37" t="s">
        <v>62</v>
      </c>
      <c r="E93" s="37" t="s">
        <v>48</v>
      </c>
      <c r="F93" s="37" t="s">
        <v>139</v>
      </c>
      <c r="G93" s="37" t="s">
        <v>322</v>
      </c>
      <c r="H93" s="37" t="s">
        <v>1153</v>
      </c>
      <c r="I93" s="37" t="s">
        <v>26</v>
      </c>
      <c r="J93" s="37" t="s">
        <v>44</v>
      </c>
      <c r="K93" s="37" t="s">
        <v>893</v>
      </c>
      <c r="L93" s="37" t="s">
        <v>374</v>
      </c>
      <c r="M93" s="37" t="s">
        <v>897</v>
      </c>
      <c r="N93" s="37" t="s">
        <v>1022</v>
      </c>
      <c r="O93" s="37" t="s">
        <v>891</v>
      </c>
      <c r="P93" s="37" t="s">
        <v>962</v>
      </c>
      <c r="Q93" s="37" t="s">
        <v>1154</v>
      </c>
      <c r="R93" s="37" t="s">
        <v>1085</v>
      </c>
      <c r="S93" s="37" t="s">
        <v>87</v>
      </c>
    </row>
    <row r="94" customFormat="false" ht="15" hidden="false" customHeight="false" outlineLevel="0" collapsed="false">
      <c r="A94" s="37" t="s">
        <v>375</v>
      </c>
      <c r="B94" s="37" t="s">
        <v>1037</v>
      </c>
      <c r="C94" s="37" t="s">
        <v>145</v>
      </c>
      <c r="D94" s="37" t="s">
        <v>65</v>
      </c>
      <c r="E94" s="37" t="s">
        <v>48</v>
      </c>
      <c r="F94" s="37" t="s">
        <v>135</v>
      </c>
      <c r="G94" s="37" t="s">
        <v>376</v>
      </c>
      <c r="H94" s="37" t="s">
        <v>1155</v>
      </c>
      <c r="I94" s="37" t="s">
        <v>25</v>
      </c>
      <c r="J94" s="37" t="s">
        <v>38</v>
      </c>
      <c r="K94" s="37" t="s">
        <v>1001</v>
      </c>
      <c r="L94" s="37" t="s">
        <v>377</v>
      </c>
      <c r="M94" s="37" t="s">
        <v>907</v>
      </c>
      <c r="N94" s="37" t="s">
        <v>1045</v>
      </c>
      <c r="O94" s="37" t="s">
        <v>891</v>
      </c>
      <c r="P94" s="37" t="s">
        <v>917</v>
      </c>
      <c r="Q94" s="37" t="s">
        <v>923</v>
      </c>
      <c r="R94" s="37" t="s">
        <v>1116</v>
      </c>
      <c r="S94" s="37" t="s">
        <v>88</v>
      </c>
    </row>
    <row r="95" customFormat="false" ht="15" hidden="false" customHeight="false" outlineLevel="0" collapsed="false">
      <c r="A95" s="37" t="s">
        <v>378</v>
      </c>
      <c r="B95" s="37" t="s">
        <v>1075</v>
      </c>
      <c r="C95" s="37" t="s">
        <v>134</v>
      </c>
      <c r="D95" s="37" t="s">
        <v>62</v>
      </c>
      <c r="E95" s="37" t="s">
        <v>47</v>
      </c>
      <c r="F95" s="37" t="s">
        <v>149</v>
      </c>
      <c r="G95" s="37" t="s">
        <v>379</v>
      </c>
      <c r="H95" s="37" t="s">
        <v>1156</v>
      </c>
      <c r="I95" s="37" t="s">
        <v>25</v>
      </c>
      <c r="J95" s="37" t="s">
        <v>39</v>
      </c>
      <c r="K95" s="37" t="s">
        <v>991</v>
      </c>
      <c r="L95" s="37" t="s">
        <v>380</v>
      </c>
      <c r="M95" s="37" t="s">
        <v>1125</v>
      </c>
      <c r="N95" s="37" t="s">
        <v>983</v>
      </c>
      <c r="O95" s="37" t="s">
        <v>891</v>
      </c>
      <c r="P95" s="37" t="s">
        <v>928</v>
      </c>
      <c r="Q95" s="37" t="s">
        <v>897</v>
      </c>
      <c r="R95" s="37" t="s">
        <v>918</v>
      </c>
      <c r="S95" s="37"/>
    </row>
    <row r="96" customFormat="false" ht="15" hidden="false" customHeight="false" outlineLevel="0" collapsed="false">
      <c r="A96" s="37" t="s">
        <v>381</v>
      </c>
      <c r="B96" s="37" t="s">
        <v>1125</v>
      </c>
      <c r="C96" s="37" t="s">
        <v>145</v>
      </c>
      <c r="D96" s="37" t="s">
        <v>66</v>
      </c>
      <c r="E96" s="37" t="s">
        <v>48</v>
      </c>
      <c r="F96" s="37"/>
      <c r="G96" s="37" t="s">
        <v>382</v>
      </c>
      <c r="H96" s="37" t="s">
        <v>1157</v>
      </c>
      <c r="I96" s="37" t="s">
        <v>29</v>
      </c>
      <c r="J96" s="37" t="s">
        <v>37</v>
      </c>
      <c r="K96" s="37"/>
      <c r="L96" s="37" t="s">
        <v>383</v>
      </c>
      <c r="M96" s="37" t="s">
        <v>907</v>
      </c>
      <c r="N96" s="37" t="s">
        <v>949</v>
      </c>
      <c r="O96" s="37" t="s">
        <v>899</v>
      </c>
      <c r="P96" s="37" t="s">
        <v>962</v>
      </c>
      <c r="Q96" s="37" t="s">
        <v>1158</v>
      </c>
      <c r="R96" s="37" t="s">
        <v>1159</v>
      </c>
      <c r="S96" s="37" t="s">
        <v>87</v>
      </c>
    </row>
    <row r="97" customFormat="false" ht="15" hidden="false" customHeight="false" outlineLevel="0" collapsed="false">
      <c r="A97" s="37" t="s">
        <v>384</v>
      </c>
      <c r="B97" s="37"/>
      <c r="C97" s="37" t="s">
        <v>134</v>
      </c>
      <c r="D97" s="37" t="s">
        <v>71</v>
      </c>
      <c r="E97" s="37" t="s">
        <v>47</v>
      </c>
      <c r="F97" s="37" t="s">
        <v>160</v>
      </c>
      <c r="G97" s="37" t="s">
        <v>385</v>
      </c>
      <c r="H97" s="37" t="s">
        <v>1160</v>
      </c>
      <c r="I97" s="37" t="s">
        <v>25</v>
      </c>
      <c r="J97" s="37" t="s">
        <v>38</v>
      </c>
      <c r="K97" s="37" t="s">
        <v>1005</v>
      </c>
      <c r="L97" s="37" t="s">
        <v>386</v>
      </c>
      <c r="M97" s="37" t="s">
        <v>1161</v>
      </c>
      <c r="N97" s="37" t="s">
        <v>922</v>
      </c>
      <c r="O97" s="37"/>
      <c r="P97" s="37" t="s">
        <v>928</v>
      </c>
      <c r="Q97" s="37" t="s">
        <v>899</v>
      </c>
      <c r="R97" s="37" t="s">
        <v>1085</v>
      </c>
      <c r="S97" s="37" t="s">
        <v>87</v>
      </c>
    </row>
    <row r="98" customFormat="false" ht="15" hidden="false" customHeight="false" outlineLevel="0" collapsed="false">
      <c r="A98" s="37" t="s">
        <v>387</v>
      </c>
      <c r="B98" s="37"/>
      <c r="C98" s="37" t="s">
        <v>134</v>
      </c>
      <c r="D98" s="37" t="s">
        <v>64</v>
      </c>
      <c r="E98" s="37" t="s">
        <v>47</v>
      </c>
      <c r="F98" s="37" t="s">
        <v>149</v>
      </c>
      <c r="G98" s="37" t="s">
        <v>336</v>
      </c>
      <c r="H98" s="37" t="s">
        <v>1162</v>
      </c>
      <c r="I98" s="37" t="s">
        <v>26</v>
      </c>
      <c r="J98" s="37" t="s">
        <v>40</v>
      </c>
      <c r="K98" s="37" t="s">
        <v>987</v>
      </c>
      <c r="L98" s="37" t="s">
        <v>388</v>
      </c>
      <c r="M98" s="37" t="s">
        <v>897</v>
      </c>
      <c r="N98" s="37" t="s">
        <v>1105</v>
      </c>
      <c r="O98" s="37" t="s">
        <v>899</v>
      </c>
      <c r="P98" s="37" t="s">
        <v>962</v>
      </c>
      <c r="Q98" s="37" t="s">
        <v>1163</v>
      </c>
      <c r="R98" s="37" t="s">
        <v>937</v>
      </c>
      <c r="S98" s="37" t="s">
        <v>87</v>
      </c>
    </row>
    <row r="99" customFormat="false" ht="15" hidden="false" customHeight="false" outlineLevel="0" collapsed="false">
      <c r="A99" s="37" t="s">
        <v>389</v>
      </c>
      <c r="B99" s="37" t="s">
        <v>989</v>
      </c>
      <c r="C99" s="37" t="s">
        <v>134</v>
      </c>
      <c r="D99" s="37" t="s">
        <v>71</v>
      </c>
      <c r="E99" s="37" t="s">
        <v>47</v>
      </c>
      <c r="F99" s="37" t="s">
        <v>135</v>
      </c>
      <c r="G99" s="37" t="s">
        <v>390</v>
      </c>
      <c r="H99" s="37" t="s">
        <v>1164</v>
      </c>
      <c r="I99" s="37" t="s">
        <v>28</v>
      </c>
      <c r="J99" s="37" t="s">
        <v>40</v>
      </c>
      <c r="K99" s="37" t="s">
        <v>1120</v>
      </c>
      <c r="L99" s="37" t="s">
        <v>391</v>
      </c>
      <c r="M99" s="37" t="s">
        <v>907</v>
      </c>
      <c r="N99" s="37"/>
      <c r="O99" s="37" t="s">
        <v>909</v>
      </c>
      <c r="P99" s="37" t="s">
        <v>928</v>
      </c>
      <c r="Q99" s="37" t="s">
        <v>910</v>
      </c>
      <c r="R99" s="37" t="s">
        <v>937</v>
      </c>
      <c r="S99" s="37" t="s">
        <v>88</v>
      </c>
    </row>
    <row r="100" customFormat="false" ht="15" hidden="false" customHeight="false" outlineLevel="0" collapsed="false">
      <c r="A100" s="37" t="s">
        <v>392</v>
      </c>
      <c r="B100" s="37" t="s">
        <v>912</v>
      </c>
      <c r="C100" s="37" t="s">
        <v>134</v>
      </c>
      <c r="D100" s="37" t="s">
        <v>68</v>
      </c>
      <c r="E100" s="37" t="s">
        <v>48</v>
      </c>
      <c r="F100" s="37" t="s">
        <v>139</v>
      </c>
      <c r="G100" s="37" t="s">
        <v>250</v>
      </c>
      <c r="H100" s="37" t="s">
        <v>1165</v>
      </c>
      <c r="I100" s="37" t="s">
        <v>25</v>
      </c>
      <c r="J100" s="37" t="s">
        <v>38</v>
      </c>
      <c r="K100" s="37" t="s">
        <v>917</v>
      </c>
      <c r="L100" s="37"/>
      <c r="M100" s="37" t="s">
        <v>907</v>
      </c>
      <c r="N100" s="37" t="s">
        <v>925</v>
      </c>
      <c r="O100" s="37" t="s">
        <v>909</v>
      </c>
      <c r="P100" s="37" t="s">
        <v>928</v>
      </c>
      <c r="Q100" s="37" t="s">
        <v>1043</v>
      </c>
      <c r="R100" s="37" t="s">
        <v>967</v>
      </c>
      <c r="S100" s="37" t="s">
        <v>87</v>
      </c>
    </row>
    <row r="101" customFormat="false" ht="15" hidden="false" customHeight="false" outlineLevel="0" collapsed="false">
      <c r="A101" s="37" t="s">
        <v>393</v>
      </c>
      <c r="B101" s="37" t="s">
        <v>1075</v>
      </c>
      <c r="C101" s="37"/>
      <c r="D101" s="37" t="s">
        <v>67</v>
      </c>
      <c r="E101" s="37" t="s">
        <v>47</v>
      </c>
      <c r="F101" s="37" t="s">
        <v>160</v>
      </c>
      <c r="G101" s="37" t="s">
        <v>394</v>
      </c>
      <c r="H101" s="37" t="s">
        <v>1166</v>
      </c>
      <c r="I101" s="37" t="s">
        <v>28</v>
      </c>
      <c r="J101" s="37" t="s">
        <v>37</v>
      </c>
      <c r="K101" s="37" t="s">
        <v>1026</v>
      </c>
      <c r="L101" s="37" t="s">
        <v>395</v>
      </c>
      <c r="M101" s="37" t="s">
        <v>897</v>
      </c>
      <c r="N101" s="37" t="s">
        <v>969</v>
      </c>
      <c r="O101" s="37" t="s">
        <v>891</v>
      </c>
      <c r="P101" s="37" t="s">
        <v>892</v>
      </c>
      <c r="Q101" s="37" t="s">
        <v>969</v>
      </c>
      <c r="R101" s="37" t="s">
        <v>1045</v>
      </c>
      <c r="S101" s="37" t="s">
        <v>87</v>
      </c>
    </row>
    <row r="102" customFormat="false" ht="15" hidden="false" customHeight="false" outlineLevel="0" collapsed="false">
      <c r="A102" s="37" t="s">
        <v>396</v>
      </c>
      <c r="B102" s="37" t="s">
        <v>912</v>
      </c>
      <c r="C102" s="37" t="s">
        <v>134</v>
      </c>
      <c r="D102" s="37" t="s">
        <v>69</v>
      </c>
      <c r="E102" s="37" t="s">
        <v>48</v>
      </c>
      <c r="F102" s="37" t="s">
        <v>139</v>
      </c>
      <c r="G102" s="37" t="s">
        <v>397</v>
      </c>
      <c r="H102" s="37" t="s">
        <v>1167</v>
      </c>
      <c r="I102" s="37" t="s">
        <v>25</v>
      </c>
      <c r="J102" s="37" t="s">
        <v>37</v>
      </c>
      <c r="K102" s="37" t="s">
        <v>1063</v>
      </c>
      <c r="L102" s="37" t="s">
        <v>398</v>
      </c>
      <c r="M102" s="37" t="s">
        <v>907</v>
      </c>
      <c r="N102" s="37" t="s">
        <v>1050</v>
      </c>
      <c r="O102" s="37" t="s">
        <v>899</v>
      </c>
      <c r="P102" s="37" t="s">
        <v>891</v>
      </c>
      <c r="Q102" s="37" t="s">
        <v>1029</v>
      </c>
      <c r="R102" s="37" t="s">
        <v>1010</v>
      </c>
      <c r="S102" s="37" t="s">
        <v>89</v>
      </c>
    </row>
    <row r="103" customFormat="false" ht="15" hidden="false" customHeight="false" outlineLevel="0" collapsed="false">
      <c r="A103" s="37" t="s">
        <v>399</v>
      </c>
      <c r="B103" s="37" t="s">
        <v>1011</v>
      </c>
      <c r="C103" s="37" t="s">
        <v>145</v>
      </c>
      <c r="D103" s="37" t="s">
        <v>63</v>
      </c>
      <c r="E103" s="37" t="s">
        <v>47</v>
      </c>
      <c r="F103" s="37" t="s">
        <v>160</v>
      </c>
      <c r="G103" s="37" t="s">
        <v>150</v>
      </c>
      <c r="H103" s="37" t="s">
        <v>897</v>
      </c>
      <c r="I103" s="37" t="s">
        <v>27</v>
      </c>
      <c r="J103" s="37" t="s">
        <v>39</v>
      </c>
      <c r="K103" s="37" t="s">
        <v>1001</v>
      </c>
      <c r="L103" s="37" t="s">
        <v>400</v>
      </c>
      <c r="M103" s="37" t="s">
        <v>897</v>
      </c>
      <c r="N103" s="37" t="s">
        <v>1002</v>
      </c>
      <c r="O103" s="37" t="s">
        <v>899</v>
      </c>
      <c r="P103" s="37" t="s">
        <v>928</v>
      </c>
      <c r="Q103" s="37" t="s">
        <v>1087</v>
      </c>
      <c r="R103" s="37" t="s">
        <v>892</v>
      </c>
      <c r="S103" s="37" t="s">
        <v>87</v>
      </c>
    </row>
    <row r="104" customFormat="false" ht="15" hidden="false" customHeight="false" outlineLevel="0" collapsed="false">
      <c r="A104" s="37" t="s">
        <v>401</v>
      </c>
      <c r="B104" s="37" t="s">
        <v>907</v>
      </c>
      <c r="C104" s="37" t="s">
        <v>944</v>
      </c>
      <c r="D104" s="37" t="s">
        <v>62</v>
      </c>
      <c r="E104" s="37" t="s">
        <v>47</v>
      </c>
      <c r="F104" s="37" t="s">
        <v>149</v>
      </c>
      <c r="G104" s="37" t="s">
        <v>172</v>
      </c>
      <c r="H104" s="37" t="s">
        <v>1168</v>
      </c>
      <c r="I104" s="37" t="s">
        <v>25</v>
      </c>
      <c r="J104" s="37" t="s">
        <v>40</v>
      </c>
      <c r="K104" s="37" t="s">
        <v>991</v>
      </c>
      <c r="L104" s="37" t="s">
        <v>402</v>
      </c>
      <c r="M104" s="37" t="s">
        <v>897</v>
      </c>
      <c r="N104" s="37" t="s">
        <v>908</v>
      </c>
      <c r="O104" s="37" t="s">
        <v>891</v>
      </c>
      <c r="P104" s="37" t="s">
        <v>891</v>
      </c>
      <c r="Q104" s="37" t="s">
        <v>1150</v>
      </c>
      <c r="R104" s="37" t="s">
        <v>1091</v>
      </c>
      <c r="S104" s="37" t="s">
        <v>87</v>
      </c>
    </row>
    <row r="105" customFormat="false" ht="15" hidden="false" customHeight="false" outlineLevel="0" collapsed="false">
      <c r="A105" s="37" t="s">
        <v>403</v>
      </c>
      <c r="B105" s="37" t="s">
        <v>1169</v>
      </c>
      <c r="C105" s="37" t="s">
        <v>134</v>
      </c>
      <c r="D105" s="37" t="s">
        <v>64</v>
      </c>
      <c r="E105" s="37" t="s">
        <v>48</v>
      </c>
      <c r="F105" s="37" t="s">
        <v>139</v>
      </c>
      <c r="G105" s="37" t="s">
        <v>296</v>
      </c>
      <c r="H105" s="37" t="s">
        <v>1170</v>
      </c>
      <c r="I105" s="37" t="s">
        <v>31</v>
      </c>
      <c r="J105" s="37" t="s">
        <v>38</v>
      </c>
      <c r="K105" s="37" t="s">
        <v>991</v>
      </c>
      <c r="L105" s="37" t="s">
        <v>404</v>
      </c>
      <c r="M105" s="37" t="s">
        <v>947</v>
      </c>
      <c r="N105" s="37" t="s">
        <v>893</v>
      </c>
      <c r="O105" s="37" t="s">
        <v>899</v>
      </c>
      <c r="P105" s="37" t="s">
        <v>917</v>
      </c>
      <c r="Q105" s="37" t="s">
        <v>927</v>
      </c>
      <c r="R105" s="37" t="s">
        <v>1053</v>
      </c>
      <c r="S105" s="37" t="s">
        <v>89</v>
      </c>
    </row>
    <row r="106" customFormat="false" ht="15" hidden="false" customHeight="false" outlineLevel="0" collapsed="false">
      <c r="A106" s="37" t="s">
        <v>405</v>
      </c>
      <c r="B106" s="37" t="s">
        <v>920</v>
      </c>
      <c r="C106" s="37" t="s">
        <v>134</v>
      </c>
      <c r="D106" s="37" t="s">
        <v>156</v>
      </c>
      <c r="E106" s="37" t="s">
        <v>47</v>
      </c>
      <c r="F106" s="37" t="s">
        <v>149</v>
      </c>
      <c r="G106" s="37" t="s">
        <v>406</v>
      </c>
      <c r="H106" s="37" t="s">
        <v>897</v>
      </c>
      <c r="I106" s="37" t="s">
        <v>28</v>
      </c>
      <c r="J106" s="37" t="s">
        <v>39</v>
      </c>
      <c r="K106" s="37" t="s">
        <v>909</v>
      </c>
      <c r="L106" s="37" t="s">
        <v>407</v>
      </c>
      <c r="M106" s="37" t="s">
        <v>897</v>
      </c>
      <c r="N106" s="37" t="s">
        <v>969</v>
      </c>
      <c r="O106" s="37" t="s">
        <v>891</v>
      </c>
      <c r="P106" s="37" t="s">
        <v>928</v>
      </c>
      <c r="Q106" s="37" t="s">
        <v>899</v>
      </c>
      <c r="R106" s="37" t="s">
        <v>1091</v>
      </c>
      <c r="S106" s="37" t="s">
        <v>88</v>
      </c>
    </row>
    <row r="107" customFormat="false" ht="15" hidden="false" customHeight="false" outlineLevel="0" collapsed="false">
      <c r="A107" s="37" t="s">
        <v>408</v>
      </c>
      <c r="B107" s="37" t="s">
        <v>1171</v>
      </c>
      <c r="C107" s="37" t="s">
        <v>134</v>
      </c>
      <c r="D107" s="37" t="s">
        <v>70</v>
      </c>
      <c r="E107" s="37" t="s">
        <v>48</v>
      </c>
      <c r="F107" s="37" t="s">
        <v>135</v>
      </c>
      <c r="G107" s="37" t="s">
        <v>409</v>
      </c>
      <c r="H107" s="37" t="s">
        <v>1172</v>
      </c>
      <c r="I107" s="37" t="s">
        <v>26</v>
      </c>
      <c r="J107" s="37" t="s">
        <v>43</v>
      </c>
      <c r="K107" s="37" t="s">
        <v>1124</v>
      </c>
      <c r="L107" s="37"/>
      <c r="M107" s="37" t="s">
        <v>907</v>
      </c>
      <c r="N107" s="37" t="s">
        <v>954</v>
      </c>
      <c r="O107" s="37" t="s">
        <v>917</v>
      </c>
      <c r="P107" s="37" t="s">
        <v>962</v>
      </c>
      <c r="Q107" s="37" t="s">
        <v>1173</v>
      </c>
      <c r="R107" s="37"/>
      <c r="S107" s="37" t="s">
        <v>87</v>
      </c>
    </row>
    <row r="108" customFormat="false" ht="15" hidden="false" customHeight="false" outlineLevel="0" collapsed="false">
      <c r="A108" s="37" t="s">
        <v>410</v>
      </c>
      <c r="B108" s="37" t="s">
        <v>1075</v>
      </c>
      <c r="C108" s="37" t="s">
        <v>145</v>
      </c>
      <c r="D108" s="37" t="s">
        <v>64</v>
      </c>
      <c r="E108" s="37" t="s">
        <v>48</v>
      </c>
      <c r="F108" s="37" t="s">
        <v>1113</v>
      </c>
      <c r="G108" s="37" t="s">
        <v>371</v>
      </c>
      <c r="H108" s="37" t="s">
        <v>1174</v>
      </c>
      <c r="I108" s="37" t="s">
        <v>27</v>
      </c>
      <c r="J108" s="37" t="s">
        <v>42</v>
      </c>
      <c r="K108" s="37" t="s">
        <v>1094</v>
      </c>
      <c r="L108" s="37" t="s">
        <v>411</v>
      </c>
      <c r="M108" s="37" t="s">
        <v>907</v>
      </c>
      <c r="N108" s="37" t="s">
        <v>972</v>
      </c>
      <c r="O108" s="37" t="s">
        <v>891</v>
      </c>
      <c r="P108" s="37" t="s">
        <v>962</v>
      </c>
      <c r="Q108" s="37" t="s">
        <v>1014</v>
      </c>
      <c r="R108" s="37" t="s">
        <v>1090</v>
      </c>
      <c r="S108" s="37"/>
    </row>
    <row r="109" customFormat="false" ht="15" hidden="false" customHeight="false" outlineLevel="0" collapsed="false">
      <c r="A109" s="37" t="s">
        <v>412</v>
      </c>
      <c r="B109" s="37" t="s">
        <v>1175</v>
      </c>
      <c r="C109" s="37" t="s">
        <v>145</v>
      </c>
      <c r="D109" s="37" t="s">
        <v>67</v>
      </c>
      <c r="E109" s="37" t="s">
        <v>48</v>
      </c>
      <c r="F109" s="37" t="s">
        <v>135</v>
      </c>
      <c r="G109" s="37" t="s">
        <v>413</v>
      </c>
      <c r="H109" s="37" t="s">
        <v>1176</v>
      </c>
      <c r="I109" s="37" t="s">
        <v>25</v>
      </c>
      <c r="J109" s="37" t="s">
        <v>43</v>
      </c>
      <c r="K109" s="37" t="s">
        <v>1177</v>
      </c>
      <c r="L109" s="37" t="s">
        <v>414</v>
      </c>
      <c r="M109" s="37" t="s">
        <v>897</v>
      </c>
      <c r="N109" s="37" t="s">
        <v>890</v>
      </c>
      <c r="O109" s="37" t="s">
        <v>891</v>
      </c>
      <c r="P109" s="37" t="s">
        <v>892</v>
      </c>
      <c r="Q109" s="37" t="s">
        <v>910</v>
      </c>
      <c r="R109" s="37" t="s">
        <v>972</v>
      </c>
      <c r="S109" s="37" t="s">
        <v>87</v>
      </c>
    </row>
    <row r="110" customFormat="false" ht="15" hidden="false" customHeight="false" outlineLevel="0" collapsed="false">
      <c r="A110" s="37" t="s">
        <v>415</v>
      </c>
      <c r="B110" s="37" t="s">
        <v>1178</v>
      </c>
      <c r="C110" s="37" t="s">
        <v>134</v>
      </c>
      <c r="D110" s="37" t="s">
        <v>156</v>
      </c>
      <c r="E110" s="37" t="s">
        <v>47</v>
      </c>
      <c r="F110" s="37" t="s">
        <v>160</v>
      </c>
      <c r="G110" s="37" t="s">
        <v>416</v>
      </c>
      <c r="H110" s="37" t="s">
        <v>1179</v>
      </c>
      <c r="I110" s="37" t="s">
        <v>32</v>
      </c>
      <c r="J110" s="37" t="s">
        <v>40</v>
      </c>
      <c r="K110" s="37" t="s">
        <v>928</v>
      </c>
      <c r="L110" s="37" t="s">
        <v>417</v>
      </c>
      <c r="M110" s="37" t="s">
        <v>897</v>
      </c>
      <c r="N110" s="37" t="s">
        <v>1085</v>
      </c>
      <c r="O110" s="37" t="s">
        <v>917</v>
      </c>
      <c r="P110" s="37" t="s">
        <v>962</v>
      </c>
      <c r="Q110" s="37" t="s">
        <v>1163</v>
      </c>
      <c r="R110" s="37" t="s">
        <v>1013</v>
      </c>
      <c r="S110" s="37" t="s">
        <v>87</v>
      </c>
    </row>
    <row r="111" customFormat="false" ht="15" hidden="false" customHeight="false" outlineLevel="0" collapsed="false">
      <c r="A111" s="37" t="s">
        <v>418</v>
      </c>
      <c r="B111" s="37" t="s">
        <v>943</v>
      </c>
      <c r="C111" s="37" t="s">
        <v>913</v>
      </c>
      <c r="D111" s="37" t="s">
        <v>70</v>
      </c>
      <c r="E111" s="37" t="s">
        <v>48</v>
      </c>
      <c r="F111" s="37" t="s">
        <v>135</v>
      </c>
      <c r="G111" s="37" t="s">
        <v>419</v>
      </c>
      <c r="H111" s="37" t="s">
        <v>1180</v>
      </c>
      <c r="I111" s="37" t="s">
        <v>29</v>
      </c>
      <c r="J111" s="37" t="s">
        <v>43</v>
      </c>
      <c r="K111" s="37" t="s">
        <v>1181</v>
      </c>
      <c r="L111" s="37" t="s">
        <v>420</v>
      </c>
      <c r="M111" s="37" t="s">
        <v>1125</v>
      </c>
      <c r="N111" s="37" t="s">
        <v>1048</v>
      </c>
      <c r="O111" s="37" t="s">
        <v>917</v>
      </c>
      <c r="P111" s="37" t="s">
        <v>917</v>
      </c>
      <c r="Q111" s="37" t="s">
        <v>1182</v>
      </c>
      <c r="R111" s="37" t="s">
        <v>1116</v>
      </c>
      <c r="S111" s="37" t="s">
        <v>88</v>
      </c>
    </row>
    <row r="112" customFormat="false" ht="15" hidden="false" customHeight="false" outlineLevel="0" collapsed="false">
      <c r="A112" s="37" t="s">
        <v>421</v>
      </c>
      <c r="B112" s="37" t="s">
        <v>1055</v>
      </c>
      <c r="C112" s="37" t="s">
        <v>134</v>
      </c>
      <c r="D112" s="37" t="s">
        <v>62</v>
      </c>
      <c r="E112" s="37" t="s">
        <v>48</v>
      </c>
      <c r="F112" s="37" t="s">
        <v>195</v>
      </c>
      <c r="G112" s="37" t="s">
        <v>422</v>
      </c>
      <c r="H112" s="37" t="s">
        <v>1183</v>
      </c>
      <c r="I112" s="37" t="s">
        <v>29</v>
      </c>
      <c r="J112" s="37" t="s">
        <v>44</v>
      </c>
      <c r="K112" s="37" t="s">
        <v>1007</v>
      </c>
      <c r="L112" s="37" t="s">
        <v>423</v>
      </c>
      <c r="M112" s="37" t="s">
        <v>897</v>
      </c>
      <c r="N112" s="37" t="s">
        <v>923</v>
      </c>
      <c r="O112" s="37" t="s">
        <v>909</v>
      </c>
      <c r="P112" s="37" t="s">
        <v>917</v>
      </c>
      <c r="Q112" s="37" t="s">
        <v>1005</v>
      </c>
      <c r="R112" s="37" t="s">
        <v>1124</v>
      </c>
      <c r="S112" s="37"/>
    </row>
    <row r="113" customFormat="false" ht="15" hidden="false" customHeight="false" outlineLevel="0" collapsed="false">
      <c r="A113" s="37" t="s">
        <v>424</v>
      </c>
      <c r="B113" s="37" t="s">
        <v>1184</v>
      </c>
      <c r="C113" s="37" t="s">
        <v>145</v>
      </c>
      <c r="D113" s="37" t="s">
        <v>65</v>
      </c>
      <c r="E113" s="37" t="s">
        <v>48</v>
      </c>
      <c r="F113" s="37" t="s">
        <v>160</v>
      </c>
      <c r="G113" s="37" t="s">
        <v>322</v>
      </c>
      <c r="H113" s="37"/>
      <c r="I113" s="37" t="s">
        <v>28</v>
      </c>
      <c r="J113" s="37" t="s">
        <v>44</v>
      </c>
      <c r="K113" s="37" t="s">
        <v>1185</v>
      </c>
      <c r="L113" s="37" t="s">
        <v>425</v>
      </c>
      <c r="M113" s="37" t="s">
        <v>947</v>
      </c>
      <c r="N113" s="37" t="s">
        <v>1022</v>
      </c>
      <c r="O113" s="37" t="s">
        <v>891</v>
      </c>
      <c r="P113" s="37" t="s">
        <v>892</v>
      </c>
      <c r="Q113" s="37" t="s">
        <v>901</v>
      </c>
      <c r="R113" s="37" t="s">
        <v>1003</v>
      </c>
      <c r="S113" s="37" t="s">
        <v>87</v>
      </c>
    </row>
    <row r="114" customFormat="false" ht="15" hidden="false" customHeight="false" outlineLevel="0" collapsed="false">
      <c r="A114" s="37" t="s">
        <v>426</v>
      </c>
      <c r="B114" s="37" t="s">
        <v>981</v>
      </c>
      <c r="C114" s="37" t="s">
        <v>134</v>
      </c>
      <c r="D114" s="37" t="s">
        <v>192</v>
      </c>
      <c r="E114" s="37" t="s">
        <v>47</v>
      </c>
      <c r="F114" s="37" t="s">
        <v>135</v>
      </c>
      <c r="G114" s="37" t="s">
        <v>427</v>
      </c>
      <c r="H114" s="37" t="s">
        <v>1186</v>
      </c>
      <c r="I114" s="37" t="s">
        <v>27</v>
      </c>
      <c r="J114" s="37"/>
      <c r="K114" s="37" t="s">
        <v>1187</v>
      </c>
      <c r="L114" s="37" t="s">
        <v>428</v>
      </c>
      <c r="M114" s="37" t="s">
        <v>1125</v>
      </c>
      <c r="N114" s="37"/>
      <c r="O114" s="37" t="s">
        <v>899</v>
      </c>
      <c r="P114" s="37" t="s">
        <v>928</v>
      </c>
      <c r="Q114" s="37" t="s">
        <v>960</v>
      </c>
      <c r="R114" s="37"/>
      <c r="S114" s="37" t="s">
        <v>89</v>
      </c>
    </row>
    <row r="115" customFormat="false" ht="15" hidden="false" customHeight="false" outlineLevel="0" collapsed="false">
      <c r="A115" s="37" t="s">
        <v>429</v>
      </c>
      <c r="B115" s="37" t="s">
        <v>981</v>
      </c>
      <c r="C115" s="37" t="s">
        <v>134</v>
      </c>
      <c r="D115" s="37" t="s">
        <v>156</v>
      </c>
      <c r="E115" s="37" t="s">
        <v>47</v>
      </c>
      <c r="F115" s="37" t="s">
        <v>149</v>
      </c>
      <c r="G115" s="37" t="s">
        <v>143</v>
      </c>
      <c r="H115" s="37" t="s">
        <v>1186</v>
      </c>
      <c r="I115" s="37"/>
      <c r="J115" s="37" t="s">
        <v>37</v>
      </c>
      <c r="K115" s="37" t="s">
        <v>1150</v>
      </c>
      <c r="L115" s="37" t="s">
        <v>430</v>
      </c>
      <c r="M115" s="37" t="s">
        <v>947</v>
      </c>
      <c r="N115" s="37" t="s">
        <v>1021</v>
      </c>
      <c r="O115" s="37" t="s">
        <v>891</v>
      </c>
      <c r="P115" s="37" t="s">
        <v>917</v>
      </c>
      <c r="Q115" s="37" t="s">
        <v>922</v>
      </c>
      <c r="R115" s="37" t="s">
        <v>1112</v>
      </c>
      <c r="S115" s="37" t="s">
        <v>87</v>
      </c>
    </row>
    <row r="116" customFormat="false" ht="15" hidden="false" customHeight="false" outlineLevel="0" collapsed="false">
      <c r="A116" s="37" t="s">
        <v>431</v>
      </c>
      <c r="B116" s="37" t="s">
        <v>931</v>
      </c>
      <c r="C116" s="37" t="s">
        <v>134</v>
      </c>
      <c r="D116" s="37" t="s">
        <v>68</v>
      </c>
      <c r="E116" s="37" t="s">
        <v>48</v>
      </c>
      <c r="F116" s="37" t="s">
        <v>135</v>
      </c>
      <c r="G116" s="37" t="s">
        <v>432</v>
      </c>
      <c r="H116" s="37" t="s">
        <v>1188</v>
      </c>
      <c r="I116" s="37" t="s">
        <v>31</v>
      </c>
      <c r="J116" s="37" t="s">
        <v>43</v>
      </c>
      <c r="K116" s="37" t="s">
        <v>961</v>
      </c>
      <c r="L116" s="37" t="s">
        <v>433</v>
      </c>
      <c r="M116" s="37" t="s">
        <v>947</v>
      </c>
      <c r="N116" s="37" t="s">
        <v>966</v>
      </c>
      <c r="O116" s="37" t="s">
        <v>891</v>
      </c>
      <c r="P116" s="37" t="s">
        <v>962</v>
      </c>
      <c r="Q116" s="37" t="s">
        <v>953</v>
      </c>
      <c r="R116" s="37" t="s">
        <v>954</v>
      </c>
      <c r="S116" s="37" t="s">
        <v>87</v>
      </c>
    </row>
    <row r="117" customFormat="false" ht="15" hidden="false" customHeight="false" outlineLevel="0" collapsed="false">
      <c r="A117" s="37" t="s">
        <v>434</v>
      </c>
      <c r="B117" s="37" t="s">
        <v>1031</v>
      </c>
      <c r="C117" s="37" t="s">
        <v>944</v>
      </c>
      <c r="D117" s="37" t="s">
        <v>67</v>
      </c>
      <c r="E117" s="37" t="s">
        <v>48</v>
      </c>
      <c r="F117" s="37" t="s">
        <v>195</v>
      </c>
      <c r="G117" s="37"/>
      <c r="H117" s="37" t="s">
        <v>1189</v>
      </c>
      <c r="I117" s="37" t="s">
        <v>25</v>
      </c>
      <c r="J117" s="37" t="s">
        <v>38</v>
      </c>
      <c r="K117" s="37" t="s">
        <v>1001</v>
      </c>
      <c r="L117" s="37" t="s">
        <v>435</v>
      </c>
      <c r="M117" s="37"/>
      <c r="N117" s="37" t="s">
        <v>1094</v>
      </c>
      <c r="O117" s="37" t="s">
        <v>891</v>
      </c>
      <c r="P117" s="37" t="s">
        <v>917</v>
      </c>
      <c r="Q117" s="37" t="s">
        <v>1094</v>
      </c>
      <c r="R117" s="37" t="s">
        <v>1124</v>
      </c>
      <c r="S117" s="37" t="s">
        <v>89</v>
      </c>
    </row>
    <row r="118" customFormat="false" ht="15" hidden="false" customHeight="false" outlineLevel="0" collapsed="false">
      <c r="A118" s="37" t="s">
        <v>436</v>
      </c>
      <c r="B118" s="37" t="s">
        <v>1190</v>
      </c>
      <c r="C118" s="37" t="s">
        <v>145</v>
      </c>
      <c r="D118" s="37" t="s">
        <v>67</v>
      </c>
      <c r="E118" s="37" t="s">
        <v>48</v>
      </c>
      <c r="F118" s="37" t="s">
        <v>160</v>
      </c>
      <c r="G118" s="37" t="s">
        <v>437</v>
      </c>
      <c r="H118" s="37" t="s">
        <v>1191</v>
      </c>
      <c r="I118" s="37" t="s">
        <v>31</v>
      </c>
      <c r="J118" s="37" t="s">
        <v>37</v>
      </c>
      <c r="K118" s="37" t="s">
        <v>1019</v>
      </c>
      <c r="L118" s="37" t="s">
        <v>438</v>
      </c>
      <c r="M118" s="37" t="s">
        <v>897</v>
      </c>
      <c r="N118" s="37" t="s">
        <v>930</v>
      </c>
      <c r="O118" s="37" t="s">
        <v>891</v>
      </c>
      <c r="P118" s="37" t="s">
        <v>892</v>
      </c>
      <c r="Q118" s="37" t="s">
        <v>1051</v>
      </c>
      <c r="R118" s="37" t="s">
        <v>1071</v>
      </c>
      <c r="S118" s="37" t="s">
        <v>87</v>
      </c>
    </row>
    <row r="119" customFormat="false" ht="15" hidden="false" customHeight="false" outlineLevel="0" collapsed="false">
      <c r="A119" s="37" t="s">
        <v>439</v>
      </c>
      <c r="B119" s="37" t="s">
        <v>907</v>
      </c>
      <c r="C119" s="37"/>
      <c r="D119" s="37" t="s">
        <v>65</v>
      </c>
      <c r="E119" s="37" t="s">
        <v>47</v>
      </c>
      <c r="F119" s="37" t="s">
        <v>149</v>
      </c>
      <c r="G119" s="37" t="s">
        <v>440</v>
      </c>
      <c r="H119" s="37" t="s">
        <v>897</v>
      </c>
      <c r="I119" s="37" t="s">
        <v>28</v>
      </c>
      <c r="J119" s="37" t="s">
        <v>41</v>
      </c>
      <c r="K119" s="37" t="s">
        <v>980</v>
      </c>
      <c r="L119" s="37" t="s">
        <v>441</v>
      </c>
      <c r="M119" s="37" t="s">
        <v>947</v>
      </c>
      <c r="N119" s="37" t="s">
        <v>937</v>
      </c>
      <c r="O119" s="37" t="s">
        <v>899</v>
      </c>
      <c r="P119" s="37" t="s">
        <v>928</v>
      </c>
      <c r="Q119" s="37" t="s">
        <v>999</v>
      </c>
      <c r="R119" s="37" t="s">
        <v>1019</v>
      </c>
      <c r="S119" s="37" t="s">
        <v>87</v>
      </c>
    </row>
    <row r="120" customFormat="false" ht="15" hidden="false" customHeight="false" outlineLevel="0" collapsed="false">
      <c r="A120" s="37" t="s">
        <v>442</v>
      </c>
      <c r="B120" s="37" t="s">
        <v>981</v>
      </c>
      <c r="C120" s="37" t="s">
        <v>145</v>
      </c>
      <c r="D120" s="37" t="s">
        <v>65</v>
      </c>
      <c r="E120" s="37" t="s">
        <v>48</v>
      </c>
      <c r="F120" s="37" t="s">
        <v>139</v>
      </c>
      <c r="G120" s="37" t="s">
        <v>250</v>
      </c>
      <c r="H120" s="37" t="s">
        <v>1192</v>
      </c>
      <c r="I120" s="37" t="s">
        <v>30</v>
      </c>
      <c r="J120" s="37" t="s">
        <v>38</v>
      </c>
      <c r="K120" s="37" t="s">
        <v>1028</v>
      </c>
      <c r="L120" s="37" t="s">
        <v>443</v>
      </c>
      <c r="M120" s="37" t="s">
        <v>897</v>
      </c>
      <c r="N120" s="37" t="s">
        <v>935</v>
      </c>
      <c r="O120" s="37" t="s">
        <v>891</v>
      </c>
      <c r="P120" s="37" t="s">
        <v>928</v>
      </c>
      <c r="Q120" s="37" t="s">
        <v>1022</v>
      </c>
      <c r="R120" s="37" t="s">
        <v>919</v>
      </c>
      <c r="S120" s="37" t="s">
        <v>87</v>
      </c>
    </row>
    <row r="121" customFormat="false" ht="15" hidden="false" customHeight="false" outlineLevel="0" collapsed="false">
      <c r="A121" s="37" t="s">
        <v>444</v>
      </c>
      <c r="B121" s="37" t="s">
        <v>1125</v>
      </c>
      <c r="C121" s="37" t="s">
        <v>1030</v>
      </c>
      <c r="D121" s="37" t="s">
        <v>64</v>
      </c>
      <c r="E121" s="37" t="s">
        <v>48</v>
      </c>
      <c r="F121" s="37" t="s">
        <v>1193</v>
      </c>
      <c r="G121" s="37" t="s">
        <v>409</v>
      </c>
      <c r="H121" s="37" t="s">
        <v>1194</v>
      </c>
      <c r="I121" s="37" t="s">
        <v>26</v>
      </c>
      <c r="J121" s="37" t="s">
        <v>43</v>
      </c>
      <c r="K121" s="37" t="s">
        <v>1026</v>
      </c>
      <c r="L121" s="37" t="s">
        <v>445</v>
      </c>
      <c r="M121" s="37" t="s">
        <v>897</v>
      </c>
      <c r="N121" s="37" t="s">
        <v>983</v>
      </c>
      <c r="O121" s="37" t="s">
        <v>891</v>
      </c>
      <c r="P121" s="37" t="s">
        <v>917</v>
      </c>
      <c r="Q121" s="37" t="s">
        <v>959</v>
      </c>
      <c r="R121" s="37" t="s">
        <v>1085</v>
      </c>
      <c r="S121" s="37" t="s">
        <v>88</v>
      </c>
    </row>
    <row r="122" customFormat="false" ht="15" hidden="false" customHeight="false" outlineLevel="0" collapsed="false">
      <c r="A122" s="37" t="s">
        <v>446</v>
      </c>
      <c r="B122" s="37" t="s">
        <v>1027</v>
      </c>
      <c r="C122" s="37" t="s">
        <v>134</v>
      </c>
      <c r="D122" s="37" t="s">
        <v>68</v>
      </c>
      <c r="E122" s="37" t="s">
        <v>47</v>
      </c>
      <c r="F122" s="37" t="s">
        <v>149</v>
      </c>
      <c r="G122" s="37" t="s">
        <v>189</v>
      </c>
      <c r="H122" s="37" t="s">
        <v>1195</v>
      </c>
      <c r="I122" s="37" t="s">
        <v>1141</v>
      </c>
      <c r="J122" s="37" t="s">
        <v>38</v>
      </c>
      <c r="K122" s="37" t="s">
        <v>942</v>
      </c>
      <c r="L122" s="37" t="s">
        <v>447</v>
      </c>
      <c r="M122" s="37" t="s">
        <v>897</v>
      </c>
      <c r="N122" s="37" t="s">
        <v>937</v>
      </c>
      <c r="O122" s="37" t="s">
        <v>891</v>
      </c>
      <c r="P122" s="37" t="s">
        <v>900</v>
      </c>
      <c r="Q122" s="37" t="s">
        <v>892</v>
      </c>
      <c r="R122" s="37" t="s">
        <v>1085</v>
      </c>
      <c r="S122" s="37" t="s">
        <v>87</v>
      </c>
    </row>
    <row r="123" customFormat="false" ht="15" hidden="false" customHeight="false" outlineLevel="0" collapsed="false">
      <c r="A123" s="37" t="s">
        <v>448</v>
      </c>
      <c r="B123" s="37" t="s">
        <v>907</v>
      </c>
      <c r="C123" s="37" t="s">
        <v>134</v>
      </c>
      <c r="D123" s="37" t="s">
        <v>1196</v>
      </c>
      <c r="E123" s="37" t="s">
        <v>47</v>
      </c>
      <c r="F123" s="37" t="s">
        <v>135</v>
      </c>
      <c r="G123" s="37" t="s">
        <v>449</v>
      </c>
      <c r="H123" s="37" t="s">
        <v>897</v>
      </c>
      <c r="I123" s="37" t="s">
        <v>25</v>
      </c>
      <c r="J123" s="37" t="s">
        <v>37</v>
      </c>
      <c r="K123" s="37" t="s">
        <v>1080</v>
      </c>
      <c r="L123" s="37" t="s">
        <v>450</v>
      </c>
      <c r="M123" s="37" t="s">
        <v>897</v>
      </c>
      <c r="N123" s="37" t="s">
        <v>1150</v>
      </c>
      <c r="O123" s="37" t="s">
        <v>899</v>
      </c>
      <c r="P123" s="37" t="s">
        <v>917</v>
      </c>
      <c r="Q123" s="37" t="s">
        <v>934</v>
      </c>
      <c r="R123" s="37" t="s">
        <v>916</v>
      </c>
      <c r="S123" s="37" t="s">
        <v>87</v>
      </c>
    </row>
    <row r="124" customFormat="false" ht="15" hidden="false" customHeight="false" outlineLevel="0" collapsed="false">
      <c r="A124" s="37" t="s">
        <v>451</v>
      </c>
      <c r="B124" s="37" t="s">
        <v>1031</v>
      </c>
      <c r="C124" s="37" t="s">
        <v>145</v>
      </c>
      <c r="D124" s="37" t="s">
        <v>71</v>
      </c>
      <c r="E124" s="37" t="s">
        <v>48</v>
      </c>
      <c r="F124" s="37" t="s">
        <v>139</v>
      </c>
      <c r="G124" s="37" t="s">
        <v>452</v>
      </c>
      <c r="H124" s="37" t="s">
        <v>1197</v>
      </c>
      <c r="I124" s="37" t="s">
        <v>1198</v>
      </c>
      <c r="J124" s="37" t="s">
        <v>41</v>
      </c>
      <c r="K124" s="37" t="s">
        <v>1007</v>
      </c>
      <c r="L124" s="37" t="s">
        <v>453</v>
      </c>
      <c r="M124" s="37" t="s">
        <v>907</v>
      </c>
      <c r="N124" s="37" t="s">
        <v>1029</v>
      </c>
      <c r="O124" s="37" t="s">
        <v>891</v>
      </c>
      <c r="P124" s="37"/>
      <c r="Q124" s="37" t="s">
        <v>1120</v>
      </c>
      <c r="R124" s="37" t="s">
        <v>894</v>
      </c>
      <c r="S124" s="37" t="s">
        <v>88</v>
      </c>
    </row>
    <row r="125" customFormat="false" ht="15" hidden="false" customHeight="false" outlineLevel="0" collapsed="false">
      <c r="A125" s="37" t="s">
        <v>454</v>
      </c>
      <c r="B125" s="37"/>
      <c r="C125" s="37" t="s">
        <v>1138</v>
      </c>
      <c r="D125" s="37" t="s">
        <v>65</v>
      </c>
      <c r="E125" s="37" t="s">
        <v>47</v>
      </c>
      <c r="F125" s="37" t="s">
        <v>139</v>
      </c>
      <c r="G125" s="37" t="s">
        <v>178</v>
      </c>
      <c r="H125" s="37" t="s">
        <v>1199</v>
      </c>
      <c r="I125" s="37" t="s">
        <v>28</v>
      </c>
      <c r="J125" s="37" t="s">
        <v>39</v>
      </c>
      <c r="K125" s="37" t="s">
        <v>960</v>
      </c>
      <c r="L125" s="37"/>
      <c r="M125" s="37" t="s">
        <v>907</v>
      </c>
      <c r="N125" s="37" t="s">
        <v>1083</v>
      </c>
      <c r="O125" s="37" t="s">
        <v>899</v>
      </c>
      <c r="P125" s="37" t="s">
        <v>917</v>
      </c>
      <c r="Q125" s="37" t="s">
        <v>960</v>
      </c>
      <c r="R125" s="37" t="s">
        <v>918</v>
      </c>
      <c r="S125" s="37" t="s">
        <v>88</v>
      </c>
    </row>
    <row r="126" customFormat="false" ht="15" hidden="false" customHeight="false" outlineLevel="0" collapsed="false">
      <c r="A126" s="37" t="s">
        <v>455</v>
      </c>
      <c r="B126" s="37" t="s">
        <v>1178</v>
      </c>
      <c r="C126" s="37" t="s">
        <v>134</v>
      </c>
      <c r="D126" s="37" t="s">
        <v>69</v>
      </c>
      <c r="E126" s="37" t="s">
        <v>47</v>
      </c>
      <c r="F126" s="37" t="s">
        <v>149</v>
      </c>
      <c r="G126" s="37" t="s">
        <v>172</v>
      </c>
      <c r="H126" s="37" t="s">
        <v>1200</v>
      </c>
      <c r="I126" s="37" t="s">
        <v>25</v>
      </c>
      <c r="J126" s="37" t="s">
        <v>39</v>
      </c>
      <c r="K126" s="37" t="s">
        <v>891</v>
      </c>
      <c r="L126" s="37" t="s">
        <v>456</v>
      </c>
      <c r="M126" s="37" t="s">
        <v>897</v>
      </c>
      <c r="N126" s="37" t="s">
        <v>948</v>
      </c>
      <c r="O126" s="37" t="s">
        <v>899</v>
      </c>
      <c r="P126" s="37" t="s">
        <v>962</v>
      </c>
      <c r="Q126" s="37" t="s">
        <v>1051</v>
      </c>
      <c r="R126" s="37" t="s">
        <v>890</v>
      </c>
      <c r="S126" s="37" t="s">
        <v>87</v>
      </c>
    </row>
    <row r="127" customFormat="false" ht="15" hidden="false" customHeight="false" outlineLevel="0" collapsed="false">
      <c r="A127" s="37" t="s">
        <v>457</v>
      </c>
      <c r="B127" s="37" t="s">
        <v>950</v>
      </c>
      <c r="C127" s="37" t="s">
        <v>145</v>
      </c>
      <c r="D127" s="37" t="s">
        <v>63</v>
      </c>
      <c r="E127" s="37" t="s">
        <v>48</v>
      </c>
      <c r="F127" s="37" t="s">
        <v>246</v>
      </c>
      <c r="G127" s="37" t="s">
        <v>458</v>
      </c>
      <c r="H127" s="37" t="s">
        <v>1201</v>
      </c>
      <c r="I127" s="37" t="s">
        <v>28</v>
      </c>
      <c r="J127" s="37"/>
      <c r="K127" s="37" t="s">
        <v>915</v>
      </c>
      <c r="L127" s="37" t="s">
        <v>459</v>
      </c>
      <c r="M127" s="37" t="s">
        <v>897</v>
      </c>
      <c r="N127" s="37" t="s">
        <v>966</v>
      </c>
      <c r="O127" s="37"/>
      <c r="P127" s="37" t="s">
        <v>917</v>
      </c>
      <c r="Q127" s="37" t="s">
        <v>977</v>
      </c>
      <c r="R127" s="37" t="s">
        <v>1085</v>
      </c>
      <c r="S127" s="37" t="s">
        <v>89</v>
      </c>
    </row>
    <row r="128" customFormat="false" ht="15" hidden="false" customHeight="false" outlineLevel="0" collapsed="false">
      <c r="A128" s="37" t="s">
        <v>460</v>
      </c>
      <c r="B128" s="37" t="s">
        <v>1202</v>
      </c>
      <c r="C128" s="37" t="s">
        <v>134</v>
      </c>
      <c r="D128" s="37" t="s">
        <v>67</v>
      </c>
      <c r="E128" s="37" t="s">
        <v>48</v>
      </c>
      <c r="F128" s="37" t="s">
        <v>139</v>
      </c>
      <c r="G128" s="37" t="s">
        <v>461</v>
      </c>
      <c r="H128" s="37" t="s">
        <v>1203</v>
      </c>
      <c r="I128" s="37"/>
      <c r="J128" s="37" t="s">
        <v>43</v>
      </c>
      <c r="K128" s="37" t="s">
        <v>1177</v>
      </c>
      <c r="L128" s="37" t="s">
        <v>462</v>
      </c>
      <c r="M128" s="37" t="s">
        <v>897</v>
      </c>
      <c r="N128" s="37" t="s">
        <v>896</v>
      </c>
      <c r="O128" s="37" t="s">
        <v>909</v>
      </c>
      <c r="P128" s="37" t="s">
        <v>899</v>
      </c>
      <c r="Q128" s="37" t="s">
        <v>1063</v>
      </c>
      <c r="R128" s="37" t="s">
        <v>977</v>
      </c>
      <c r="S128" s="37" t="s">
        <v>87</v>
      </c>
    </row>
    <row r="129" customFormat="false" ht="15" hidden="false" customHeight="false" outlineLevel="0" collapsed="false">
      <c r="A129" s="37" t="s">
        <v>463</v>
      </c>
      <c r="B129" s="37" t="s">
        <v>903</v>
      </c>
      <c r="C129" s="37"/>
      <c r="D129" s="37" t="s">
        <v>68</v>
      </c>
      <c r="E129" s="37" t="s">
        <v>47</v>
      </c>
      <c r="F129" s="37" t="s">
        <v>135</v>
      </c>
      <c r="G129" s="37" t="s">
        <v>464</v>
      </c>
      <c r="H129" s="37" t="s">
        <v>1204</v>
      </c>
      <c r="I129" s="37" t="s">
        <v>28</v>
      </c>
      <c r="J129" s="37"/>
      <c r="K129" s="37" t="s">
        <v>1048</v>
      </c>
      <c r="L129" s="37" t="s">
        <v>465</v>
      </c>
      <c r="M129" s="37" t="s">
        <v>907</v>
      </c>
      <c r="N129" s="37" t="s">
        <v>969</v>
      </c>
      <c r="O129" s="37" t="s">
        <v>891</v>
      </c>
      <c r="P129" s="37" t="s">
        <v>962</v>
      </c>
      <c r="Q129" s="37" t="s">
        <v>923</v>
      </c>
      <c r="R129" s="37" t="s">
        <v>908</v>
      </c>
      <c r="S129" s="37" t="s">
        <v>87</v>
      </c>
    </row>
    <row r="130" customFormat="false" ht="15" hidden="false" customHeight="false" outlineLevel="0" collapsed="false">
      <c r="A130" s="37" t="s">
        <v>466</v>
      </c>
      <c r="B130" s="37" t="s">
        <v>981</v>
      </c>
      <c r="C130" s="37" t="s">
        <v>145</v>
      </c>
      <c r="D130" s="37"/>
      <c r="E130" s="37" t="s">
        <v>48</v>
      </c>
      <c r="F130" s="37" t="s">
        <v>139</v>
      </c>
      <c r="G130" s="37" t="s">
        <v>140</v>
      </c>
      <c r="H130" s="37" t="s">
        <v>1205</v>
      </c>
      <c r="I130" s="37" t="s">
        <v>29</v>
      </c>
      <c r="J130" s="37" t="s">
        <v>43</v>
      </c>
      <c r="K130" s="37" t="s">
        <v>934</v>
      </c>
      <c r="L130" s="37" t="s">
        <v>467</v>
      </c>
      <c r="M130" s="37" t="s">
        <v>897</v>
      </c>
      <c r="N130" s="37" t="s">
        <v>1048</v>
      </c>
      <c r="O130" s="37" t="s">
        <v>891</v>
      </c>
      <c r="P130" s="37"/>
      <c r="Q130" s="37" t="s">
        <v>1206</v>
      </c>
      <c r="R130" s="37" t="s">
        <v>1071</v>
      </c>
      <c r="S130" s="37" t="s">
        <v>89</v>
      </c>
    </row>
    <row r="131" customFormat="false" ht="15" hidden="false" customHeight="false" outlineLevel="0" collapsed="false">
      <c r="A131" s="37" t="s">
        <v>468</v>
      </c>
      <c r="B131" s="37" t="s">
        <v>981</v>
      </c>
      <c r="C131" s="37" t="s">
        <v>134</v>
      </c>
      <c r="D131" s="37" t="s">
        <v>63</v>
      </c>
      <c r="E131" s="37" t="s">
        <v>47</v>
      </c>
      <c r="F131" s="37" t="s">
        <v>149</v>
      </c>
      <c r="G131" s="37" t="s">
        <v>143</v>
      </c>
      <c r="H131" s="37" t="s">
        <v>1207</v>
      </c>
      <c r="I131" s="37" t="s">
        <v>32</v>
      </c>
      <c r="J131" s="37" t="s">
        <v>37</v>
      </c>
      <c r="K131" s="37" t="s">
        <v>1063</v>
      </c>
      <c r="L131" s="37" t="s">
        <v>469</v>
      </c>
      <c r="M131" s="37" t="s">
        <v>1125</v>
      </c>
      <c r="N131" s="37" t="s">
        <v>1002</v>
      </c>
      <c r="O131" s="37" t="s">
        <v>909</v>
      </c>
      <c r="P131" s="37" t="s">
        <v>891</v>
      </c>
      <c r="Q131" s="37" t="s">
        <v>942</v>
      </c>
      <c r="R131" s="37" t="s">
        <v>1091</v>
      </c>
      <c r="S131" s="37" t="s">
        <v>89</v>
      </c>
    </row>
    <row r="132" customFormat="false" ht="15" hidden="false" customHeight="false" outlineLevel="0" collapsed="false">
      <c r="A132" s="37" t="s">
        <v>470</v>
      </c>
      <c r="B132" s="37" t="s">
        <v>1070</v>
      </c>
      <c r="C132" s="37" t="s">
        <v>145</v>
      </c>
      <c r="D132" s="37" t="s">
        <v>63</v>
      </c>
      <c r="E132" s="37" t="s">
        <v>47</v>
      </c>
      <c r="F132" s="37" t="s">
        <v>135</v>
      </c>
      <c r="G132" s="37" t="s">
        <v>427</v>
      </c>
      <c r="H132" s="37" t="s">
        <v>1208</v>
      </c>
      <c r="I132" s="37" t="s">
        <v>25</v>
      </c>
      <c r="J132" s="37" t="s">
        <v>39</v>
      </c>
      <c r="K132" s="37" t="s">
        <v>953</v>
      </c>
      <c r="L132" s="37" t="s">
        <v>471</v>
      </c>
      <c r="M132" s="37" t="s">
        <v>897</v>
      </c>
      <c r="N132" s="37" t="s">
        <v>896</v>
      </c>
      <c r="O132" s="37" t="s">
        <v>891</v>
      </c>
      <c r="P132" s="37" t="s">
        <v>892</v>
      </c>
      <c r="Q132" s="37" t="s">
        <v>1060</v>
      </c>
      <c r="R132" s="37" t="s">
        <v>987</v>
      </c>
      <c r="S132" s="37" t="s">
        <v>87</v>
      </c>
    </row>
    <row r="133" customFormat="false" ht="15" hidden="false" customHeight="false" outlineLevel="0" collapsed="false">
      <c r="A133" s="37" t="s">
        <v>472</v>
      </c>
      <c r="B133" s="37" t="s">
        <v>887</v>
      </c>
      <c r="C133" s="37"/>
      <c r="D133" s="37" t="s">
        <v>65</v>
      </c>
      <c r="E133" s="37" t="s">
        <v>47</v>
      </c>
      <c r="F133" s="37"/>
      <c r="G133" s="37" t="s">
        <v>178</v>
      </c>
      <c r="H133" s="37" t="s">
        <v>1209</v>
      </c>
      <c r="I133" s="37" t="s">
        <v>25</v>
      </c>
      <c r="J133" s="37" t="s">
        <v>37</v>
      </c>
      <c r="K133" s="37" t="s">
        <v>1080</v>
      </c>
      <c r="L133" s="37" t="s">
        <v>473</v>
      </c>
      <c r="M133" s="37" t="s">
        <v>907</v>
      </c>
      <c r="N133" s="37" t="s">
        <v>929</v>
      </c>
      <c r="O133" s="37" t="s">
        <v>899</v>
      </c>
      <c r="P133" s="37" t="s">
        <v>899</v>
      </c>
      <c r="Q133" s="37" t="s">
        <v>959</v>
      </c>
      <c r="R133" s="37" t="s">
        <v>916</v>
      </c>
      <c r="S133" s="37" t="s">
        <v>89</v>
      </c>
    </row>
    <row r="134" customFormat="false" ht="15" hidden="false" customHeight="false" outlineLevel="0" collapsed="false">
      <c r="A134" s="37" t="s">
        <v>474</v>
      </c>
      <c r="B134" s="37" t="s">
        <v>907</v>
      </c>
      <c r="C134" s="37" t="s">
        <v>1067</v>
      </c>
      <c r="D134" s="37" t="s">
        <v>63</v>
      </c>
      <c r="E134" s="37" t="s">
        <v>47</v>
      </c>
      <c r="F134" s="37"/>
      <c r="G134" s="37" t="s">
        <v>427</v>
      </c>
      <c r="H134" s="37" t="s">
        <v>1210</v>
      </c>
      <c r="I134" s="37" t="s">
        <v>26</v>
      </c>
      <c r="J134" s="37" t="s">
        <v>40</v>
      </c>
      <c r="K134" s="37" t="s">
        <v>934</v>
      </c>
      <c r="L134" s="37" t="s">
        <v>475</v>
      </c>
      <c r="M134" s="37" t="s">
        <v>897</v>
      </c>
      <c r="N134" s="37" t="s">
        <v>983</v>
      </c>
      <c r="O134" s="37" t="s">
        <v>899</v>
      </c>
      <c r="P134" s="37" t="s">
        <v>891</v>
      </c>
      <c r="Q134" s="37" t="s">
        <v>915</v>
      </c>
      <c r="R134" s="37" t="s">
        <v>923</v>
      </c>
      <c r="S134" s="37" t="s">
        <v>89</v>
      </c>
    </row>
    <row r="135" customFormat="false" ht="15" hidden="false" customHeight="false" outlineLevel="0" collapsed="false">
      <c r="A135" s="37" t="s">
        <v>476</v>
      </c>
      <c r="B135" s="37" t="s">
        <v>955</v>
      </c>
      <c r="C135" s="37" t="s">
        <v>992</v>
      </c>
      <c r="D135" s="37" t="s">
        <v>63</v>
      </c>
      <c r="E135" s="37" t="s">
        <v>47</v>
      </c>
      <c r="F135" s="37" t="s">
        <v>149</v>
      </c>
      <c r="G135" s="37" t="s">
        <v>427</v>
      </c>
      <c r="H135" s="37" t="s">
        <v>1211</v>
      </c>
      <c r="I135" s="37" t="s">
        <v>25</v>
      </c>
      <c r="J135" s="37" t="s">
        <v>39</v>
      </c>
      <c r="K135" s="37" t="s">
        <v>1080</v>
      </c>
      <c r="L135" s="37" t="s">
        <v>477</v>
      </c>
      <c r="M135" s="37" t="s">
        <v>1125</v>
      </c>
      <c r="N135" s="37" t="s">
        <v>929</v>
      </c>
      <c r="O135" s="37" t="s">
        <v>891</v>
      </c>
      <c r="P135" s="37" t="s">
        <v>891</v>
      </c>
      <c r="Q135" s="37" t="s">
        <v>1019</v>
      </c>
      <c r="R135" s="37" t="s">
        <v>1094</v>
      </c>
      <c r="S135" s="37" t="s">
        <v>89</v>
      </c>
    </row>
    <row r="136" customFormat="false" ht="15" hidden="false" customHeight="false" outlineLevel="0" collapsed="false">
      <c r="A136" s="37" t="s">
        <v>478</v>
      </c>
      <c r="B136" s="37" t="s">
        <v>989</v>
      </c>
      <c r="C136" s="37" t="s">
        <v>134</v>
      </c>
      <c r="D136" s="37" t="s">
        <v>68</v>
      </c>
      <c r="E136" s="37" t="s">
        <v>47</v>
      </c>
      <c r="F136" s="37" t="s">
        <v>160</v>
      </c>
      <c r="G136" s="37" t="s">
        <v>189</v>
      </c>
      <c r="H136" s="37" t="s">
        <v>1031</v>
      </c>
      <c r="I136" s="37" t="s">
        <v>28</v>
      </c>
      <c r="J136" s="37" t="s">
        <v>38</v>
      </c>
      <c r="K136" s="37" t="s">
        <v>899</v>
      </c>
      <c r="L136" s="37" t="s">
        <v>479</v>
      </c>
      <c r="M136" s="37" t="s">
        <v>897</v>
      </c>
      <c r="N136" s="37" t="s">
        <v>892</v>
      </c>
      <c r="O136" s="37" t="s">
        <v>891</v>
      </c>
      <c r="P136" s="37" t="s">
        <v>900</v>
      </c>
      <c r="Q136" s="37" t="s">
        <v>1136</v>
      </c>
      <c r="R136" s="37" t="s">
        <v>918</v>
      </c>
      <c r="S136" s="37" t="s">
        <v>87</v>
      </c>
    </row>
    <row r="137" customFormat="false" ht="15" hidden="false" customHeight="false" outlineLevel="0" collapsed="false">
      <c r="A137" s="37" t="s">
        <v>480</v>
      </c>
      <c r="B137" s="37" t="s">
        <v>1070</v>
      </c>
      <c r="C137" s="37" t="s">
        <v>1067</v>
      </c>
      <c r="D137" s="37" t="s">
        <v>68</v>
      </c>
      <c r="E137" s="37" t="s">
        <v>47</v>
      </c>
      <c r="F137" s="37" t="s">
        <v>246</v>
      </c>
      <c r="G137" s="37" t="s">
        <v>481</v>
      </c>
      <c r="H137" s="37" t="s">
        <v>897</v>
      </c>
      <c r="I137" s="37" t="s">
        <v>26</v>
      </c>
      <c r="J137" s="37" t="s">
        <v>37</v>
      </c>
      <c r="K137" s="37" t="s">
        <v>959</v>
      </c>
      <c r="L137" s="37" t="s">
        <v>482</v>
      </c>
      <c r="M137" s="37" t="s">
        <v>897</v>
      </c>
      <c r="N137" s="37"/>
      <c r="O137" s="37" t="s">
        <v>909</v>
      </c>
      <c r="P137" s="37" t="s">
        <v>899</v>
      </c>
      <c r="Q137" s="37" t="s">
        <v>897</v>
      </c>
      <c r="R137" s="37" t="s">
        <v>983</v>
      </c>
      <c r="S137" s="37" t="s">
        <v>89</v>
      </c>
    </row>
    <row r="138" customFormat="false" ht="15" hidden="false" customHeight="false" outlineLevel="0" collapsed="false">
      <c r="A138" s="37" t="s">
        <v>483</v>
      </c>
      <c r="B138" s="37" t="s">
        <v>931</v>
      </c>
      <c r="C138" s="37" t="s">
        <v>1126</v>
      </c>
      <c r="D138" s="37" t="s">
        <v>63</v>
      </c>
      <c r="E138" s="37" t="s">
        <v>48</v>
      </c>
      <c r="F138" s="37" t="s">
        <v>139</v>
      </c>
      <c r="G138" s="37" t="s">
        <v>175</v>
      </c>
      <c r="H138" s="37" t="s">
        <v>1212</v>
      </c>
      <c r="I138" s="37" t="s">
        <v>25</v>
      </c>
      <c r="J138" s="37" t="s">
        <v>37</v>
      </c>
      <c r="K138" s="37" t="s">
        <v>1177</v>
      </c>
      <c r="L138" s="37" t="s">
        <v>484</v>
      </c>
      <c r="M138" s="37" t="s">
        <v>897</v>
      </c>
      <c r="N138" s="37" t="s">
        <v>1045</v>
      </c>
      <c r="O138" s="37" t="s">
        <v>899</v>
      </c>
      <c r="P138" s="37" t="s">
        <v>928</v>
      </c>
      <c r="Q138" s="37" t="s">
        <v>916</v>
      </c>
      <c r="R138" s="37" t="s">
        <v>1045</v>
      </c>
      <c r="S138" s="37" t="s">
        <v>89</v>
      </c>
    </row>
    <row r="139" customFormat="false" ht="15" hidden="false" customHeight="false" outlineLevel="0" collapsed="false">
      <c r="A139" s="37" t="s">
        <v>470</v>
      </c>
      <c r="B139" s="37" t="s">
        <v>1070</v>
      </c>
      <c r="C139" s="37" t="s">
        <v>145</v>
      </c>
      <c r="D139" s="37" t="s">
        <v>63</v>
      </c>
      <c r="E139" s="37" t="s">
        <v>47</v>
      </c>
      <c r="F139" s="37" t="s">
        <v>135</v>
      </c>
      <c r="G139" s="37" t="s">
        <v>427</v>
      </c>
      <c r="H139" s="37" t="s">
        <v>1208</v>
      </c>
      <c r="I139" s="37" t="s">
        <v>25</v>
      </c>
      <c r="J139" s="37" t="s">
        <v>39</v>
      </c>
      <c r="K139" s="37" t="s">
        <v>953</v>
      </c>
      <c r="L139" s="37" t="s">
        <v>471</v>
      </c>
      <c r="M139" s="37" t="s">
        <v>897</v>
      </c>
      <c r="N139" s="37" t="s">
        <v>896</v>
      </c>
      <c r="O139" s="37" t="s">
        <v>891</v>
      </c>
      <c r="P139" s="37" t="s">
        <v>892</v>
      </c>
      <c r="Q139" s="37" t="s">
        <v>1060</v>
      </c>
      <c r="R139" s="37" t="s">
        <v>987</v>
      </c>
      <c r="S139" s="37" t="s">
        <v>87</v>
      </c>
    </row>
    <row r="140" customFormat="false" ht="15" hidden="false" customHeight="false" outlineLevel="0" collapsed="false">
      <c r="A140" s="37" t="s">
        <v>485</v>
      </c>
      <c r="B140" s="37" t="s">
        <v>995</v>
      </c>
      <c r="C140" s="37" t="s">
        <v>1067</v>
      </c>
      <c r="D140" s="37" t="s">
        <v>192</v>
      </c>
      <c r="E140" s="37" t="s">
        <v>48</v>
      </c>
      <c r="F140" s="37" t="s">
        <v>195</v>
      </c>
      <c r="G140" s="37" t="s">
        <v>182</v>
      </c>
      <c r="H140" s="37" t="s">
        <v>1213</v>
      </c>
      <c r="I140" s="37" t="s">
        <v>25</v>
      </c>
      <c r="J140" s="37" t="s">
        <v>42</v>
      </c>
      <c r="K140" s="37" t="s">
        <v>960</v>
      </c>
      <c r="L140" s="37" t="s">
        <v>486</v>
      </c>
      <c r="M140" s="37" t="s">
        <v>897</v>
      </c>
      <c r="N140" s="37" t="s">
        <v>1002</v>
      </c>
      <c r="O140" s="37" t="s">
        <v>891</v>
      </c>
      <c r="P140" s="37" t="s">
        <v>917</v>
      </c>
      <c r="Q140" s="37" t="s">
        <v>1094</v>
      </c>
      <c r="R140" s="37" t="s">
        <v>918</v>
      </c>
      <c r="S140" s="37" t="s">
        <v>87</v>
      </c>
    </row>
    <row r="141" customFormat="false" ht="15" hidden="false" customHeight="false" outlineLevel="0" collapsed="false">
      <c r="A141" s="37" t="s">
        <v>487</v>
      </c>
      <c r="B141" s="37" t="s">
        <v>1214</v>
      </c>
      <c r="C141" s="37" t="s">
        <v>145</v>
      </c>
      <c r="D141" s="37" t="s">
        <v>62</v>
      </c>
      <c r="E141" s="37" t="s">
        <v>48</v>
      </c>
      <c r="F141" s="37" t="s">
        <v>135</v>
      </c>
      <c r="G141" s="37" t="s">
        <v>488</v>
      </c>
      <c r="H141" s="37" t="s">
        <v>1215</v>
      </c>
      <c r="I141" s="37" t="s">
        <v>952</v>
      </c>
      <c r="J141" s="37" t="s">
        <v>40</v>
      </c>
      <c r="K141" s="37" t="s">
        <v>909</v>
      </c>
      <c r="L141" s="37" t="s">
        <v>489</v>
      </c>
      <c r="M141" s="37" t="s">
        <v>1125</v>
      </c>
      <c r="N141" s="37" t="s">
        <v>910</v>
      </c>
      <c r="O141" s="37" t="s">
        <v>917</v>
      </c>
      <c r="P141" s="37" t="s">
        <v>962</v>
      </c>
      <c r="Q141" s="37" t="s">
        <v>896</v>
      </c>
      <c r="R141" s="37" t="s">
        <v>948</v>
      </c>
      <c r="S141" s="37" t="s">
        <v>89</v>
      </c>
    </row>
    <row r="142" customFormat="false" ht="15" hidden="false" customHeight="false" outlineLevel="0" collapsed="false">
      <c r="A142" s="37" t="s">
        <v>490</v>
      </c>
      <c r="B142" s="37" t="s">
        <v>963</v>
      </c>
      <c r="C142" s="37" t="s">
        <v>134</v>
      </c>
      <c r="D142" s="37" t="s">
        <v>156</v>
      </c>
      <c r="E142" s="37" t="s">
        <v>47</v>
      </c>
      <c r="F142" s="37" t="s">
        <v>160</v>
      </c>
      <c r="G142" s="37" t="s">
        <v>221</v>
      </c>
      <c r="H142" s="37" t="s">
        <v>1207</v>
      </c>
      <c r="I142" s="37" t="s">
        <v>29</v>
      </c>
      <c r="J142" s="37" t="s">
        <v>40</v>
      </c>
      <c r="K142" s="37" t="s">
        <v>937</v>
      </c>
      <c r="L142" s="37" t="s">
        <v>491</v>
      </c>
      <c r="M142" s="37" t="s">
        <v>947</v>
      </c>
      <c r="N142" s="37" t="s">
        <v>1046</v>
      </c>
      <c r="O142" s="37" t="s">
        <v>909</v>
      </c>
      <c r="P142" s="37" t="s">
        <v>928</v>
      </c>
      <c r="Q142" s="37" t="s">
        <v>1216</v>
      </c>
      <c r="R142" s="37" t="s">
        <v>969</v>
      </c>
      <c r="S142" s="37" t="s">
        <v>89</v>
      </c>
    </row>
    <row r="143" customFormat="false" ht="15" hidden="false" customHeight="false" outlineLevel="0" collapsed="false">
      <c r="A143" s="37" t="s">
        <v>492</v>
      </c>
      <c r="B143" s="37" t="s">
        <v>981</v>
      </c>
      <c r="C143" s="37" t="s">
        <v>1138</v>
      </c>
      <c r="D143" s="37" t="s">
        <v>63</v>
      </c>
      <c r="E143" s="37" t="s">
        <v>47</v>
      </c>
      <c r="F143" s="37" t="s">
        <v>139</v>
      </c>
      <c r="G143" s="37" t="s">
        <v>440</v>
      </c>
      <c r="H143" s="37" t="s">
        <v>1217</v>
      </c>
      <c r="I143" s="37" t="s">
        <v>27</v>
      </c>
      <c r="J143" s="37" t="s">
        <v>41</v>
      </c>
      <c r="K143" s="37" t="s">
        <v>1177</v>
      </c>
      <c r="L143" s="37" t="s">
        <v>493</v>
      </c>
      <c r="M143" s="37" t="s">
        <v>897</v>
      </c>
      <c r="N143" s="37" t="s">
        <v>1002</v>
      </c>
      <c r="O143" s="37" t="s">
        <v>891</v>
      </c>
      <c r="P143" s="37" t="s">
        <v>917</v>
      </c>
      <c r="Q143" s="37" t="s">
        <v>909</v>
      </c>
      <c r="R143" s="37"/>
      <c r="S143" s="37" t="s">
        <v>87</v>
      </c>
    </row>
    <row r="144" customFormat="false" ht="15" hidden="false" customHeight="false" outlineLevel="0" collapsed="false">
      <c r="A144" s="37" t="s">
        <v>494</v>
      </c>
      <c r="B144" s="37" t="s">
        <v>1075</v>
      </c>
      <c r="C144" s="37" t="s">
        <v>944</v>
      </c>
      <c r="D144" s="37" t="s">
        <v>67</v>
      </c>
      <c r="E144" s="37" t="s">
        <v>48</v>
      </c>
      <c r="F144" s="37" t="s">
        <v>139</v>
      </c>
      <c r="G144" s="37" t="s">
        <v>495</v>
      </c>
      <c r="H144" s="37" t="s">
        <v>1218</v>
      </c>
      <c r="I144" s="37" t="s">
        <v>28</v>
      </c>
      <c r="J144" s="37"/>
      <c r="K144" s="37" t="s">
        <v>1111</v>
      </c>
      <c r="L144" s="37" t="s">
        <v>496</v>
      </c>
      <c r="M144" s="37" t="s">
        <v>897</v>
      </c>
      <c r="N144" s="37" t="s">
        <v>987</v>
      </c>
      <c r="O144" s="37" t="s">
        <v>909</v>
      </c>
      <c r="P144" s="37" t="s">
        <v>928</v>
      </c>
      <c r="Q144" s="37" t="s">
        <v>909</v>
      </c>
      <c r="R144" s="37" t="s">
        <v>957</v>
      </c>
      <c r="S144" s="37" t="s">
        <v>87</v>
      </c>
    </row>
    <row r="145" customFormat="false" ht="15" hidden="false" customHeight="false" outlineLevel="0" collapsed="false">
      <c r="A145" s="37" t="s">
        <v>497</v>
      </c>
      <c r="B145" s="37" t="s">
        <v>963</v>
      </c>
      <c r="C145" s="37" t="s">
        <v>145</v>
      </c>
      <c r="D145" s="37" t="s">
        <v>65</v>
      </c>
      <c r="E145" s="37" t="s">
        <v>47</v>
      </c>
      <c r="F145" s="37" t="s">
        <v>149</v>
      </c>
      <c r="G145" s="37" t="s">
        <v>143</v>
      </c>
      <c r="H145" s="37" t="s">
        <v>897</v>
      </c>
      <c r="I145" s="37" t="s">
        <v>32</v>
      </c>
      <c r="J145" s="37" t="s">
        <v>37</v>
      </c>
      <c r="K145" s="37" t="s">
        <v>929</v>
      </c>
      <c r="L145" s="37" t="s">
        <v>498</v>
      </c>
      <c r="M145" s="37" t="s">
        <v>907</v>
      </c>
      <c r="N145" s="37" t="s">
        <v>935</v>
      </c>
      <c r="O145" s="37" t="s">
        <v>909</v>
      </c>
      <c r="P145" s="37" t="s">
        <v>891</v>
      </c>
      <c r="Q145" s="37"/>
      <c r="R145" s="37" t="s">
        <v>1036</v>
      </c>
      <c r="S145" s="37"/>
    </row>
    <row r="146" customFormat="false" ht="15" hidden="false" customHeight="false" outlineLevel="0" collapsed="false">
      <c r="A146" s="37" t="s">
        <v>499</v>
      </c>
      <c r="B146" s="37" t="s">
        <v>1055</v>
      </c>
      <c r="C146" s="37" t="s">
        <v>145</v>
      </c>
      <c r="D146" s="37" t="s">
        <v>68</v>
      </c>
      <c r="E146" s="37" t="s">
        <v>48</v>
      </c>
      <c r="F146" s="37" t="s">
        <v>195</v>
      </c>
      <c r="G146" s="37" t="s">
        <v>500</v>
      </c>
      <c r="H146" s="37" t="s">
        <v>1219</v>
      </c>
      <c r="I146" s="37" t="s">
        <v>25</v>
      </c>
      <c r="J146" s="37" t="s">
        <v>37</v>
      </c>
      <c r="K146" s="37" t="s">
        <v>1026</v>
      </c>
      <c r="L146" s="37" t="s">
        <v>501</v>
      </c>
      <c r="M146" s="37" t="s">
        <v>897</v>
      </c>
      <c r="N146" s="37" t="s">
        <v>1045</v>
      </c>
      <c r="O146" s="37" t="s">
        <v>891</v>
      </c>
      <c r="P146" s="37" t="s">
        <v>892</v>
      </c>
      <c r="Q146" s="37" t="s">
        <v>1094</v>
      </c>
      <c r="R146" s="37" t="s">
        <v>1046</v>
      </c>
      <c r="S146" s="37" t="s">
        <v>87</v>
      </c>
    </row>
    <row r="147" customFormat="false" ht="15" hidden="false" customHeight="false" outlineLevel="0" collapsed="false">
      <c r="A147" s="37" t="s">
        <v>502</v>
      </c>
      <c r="B147" s="37" t="s">
        <v>903</v>
      </c>
      <c r="C147" s="37" t="s">
        <v>145</v>
      </c>
      <c r="D147" s="37" t="s">
        <v>70</v>
      </c>
      <c r="E147" s="37" t="s">
        <v>47</v>
      </c>
      <c r="F147" s="37" t="s">
        <v>160</v>
      </c>
      <c r="G147" s="37" t="s">
        <v>189</v>
      </c>
      <c r="H147" s="37" t="s">
        <v>897</v>
      </c>
      <c r="I147" s="37" t="s">
        <v>27</v>
      </c>
      <c r="J147" s="37" t="s">
        <v>38</v>
      </c>
      <c r="K147" s="37" t="s">
        <v>988</v>
      </c>
      <c r="L147" s="37" t="s">
        <v>503</v>
      </c>
      <c r="M147" s="37" t="s">
        <v>1125</v>
      </c>
      <c r="N147" s="37" t="s">
        <v>972</v>
      </c>
      <c r="O147" s="37" t="s">
        <v>899</v>
      </c>
      <c r="P147" s="37" t="s">
        <v>900</v>
      </c>
      <c r="Q147" s="37" t="s">
        <v>1220</v>
      </c>
      <c r="R147" s="37" t="s">
        <v>896</v>
      </c>
      <c r="S147" s="37" t="s">
        <v>87</v>
      </c>
    </row>
    <row r="148" customFormat="false" ht="15" hidden="false" customHeight="false" outlineLevel="0" collapsed="false">
      <c r="A148" s="37" t="s">
        <v>504</v>
      </c>
      <c r="B148" s="37" t="s">
        <v>955</v>
      </c>
      <c r="C148" s="37" t="s">
        <v>134</v>
      </c>
      <c r="D148" s="37" t="s">
        <v>68</v>
      </c>
      <c r="E148" s="37" t="s">
        <v>47</v>
      </c>
      <c r="F148" s="37" t="s">
        <v>149</v>
      </c>
      <c r="G148" s="37" t="s">
        <v>236</v>
      </c>
      <c r="H148" s="37" t="s">
        <v>1221</v>
      </c>
      <c r="I148" s="37" t="s">
        <v>25</v>
      </c>
      <c r="J148" s="37" t="s">
        <v>42</v>
      </c>
      <c r="K148" s="37" t="s">
        <v>1094</v>
      </c>
      <c r="L148" s="37" t="s">
        <v>505</v>
      </c>
      <c r="M148" s="37" t="s">
        <v>907</v>
      </c>
      <c r="N148" s="37" t="s">
        <v>1036</v>
      </c>
      <c r="O148" s="37" t="s">
        <v>891</v>
      </c>
      <c r="P148" s="37" t="s">
        <v>928</v>
      </c>
      <c r="Q148" s="37" t="s">
        <v>1222</v>
      </c>
      <c r="R148" s="37" t="s">
        <v>1010</v>
      </c>
      <c r="S148" s="37" t="s">
        <v>88</v>
      </c>
    </row>
    <row r="149" customFormat="false" ht="15" hidden="false" customHeight="false" outlineLevel="0" collapsed="false">
      <c r="A149" s="37" t="s">
        <v>506</v>
      </c>
      <c r="B149" s="37" t="s">
        <v>1178</v>
      </c>
      <c r="C149" s="37" t="s">
        <v>145</v>
      </c>
      <c r="D149" s="37" t="s">
        <v>65</v>
      </c>
      <c r="E149" s="37" t="s">
        <v>47</v>
      </c>
      <c r="F149" s="37" t="s">
        <v>149</v>
      </c>
      <c r="G149" s="37" t="s">
        <v>440</v>
      </c>
      <c r="H149" s="37" t="s">
        <v>1223</v>
      </c>
      <c r="I149" s="37" t="s">
        <v>25</v>
      </c>
      <c r="J149" s="37" t="s">
        <v>41</v>
      </c>
      <c r="K149" s="37" t="s">
        <v>1026</v>
      </c>
      <c r="L149" s="37" t="s">
        <v>507</v>
      </c>
      <c r="M149" s="37" t="s">
        <v>897</v>
      </c>
      <c r="N149" s="37"/>
      <c r="O149" s="37" t="s">
        <v>891</v>
      </c>
      <c r="P149" s="37" t="s">
        <v>892</v>
      </c>
      <c r="Q149" s="37" t="s">
        <v>1080</v>
      </c>
      <c r="R149" s="37" t="s">
        <v>930</v>
      </c>
      <c r="S149" s="37" t="s">
        <v>87</v>
      </c>
    </row>
    <row r="150" customFormat="false" ht="15" hidden="false" customHeight="false" outlineLevel="0" collapsed="false">
      <c r="A150" s="37" t="s">
        <v>508</v>
      </c>
      <c r="B150" s="37" t="s">
        <v>943</v>
      </c>
      <c r="C150" s="37" t="s">
        <v>145</v>
      </c>
      <c r="D150" s="37" t="s">
        <v>71</v>
      </c>
      <c r="E150" s="37" t="s">
        <v>48</v>
      </c>
      <c r="F150" s="37" t="s">
        <v>160</v>
      </c>
      <c r="G150" s="37" t="s">
        <v>509</v>
      </c>
      <c r="H150" s="37" t="s">
        <v>1224</v>
      </c>
      <c r="I150" s="37" t="s">
        <v>25</v>
      </c>
      <c r="J150" s="37" t="s">
        <v>43</v>
      </c>
      <c r="K150" s="37" t="s">
        <v>927</v>
      </c>
      <c r="L150" s="37" t="s">
        <v>510</v>
      </c>
      <c r="M150" s="37" t="s">
        <v>897</v>
      </c>
      <c r="N150" s="37" t="s">
        <v>891</v>
      </c>
      <c r="O150" s="37" t="s">
        <v>909</v>
      </c>
      <c r="P150" s="37" t="s">
        <v>899</v>
      </c>
      <c r="Q150" s="37" t="s">
        <v>977</v>
      </c>
      <c r="R150" s="37" t="s">
        <v>1085</v>
      </c>
      <c r="S150" s="37" t="s">
        <v>89</v>
      </c>
    </row>
    <row r="151" customFormat="false" ht="15" hidden="false" customHeight="false" outlineLevel="0" collapsed="false">
      <c r="A151" s="37" t="s">
        <v>511</v>
      </c>
      <c r="B151" s="37" t="s">
        <v>955</v>
      </c>
      <c r="C151" s="37" t="s">
        <v>1030</v>
      </c>
      <c r="D151" s="37" t="s">
        <v>71</v>
      </c>
      <c r="E151" s="37" t="s">
        <v>47</v>
      </c>
      <c r="F151" s="37" t="s">
        <v>139</v>
      </c>
      <c r="G151" s="37" t="s">
        <v>143</v>
      </c>
      <c r="H151" s="37" t="s">
        <v>1225</v>
      </c>
      <c r="I151" s="37" t="s">
        <v>25</v>
      </c>
      <c r="J151" s="37" t="s">
        <v>37</v>
      </c>
      <c r="K151" s="37" t="s">
        <v>996</v>
      </c>
      <c r="L151" s="37"/>
      <c r="M151" s="37" t="s">
        <v>897</v>
      </c>
      <c r="N151" s="37" t="s">
        <v>1120</v>
      </c>
      <c r="O151" s="37" t="s">
        <v>909</v>
      </c>
      <c r="P151" s="37" t="s">
        <v>917</v>
      </c>
      <c r="Q151" s="37" t="s">
        <v>897</v>
      </c>
      <c r="R151" s="37" t="s">
        <v>916</v>
      </c>
      <c r="S151" s="37" t="s">
        <v>87</v>
      </c>
    </row>
    <row r="152" customFormat="false" ht="15" hidden="false" customHeight="false" outlineLevel="0" collapsed="false">
      <c r="A152" s="37" t="s">
        <v>512</v>
      </c>
      <c r="B152" s="37" t="s">
        <v>981</v>
      </c>
      <c r="C152" s="37" t="s">
        <v>134</v>
      </c>
      <c r="D152" s="37" t="s">
        <v>62</v>
      </c>
      <c r="E152" s="37" t="s">
        <v>47</v>
      </c>
      <c r="F152" s="37" t="s">
        <v>149</v>
      </c>
      <c r="G152" s="37" t="s">
        <v>427</v>
      </c>
      <c r="H152" s="37" t="s">
        <v>1226</v>
      </c>
      <c r="I152" s="37" t="s">
        <v>30</v>
      </c>
      <c r="J152" s="37" t="s">
        <v>40</v>
      </c>
      <c r="K152" s="37" t="s">
        <v>927</v>
      </c>
      <c r="L152" s="37" t="s">
        <v>513</v>
      </c>
      <c r="M152" s="37" t="s">
        <v>897</v>
      </c>
      <c r="N152" s="37" t="s">
        <v>980</v>
      </c>
      <c r="O152" s="37" t="s">
        <v>909</v>
      </c>
      <c r="P152" s="37" t="s">
        <v>891</v>
      </c>
      <c r="Q152" s="37" t="s">
        <v>1177</v>
      </c>
      <c r="R152" s="37" t="s">
        <v>962</v>
      </c>
      <c r="S152" s="37" t="s">
        <v>89</v>
      </c>
    </row>
    <row r="153" customFormat="false" ht="15" hidden="false" customHeight="false" outlineLevel="0" collapsed="false">
      <c r="A153" s="37" t="s">
        <v>514</v>
      </c>
      <c r="B153" s="37"/>
      <c r="C153" s="37" t="s">
        <v>145</v>
      </c>
      <c r="D153" s="37" t="s">
        <v>64</v>
      </c>
      <c r="E153" s="37" t="s">
        <v>48</v>
      </c>
      <c r="F153" s="37" t="s">
        <v>139</v>
      </c>
      <c r="G153" s="37" t="s">
        <v>140</v>
      </c>
      <c r="H153" s="37" t="s">
        <v>1227</v>
      </c>
      <c r="I153" s="37" t="s">
        <v>32</v>
      </c>
      <c r="J153" s="37" t="s">
        <v>43</v>
      </c>
      <c r="K153" s="37" t="s">
        <v>1116</v>
      </c>
      <c r="L153" s="37" t="s">
        <v>515</v>
      </c>
      <c r="M153" s="37" t="s">
        <v>907</v>
      </c>
      <c r="N153" s="37" t="s">
        <v>1022</v>
      </c>
      <c r="O153" s="37" t="s">
        <v>917</v>
      </c>
      <c r="P153" s="37" t="s">
        <v>900</v>
      </c>
      <c r="Q153" s="37"/>
      <c r="R153" s="37" t="s">
        <v>978</v>
      </c>
      <c r="S153" s="37" t="s">
        <v>87</v>
      </c>
    </row>
    <row r="154" customFormat="false" ht="15" hidden="false" customHeight="false" outlineLevel="0" collapsed="false">
      <c r="A154" s="37" t="s">
        <v>516</v>
      </c>
      <c r="B154" s="37" t="s">
        <v>950</v>
      </c>
      <c r="C154" s="37" t="s">
        <v>134</v>
      </c>
      <c r="D154" s="37" t="s">
        <v>62</v>
      </c>
      <c r="E154" s="37" t="s">
        <v>48</v>
      </c>
      <c r="F154" s="37" t="s">
        <v>139</v>
      </c>
      <c r="G154" s="37" t="s">
        <v>397</v>
      </c>
      <c r="H154" s="37" t="s">
        <v>1228</v>
      </c>
      <c r="I154" s="37" t="s">
        <v>25</v>
      </c>
      <c r="J154" s="37" t="s">
        <v>37</v>
      </c>
      <c r="K154" s="37" t="s">
        <v>927</v>
      </c>
      <c r="L154" s="37" t="s">
        <v>517</v>
      </c>
      <c r="M154" s="37" t="s">
        <v>897</v>
      </c>
      <c r="N154" s="37" t="s">
        <v>1087</v>
      </c>
      <c r="O154" s="37" t="s">
        <v>899</v>
      </c>
      <c r="P154" s="37" t="s">
        <v>928</v>
      </c>
      <c r="Q154" s="37" t="s">
        <v>1150</v>
      </c>
      <c r="R154" s="37" t="s">
        <v>1085</v>
      </c>
      <c r="S154" s="37" t="s">
        <v>88</v>
      </c>
    </row>
    <row r="155" customFormat="false" ht="15" hidden="false" customHeight="false" outlineLevel="0" collapsed="false">
      <c r="A155" s="37" t="s">
        <v>518</v>
      </c>
      <c r="B155" s="37" t="s">
        <v>981</v>
      </c>
      <c r="C155" s="37" t="s">
        <v>134</v>
      </c>
      <c r="D155" s="37" t="s">
        <v>66</v>
      </c>
      <c r="E155" s="37" t="s">
        <v>47</v>
      </c>
      <c r="F155" s="37" t="s">
        <v>160</v>
      </c>
      <c r="G155" s="37" t="s">
        <v>221</v>
      </c>
      <c r="H155" s="37" t="s">
        <v>982</v>
      </c>
      <c r="I155" s="37" t="s">
        <v>25</v>
      </c>
      <c r="J155" s="37" t="s">
        <v>39</v>
      </c>
      <c r="K155" s="37" t="s">
        <v>1005</v>
      </c>
      <c r="L155" s="37" t="s">
        <v>519</v>
      </c>
      <c r="M155" s="37" t="s">
        <v>1125</v>
      </c>
      <c r="N155" s="37" t="s">
        <v>1111</v>
      </c>
      <c r="O155" s="37" t="s">
        <v>891</v>
      </c>
      <c r="P155" s="37" t="s">
        <v>928</v>
      </c>
      <c r="Q155" s="37" t="s">
        <v>1096</v>
      </c>
      <c r="R155" s="37" t="s">
        <v>960</v>
      </c>
      <c r="S155" s="37" t="s">
        <v>89</v>
      </c>
    </row>
    <row r="156" customFormat="false" ht="15" hidden="false" customHeight="false" outlineLevel="0" collapsed="false">
      <c r="A156" s="37" t="s">
        <v>520</v>
      </c>
      <c r="B156" s="37" t="s">
        <v>1099</v>
      </c>
      <c r="C156" s="37" t="s">
        <v>145</v>
      </c>
      <c r="D156" s="37" t="s">
        <v>70</v>
      </c>
      <c r="E156" s="37" t="s">
        <v>48</v>
      </c>
      <c r="F156" s="37" t="s">
        <v>1041</v>
      </c>
      <c r="G156" s="37" t="s">
        <v>250</v>
      </c>
      <c r="H156" s="37" t="s">
        <v>1229</v>
      </c>
      <c r="I156" s="37" t="s">
        <v>25</v>
      </c>
      <c r="J156" s="37" t="s">
        <v>38</v>
      </c>
      <c r="K156" s="37" t="s">
        <v>1028</v>
      </c>
      <c r="L156" s="37" t="s">
        <v>521</v>
      </c>
      <c r="M156" s="37" t="s">
        <v>897</v>
      </c>
      <c r="N156" s="37" t="s">
        <v>1003</v>
      </c>
      <c r="O156" s="37" t="s">
        <v>891</v>
      </c>
      <c r="P156" s="37" t="s">
        <v>892</v>
      </c>
      <c r="Q156" s="37" t="s">
        <v>937</v>
      </c>
      <c r="R156" s="37" t="s">
        <v>1230</v>
      </c>
      <c r="S156" s="37" t="s">
        <v>87</v>
      </c>
    </row>
    <row r="157" customFormat="false" ht="15" hidden="false" customHeight="false" outlineLevel="0" collapsed="false">
      <c r="A157" s="37" t="s">
        <v>522</v>
      </c>
      <c r="B157" s="37" t="s">
        <v>963</v>
      </c>
      <c r="C157" s="37" t="s">
        <v>134</v>
      </c>
      <c r="D157" s="37"/>
      <c r="E157" s="37" t="s">
        <v>47</v>
      </c>
      <c r="F157" s="37" t="s">
        <v>160</v>
      </c>
      <c r="G157" s="37" t="s">
        <v>189</v>
      </c>
      <c r="H157" s="37" t="s">
        <v>1231</v>
      </c>
      <c r="I157" s="37" t="s">
        <v>25</v>
      </c>
      <c r="J157" s="37" t="s">
        <v>38</v>
      </c>
      <c r="K157" s="37" t="s">
        <v>899</v>
      </c>
      <c r="L157" s="37" t="s">
        <v>523</v>
      </c>
      <c r="M157" s="37" t="s">
        <v>1125</v>
      </c>
      <c r="N157" s="37" t="s">
        <v>1002</v>
      </c>
      <c r="O157" s="37" t="s">
        <v>891</v>
      </c>
      <c r="P157" s="37" t="s">
        <v>892</v>
      </c>
      <c r="Q157" s="37" t="s">
        <v>1094</v>
      </c>
      <c r="R157" s="37" t="s">
        <v>1060</v>
      </c>
      <c r="S157" s="37" t="s">
        <v>87</v>
      </c>
    </row>
    <row r="158" customFormat="false" ht="15" hidden="false" customHeight="false" outlineLevel="0" collapsed="false">
      <c r="A158" s="37" t="s">
        <v>524</v>
      </c>
      <c r="B158" s="37" t="s">
        <v>1232</v>
      </c>
      <c r="C158" s="37" t="s">
        <v>992</v>
      </c>
      <c r="D158" s="37" t="s">
        <v>67</v>
      </c>
      <c r="E158" s="37" t="s">
        <v>48</v>
      </c>
      <c r="F158" s="37" t="s">
        <v>135</v>
      </c>
      <c r="G158" s="37" t="s">
        <v>525</v>
      </c>
      <c r="H158" s="37" t="s">
        <v>1233</v>
      </c>
      <c r="I158" s="37" t="s">
        <v>26</v>
      </c>
      <c r="J158" s="37" t="s">
        <v>40</v>
      </c>
      <c r="K158" s="37" t="s">
        <v>1080</v>
      </c>
      <c r="L158" s="37" t="s">
        <v>526</v>
      </c>
      <c r="M158" s="37" t="s">
        <v>897</v>
      </c>
      <c r="N158" s="37" t="s">
        <v>893</v>
      </c>
      <c r="O158" s="37" t="s">
        <v>909</v>
      </c>
      <c r="P158" s="37" t="s">
        <v>891</v>
      </c>
      <c r="Q158" s="37" t="s">
        <v>1001</v>
      </c>
      <c r="R158" s="37" t="s">
        <v>1046</v>
      </c>
      <c r="S158" s="37" t="s">
        <v>87</v>
      </c>
    </row>
    <row r="159" customFormat="false" ht="15" hidden="false" customHeight="false" outlineLevel="0" collapsed="false">
      <c r="A159" s="37" t="s">
        <v>527</v>
      </c>
      <c r="B159" s="37" t="s">
        <v>995</v>
      </c>
      <c r="C159" s="37" t="s">
        <v>1064</v>
      </c>
      <c r="D159" s="37" t="s">
        <v>1234</v>
      </c>
      <c r="E159" s="37" t="s">
        <v>48</v>
      </c>
      <c r="F159" s="37" t="s">
        <v>139</v>
      </c>
      <c r="G159" s="37" t="s">
        <v>302</v>
      </c>
      <c r="H159" s="37" t="s">
        <v>1235</v>
      </c>
      <c r="I159" s="37" t="s">
        <v>27</v>
      </c>
      <c r="J159" s="37" t="s">
        <v>42</v>
      </c>
      <c r="K159" s="37" t="s">
        <v>994</v>
      </c>
      <c r="L159" s="37" t="s">
        <v>528</v>
      </c>
      <c r="M159" s="37" t="s">
        <v>897</v>
      </c>
      <c r="N159" s="37" t="s">
        <v>935</v>
      </c>
      <c r="O159" s="37" t="s">
        <v>891</v>
      </c>
      <c r="P159" s="37" t="s">
        <v>900</v>
      </c>
      <c r="Q159" s="37" t="s">
        <v>949</v>
      </c>
      <c r="R159" s="37" t="s">
        <v>1159</v>
      </c>
      <c r="S159" s="37" t="s">
        <v>87</v>
      </c>
    </row>
    <row r="160" customFormat="false" ht="15" hidden="false" customHeight="false" outlineLevel="0" collapsed="false">
      <c r="A160" s="37" t="s">
        <v>529</v>
      </c>
      <c r="B160" s="37" t="s">
        <v>1031</v>
      </c>
      <c r="C160" s="37" t="s">
        <v>134</v>
      </c>
      <c r="D160" s="37" t="s">
        <v>69</v>
      </c>
      <c r="E160" s="37" t="s">
        <v>48</v>
      </c>
      <c r="F160" s="37" t="s">
        <v>139</v>
      </c>
      <c r="G160" s="37" t="s">
        <v>530</v>
      </c>
      <c r="H160" s="37" t="s">
        <v>1236</v>
      </c>
      <c r="I160" s="37" t="s">
        <v>25</v>
      </c>
      <c r="J160" s="37" t="s">
        <v>38</v>
      </c>
      <c r="K160" s="37" t="s">
        <v>960</v>
      </c>
      <c r="L160" s="37" t="s">
        <v>531</v>
      </c>
      <c r="M160" s="37"/>
      <c r="N160" s="37" t="s">
        <v>969</v>
      </c>
      <c r="O160" s="37" t="s">
        <v>899</v>
      </c>
      <c r="P160" s="37" t="s">
        <v>917</v>
      </c>
      <c r="Q160" s="37" t="s">
        <v>909</v>
      </c>
      <c r="R160" s="37" t="s">
        <v>1112</v>
      </c>
      <c r="S160" s="37" t="s">
        <v>89</v>
      </c>
    </row>
    <row r="161" customFormat="false" ht="15" hidden="false" customHeight="false" outlineLevel="0" collapsed="false">
      <c r="A161" s="37" t="s">
        <v>532</v>
      </c>
      <c r="B161" s="37" t="s">
        <v>1070</v>
      </c>
      <c r="C161" s="37" t="s">
        <v>134</v>
      </c>
      <c r="D161" s="37" t="s">
        <v>65</v>
      </c>
      <c r="E161" s="37" t="s">
        <v>47</v>
      </c>
      <c r="F161" s="37"/>
      <c r="G161" s="37" t="s">
        <v>172</v>
      </c>
      <c r="H161" s="37" t="s">
        <v>1152</v>
      </c>
      <c r="I161" s="37" t="s">
        <v>25</v>
      </c>
      <c r="J161" s="37" t="s">
        <v>40</v>
      </c>
      <c r="K161" s="37" t="s">
        <v>953</v>
      </c>
      <c r="L161" s="37" t="s">
        <v>533</v>
      </c>
      <c r="M161" s="37" t="s">
        <v>907</v>
      </c>
      <c r="N161" s="37"/>
      <c r="O161" s="37" t="s">
        <v>899</v>
      </c>
      <c r="P161" s="37" t="s">
        <v>917</v>
      </c>
      <c r="Q161" s="37" t="s">
        <v>1185</v>
      </c>
      <c r="R161" s="37" t="s">
        <v>967</v>
      </c>
      <c r="S161" s="37" t="s">
        <v>88</v>
      </c>
    </row>
    <row r="162" customFormat="false" ht="15" hidden="false" customHeight="false" outlineLevel="0" collapsed="false">
      <c r="A162" s="37" t="s">
        <v>534</v>
      </c>
      <c r="B162" s="37" t="s">
        <v>963</v>
      </c>
      <c r="C162" s="37" t="s">
        <v>134</v>
      </c>
      <c r="D162" s="37" t="s">
        <v>63</v>
      </c>
      <c r="E162" s="37" t="s">
        <v>47</v>
      </c>
      <c r="F162" s="37" t="s">
        <v>149</v>
      </c>
      <c r="G162" s="37" t="s">
        <v>150</v>
      </c>
      <c r="H162" s="37" t="s">
        <v>1237</v>
      </c>
      <c r="I162" s="37" t="s">
        <v>1238</v>
      </c>
      <c r="J162" s="37"/>
      <c r="K162" s="37" t="s">
        <v>922</v>
      </c>
      <c r="L162" s="37" t="s">
        <v>535</v>
      </c>
      <c r="M162" s="37" t="s">
        <v>897</v>
      </c>
      <c r="N162" s="37" t="s">
        <v>925</v>
      </c>
      <c r="O162" s="37" t="s">
        <v>891</v>
      </c>
      <c r="P162" s="37" t="s">
        <v>892</v>
      </c>
      <c r="Q162" s="37" t="s">
        <v>1029</v>
      </c>
      <c r="R162" s="37" t="s">
        <v>1019</v>
      </c>
      <c r="S162" s="37" t="s">
        <v>87</v>
      </c>
    </row>
    <row r="163" customFormat="false" ht="15" hidden="false" customHeight="false" outlineLevel="0" collapsed="false">
      <c r="A163" s="37" t="s">
        <v>536</v>
      </c>
      <c r="B163" s="37" t="s">
        <v>903</v>
      </c>
      <c r="C163" s="37" t="s">
        <v>145</v>
      </c>
      <c r="D163" s="37" t="s">
        <v>64</v>
      </c>
      <c r="E163" s="37" t="s">
        <v>47</v>
      </c>
      <c r="F163" s="37" t="s">
        <v>246</v>
      </c>
      <c r="G163" s="37" t="s">
        <v>537</v>
      </c>
      <c r="H163" s="37" t="s">
        <v>1239</v>
      </c>
      <c r="I163" s="37"/>
      <c r="J163" s="37" t="s">
        <v>39</v>
      </c>
      <c r="K163" s="37" t="s">
        <v>908</v>
      </c>
      <c r="L163" s="37" t="s">
        <v>538</v>
      </c>
      <c r="M163" s="37" t="s">
        <v>907</v>
      </c>
      <c r="N163" s="37" t="s">
        <v>910</v>
      </c>
      <c r="O163" s="37" t="s">
        <v>891</v>
      </c>
      <c r="P163" s="37" t="s">
        <v>962</v>
      </c>
      <c r="Q163" s="37" t="s">
        <v>969</v>
      </c>
      <c r="R163" s="37" t="s">
        <v>907</v>
      </c>
      <c r="S163" s="37" t="s">
        <v>87</v>
      </c>
    </row>
    <row r="164" customFormat="false" ht="15" hidden="false" customHeight="false" outlineLevel="0" collapsed="false">
      <c r="A164" s="37" t="s">
        <v>539</v>
      </c>
      <c r="B164" s="37" t="s">
        <v>1240</v>
      </c>
      <c r="C164" s="37" t="s">
        <v>134</v>
      </c>
      <c r="D164" s="37" t="s">
        <v>70</v>
      </c>
      <c r="E164" s="37" t="s">
        <v>48</v>
      </c>
      <c r="F164" s="37" t="s">
        <v>160</v>
      </c>
      <c r="G164" s="37" t="s">
        <v>228</v>
      </c>
      <c r="H164" s="37" t="s">
        <v>1241</v>
      </c>
      <c r="I164" s="37" t="s">
        <v>32</v>
      </c>
      <c r="J164" s="37" t="s">
        <v>40</v>
      </c>
      <c r="K164" s="37" t="s">
        <v>934</v>
      </c>
      <c r="L164" s="37" t="s">
        <v>540</v>
      </c>
      <c r="M164" s="37" t="s">
        <v>907</v>
      </c>
      <c r="N164" s="37" t="s">
        <v>980</v>
      </c>
      <c r="O164" s="37" t="s">
        <v>899</v>
      </c>
      <c r="P164" s="37"/>
      <c r="Q164" s="37" t="s">
        <v>929</v>
      </c>
      <c r="R164" s="37" t="s">
        <v>1013</v>
      </c>
      <c r="S164" s="37" t="s">
        <v>88</v>
      </c>
    </row>
    <row r="165" customFormat="false" ht="15" hidden="false" customHeight="false" outlineLevel="0" collapsed="false">
      <c r="A165" s="37" t="s">
        <v>541</v>
      </c>
      <c r="B165" s="37" t="s">
        <v>903</v>
      </c>
      <c r="C165" s="37" t="s">
        <v>134</v>
      </c>
      <c r="D165" s="37" t="s">
        <v>65</v>
      </c>
      <c r="E165" s="37" t="s">
        <v>47</v>
      </c>
      <c r="F165" s="37" t="s">
        <v>139</v>
      </c>
      <c r="G165" s="37" t="s">
        <v>231</v>
      </c>
      <c r="H165" s="37" t="s">
        <v>1242</v>
      </c>
      <c r="I165" s="37" t="s">
        <v>27</v>
      </c>
      <c r="J165" s="37" t="s">
        <v>39</v>
      </c>
      <c r="K165" s="37" t="s">
        <v>1112</v>
      </c>
      <c r="L165" s="37" t="s">
        <v>542</v>
      </c>
      <c r="M165" s="37" t="s">
        <v>897</v>
      </c>
      <c r="N165" s="37" t="s">
        <v>1083</v>
      </c>
      <c r="O165" s="37" t="s">
        <v>909</v>
      </c>
      <c r="P165" s="37" t="s">
        <v>917</v>
      </c>
      <c r="Q165" s="37" t="s">
        <v>1016</v>
      </c>
      <c r="R165" s="37"/>
      <c r="S165" s="37" t="s">
        <v>89</v>
      </c>
    </row>
    <row r="166" customFormat="false" ht="15" hidden="false" customHeight="false" outlineLevel="0" collapsed="false">
      <c r="A166" s="37" t="s">
        <v>396</v>
      </c>
      <c r="B166" s="37" t="s">
        <v>912</v>
      </c>
      <c r="C166" s="37" t="s">
        <v>134</v>
      </c>
      <c r="D166" s="37" t="s">
        <v>69</v>
      </c>
      <c r="E166" s="37" t="s">
        <v>48</v>
      </c>
      <c r="F166" s="37" t="s">
        <v>139</v>
      </c>
      <c r="G166" s="37" t="s">
        <v>397</v>
      </c>
      <c r="H166" s="37" t="s">
        <v>1167</v>
      </c>
      <c r="I166" s="37" t="s">
        <v>25</v>
      </c>
      <c r="J166" s="37" t="s">
        <v>37</v>
      </c>
      <c r="K166" s="37" t="s">
        <v>1063</v>
      </c>
      <c r="L166" s="37" t="s">
        <v>398</v>
      </c>
      <c r="M166" s="37" t="s">
        <v>907</v>
      </c>
      <c r="N166" s="37" t="s">
        <v>1050</v>
      </c>
      <c r="O166" s="37" t="s">
        <v>899</v>
      </c>
      <c r="P166" s="37" t="s">
        <v>891</v>
      </c>
      <c r="Q166" s="37" t="s">
        <v>1029</v>
      </c>
      <c r="R166" s="37" t="s">
        <v>1010</v>
      </c>
      <c r="S166" s="37" t="s">
        <v>89</v>
      </c>
    </row>
    <row r="167" customFormat="false" ht="15" hidden="false" customHeight="false" outlineLevel="0" collapsed="false">
      <c r="A167" s="37" t="s">
        <v>543</v>
      </c>
      <c r="B167" s="37" t="s">
        <v>1027</v>
      </c>
      <c r="C167" s="37" t="s">
        <v>145</v>
      </c>
      <c r="D167" s="37" t="s">
        <v>62</v>
      </c>
      <c r="E167" s="37" t="s">
        <v>47</v>
      </c>
      <c r="F167" s="37" t="s">
        <v>149</v>
      </c>
      <c r="G167" s="37" t="s">
        <v>236</v>
      </c>
      <c r="H167" s="37" t="s">
        <v>1243</v>
      </c>
      <c r="I167" s="37" t="s">
        <v>25</v>
      </c>
      <c r="J167" s="37"/>
      <c r="K167" s="37" t="s">
        <v>1244</v>
      </c>
      <c r="L167" s="37" t="s">
        <v>544</v>
      </c>
      <c r="M167" s="37" t="s">
        <v>907</v>
      </c>
      <c r="N167" s="37" t="s">
        <v>922</v>
      </c>
      <c r="O167" s="37"/>
      <c r="P167" s="37" t="s">
        <v>892</v>
      </c>
      <c r="Q167" s="37" t="s">
        <v>916</v>
      </c>
      <c r="R167" s="37" t="s">
        <v>1091</v>
      </c>
      <c r="S167" s="37" t="s">
        <v>87</v>
      </c>
    </row>
    <row r="168" customFormat="false" ht="15" hidden="false" customHeight="false" outlineLevel="0" collapsed="false">
      <c r="A168" s="37" t="s">
        <v>545</v>
      </c>
      <c r="B168" s="37"/>
      <c r="C168" s="37" t="s">
        <v>145</v>
      </c>
      <c r="D168" s="37" t="s">
        <v>69</v>
      </c>
      <c r="E168" s="37" t="s">
        <v>47</v>
      </c>
      <c r="F168" s="37" t="s">
        <v>149</v>
      </c>
      <c r="G168" s="37" t="s">
        <v>546</v>
      </c>
      <c r="H168" s="37" t="s">
        <v>1245</v>
      </c>
      <c r="I168" s="37" t="s">
        <v>25</v>
      </c>
      <c r="J168" s="37" t="s">
        <v>39</v>
      </c>
      <c r="K168" s="37" t="s">
        <v>934</v>
      </c>
      <c r="L168" s="37" t="s">
        <v>547</v>
      </c>
      <c r="M168" s="37" t="s">
        <v>897</v>
      </c>
      <c r="N168" s="37" t="s">
        <v>997</v>
      </c>
      <c r="O168" s="37" t="s">
        <v>891</v>
      </c>
      <c r="P168" s="37" t="s">
        <v>892</v>
      </c>
      <c r="Q168" s="37" t="s">
        <v>890</v>
      </c>
      <c r="R168" s="37" t="s">
        <v>977</v>
      </c>
      <c r="S168" s="37" t="s">
        <v>87</v>
      </c>
    </row>
    <row r="169" customFormat="false" ht="15" hidden="false" customHeight="false" outlineLevel="0" collapsed="false">
      <c r="A169" s="37" t="s">
        <v>548</v>
      </c>
      <c r="B169" s="37" t="s">
        <v>939</v>
      </c>
      <c r="C169" s="37" t="s">
        <v>134</v>
      </c>
      <c r="D169" s="37" t="s">
        <v>62</v>
      </c>
      <c r="E169" s="37" t="s">
        <v>47</v>
      </c>
      <c r="F169" s="37" t="s">
        <v>135</v>
      </c>
      <c r="G169" s="37" t="s">
        <v>549</v>
      </c>
      <c r="H169" s="37" t="s">
        <v>1246</v>
      </c>
      <c r="I169" s="37" t="s">
        <v>25</v>
      </c>
      <c r="J169" s="37" t="s">
        <v>39</v>
      </c>
      <c r="K169" s="37" t="s">
        <v>1007</v>
      </c>
      <c r="L169" s="37" t="s">
        <v>550</v>
      </c>
      <c r="M169" s="37" t="s">
        <v>897</v>
      </c>
      <c r="N169" s="37" t="s">
        <v>1029</v>
      </c>
      <c r="O169" s="37" t="s">
        <v>891</v>
      </c>
      <c r="P169" s="37" t="s">
        <v>892</v>
      </c>
      <c r="Q169" s="37" t="s">
        <v>897</v>
      </c>
      <c r="R169" s="37"/>
      <c r="S169" s="37" t="s">
        <v>87</v>
      </c>
    </row>
    <row r="170" customFormat="false" ht="15" hidden="false" customHeight="false" outlineLevel="0" collapsed="false">
      <c r="A170" s="37" t="s">
        <v>551</v>
      </c>
      <c r="B170" s="37" t="s">
        <v>981</v>
      </c>
      <c r="C170" s="37" t="s">
        <v>134</v>
      </c>
      <c r="D170" s="37" t="s">
        <v>66</v>
      </c>
      <c r="E170" s="37" t="s">
        <v>47</v>
      </c>
      <c r="F170" s="37" t="s">
        <v>1247</v>
      </c>
      <c r="G170" s="37" t="s">
        <v>189</v>
      </c>
      <c r="H170" s="37" t="s">
        <v>1248</v>
      </c>
      <c r="I170" s="37" t="s">
        <v>25</v>
      </c>
      <c r="J170" s="37"/>
      <c r="K170" s="37" t="s">
        <v>1249</v>
      </c>
      <c r="L170" s="37" t="s">
        <v>552</v>
      </c>
      <c r="M170" s="37" t="s">
        <v>907</v>
      </c>
      <c r="N170" s="37" t="s">
        <v>1026</v>
      </c>
      <c r="O170" s="37" t="s">
        <v>899</v>
      </c>
      <c r="P170" s="37" t="s">
        <v>891</v>
      </c>
      <c r="Q170" s="37" t="s">
        <v>897</v>
      </c>
      <c r="R170" s="37" t="s">
        <v>1002</v>
      </c>
      <c r="S170" s="37" t="s">
        <v>87</v>
      </c>
    </row>
    <row r="171" customFormat="false" ht="15" hidden="false" customHeight="false" outlineLevel="0" collapsed="false">
      <c r="A171" s="37" t="s">
        <v>553</v>
      </c>
      <c r="B171" s="37" t="s">
        <v>989</v>
      </c>
      <c r="C171" s="37" t="s">
        <v>145</v>
      </c>
      <c r="D171" s="37" t="s">
        <v>65</v>
      </c>
      <c r="E171" s="37" t="s">
        <v>47</v>
      </c>
      <c r="F171" s="37"/>
      <c r="G171" s="37" t="s">
        <v>189</v>
      </c>
      <c r="H171" s="37" t="s">
        <v>1250</v>
      </c>
      <c r="I171" s="37" t="s">
        <v>27</v>
      </c>
      <c r="J171" s="37" t="s">
        <v>38</v>
      </c>
      <c r="K171" s="37" t="s">
        <v>983</v>
      </c>
      <c r="L171" s="37" t="s">
        <v>554</v>
      </c>
      <c r="M171" s="37" t="s">
        <v>897</v>
      </c>
      <c r="N171" s="37" t="s">
        <v>1022</v>
      </c>
      <c r="O171" s="37" t="s">
        <v>891</v>
      </c>
      <c r="P171" s="37" t="s">
        <v>892</v>
      </c>
      <c r="Q171" s="37" t="s">
        <v>898</v>
      </c>
      <c r="R171" s="37" t="s">
        <v>900</v>
      </c>
      <c r="S171" s="37" t="s">
        <v>88</v>
      </c>
    </row>
    <row r="172" customFormat="false" ht="15" hidden="false" customHeight="false" outlineLevel="0" collapsed="false">
      <c r="A172" s="37" t="s">
        <v>184</v>
      </c>
      <c r="B172" s="37" t="s">
        <v>975</v>
      </c>
      <c r="C172" s="37" t="s">
        <v>145</v>
      </c>
      <c r="D172" s="37" t="s">
        <v>64</v>
      </c>
      <c r="E172" s="37" t="s">
        <v>47</v>
      </c>
      <c r="F172" s="37" t="s">
        <v>135</v>
      </c>
      <c r="G172" s="37"/>
      <c r="H172" s="37" t="s">
        <v>976</v>
      </c>
      <c r="I172" s="37" t="s">
        <v>27</v>
      </c>
      <c r="J172" s="37" t="s">
        <v>37</v>
      </c>
      <c r="K172" s="37" t="s">
        <v>977</v>
      </c>
      <c r="L172" s="37"/>
      <c r="M172" s="37" t="s">
        <v>907</v>
      </c>
      <c r="N172" s="37"/>
      <c r="O172" s="37" t="s">
        <v>909</v>
      </c>
      <c r="P172" s="37" t="s">
        <v>917</v>
      </c>
      <c r="Q172" s="37" t="s">
        <v>978</v>
      </c>
      <c r="R172" s="37" t="s">
        <v>899</v>
      </c>
      <c r="S172" s="37" t="s">
        <v>89</v>
      </c>
    </row>
    <row r="173" customFormat="false" ht="15" hidden="false" customHeight="false" outlineLevel="0" collapsed="false">
      <c r="A173" s="37" t="s">
        <v>555</v>
      </c>
      <c r="B173" s="37" t="s">
        <v>907</v>
      </c>
      <c r="C173" s="37" t="s">
        <v>134</v>
      </c>
      <c r="D173" s="37" t="s">
        <v>67</v>
      </c>
      <c r="E173" s="37" t="s">
        <v>47</v>
      </c>
      <c r="F173" s="37" t="s">
        <v>246</v>
      </c>
      <c r="G173" s="37" t="s">
        <v>556</v>
      </c>
      <c r="H173" s="37" t="s">
        <v>1251</v>
      </c>
      <c r="I173" s="37" t="s">
        <v>1252</v>
      </c>
      <c r="J173" s="37" t="s">
        <v>41</v>
      </c>
      <c r="K173" s="37" t="s">
        <v>996</v>
      </c>
      <c r="L173" s="37"/>
      <c r="M173" s="37" t="s">
        <v>897</v>
      </c>
      <c r="N173" s="37"/>
      <c r="O173" s="37"/>
      <c r="P173" s="37" t="s">
        <v>928</v>
      </c>
      <c r="Q173" s="37" t="s">
        <v>953</v>
      </c>
      <c r="R173" s="37" t="s">
        <v>925</v>
      </c>
      <c r="S173" s="37" t="s">
        <v>88</v>
      </c>
    </row>
    <row r="174" customFormat="false" ht="15" hidden="false" customHeight="false" outlineLevel="0" collapsed="false">
      <c r="A174" s="37" t="s">
        <v>557</v>
      </c>
      <c r="B174" s="37" t="s">
        <v>981</v>
      </c>
      <c r="C174" s="37" t="s">
        <v>145</v>
      </c>
      <c r="D174" s="37" t="s">
        <v>65</v>
      </c>
      <c r="E174" s="37" t="s">
        <v>47</v>
      </c>
      <c r="F174" s="37" t="s">
        <v>160</v>
      </c>
      <c r="G174" s="37" t="s">
        <v>150</v>
      </c>
      <c r="H174" s="37" t="s">
        <v>897</v>
      </c>
      <c r="I174" s="37" t="s">
        <v>26</v>
      </c>
      <c r="J174" s="37" t="s">
        <v>39</v>
      </c>
      <c r="K174" s="37" t="s">
        <v>959</v>
      </c>
      <c r="L174" s="37" t="s">
        <v>558</v>
      </c>
      <c r="M174" s="37" t="s">
        <v>907</v>
      </c>
      <c r="N174" s="37" t="s">
        <v>1029</v>
      </c>
      <c r="O174" s="37" t="s">
        <v>891</v>
      </c>
      <c r="P174" s="37" t="s">
        <v>917</v>
      </c>
      <c r="Q174" s="37" t="s">
        <v>929</v>
      </c>
      <c r="R174" s="37" t="s">
        <v>972</v>
      </c>
      <c r="S174" s="37" t="s">
        <v>87</v>
      </c>
    </row>
    <row r="175" customFormat="false" ht="15" hidden="false" customHeight="false" outlineLevel="0" collapsed="false">
      <c r="A175" s="37" t="s">
        <v>559</v>
      </c>
      <c r="B175" s="37" t="s">
        <v>955</v>
      </c>
      <c r="C175" s="37" t="s">
        <v>145</v>
      </c>
      <c r="D175" s="37"/>
      <c r="E175" s="37" t="s">
        <v>47</v>
      </c>
      <c r="F175" s="37" t="s">
        <v>139</v>
      </c>
      <c r="G175" s="37" t="s">
        <v>560</v>
      </c>
      <c r="H175" s="37" t="s">
        <v>897</v>
      </c>
      <c r="I175" s="37" t="s">
        <v>25</v>
      </c>
      <c r="J175" s="37" t="s">
        <v>38</v>
      </c>
      <c r="K175" s="37" t="s">
        <v>1021</v>
      </c>
      <c r="L175" s="37" t="s">
        <v>561</v>
      </c>
      <c r="M175" s="37" t="s">
        <v>947</v>
      </c>
      <c r="N175" s="37" t="s">
        <v>910</v>
      </c>
      <c r="O175" s="37" t="s">
        <v>909</v>
      </c>
      <c r="P175" s="37" t="s">
        <v>917</v>
      </c>
      <c r="Q175" s="37" t="s">
        <v>1009</v>
      </c>
      <c r="R175" s="37" t="s">
        <v>1003</v>
      </c>
      <c r="S175" s="37" t="s">
        <v>89</v>
      </c>
    </row>
    <row r="176" customFormat="false" ht="15" hidden="false" customHeight="false" outlineLevel="0" collapsed="false">
      <c r="A176" s="37" t="s">
        <v>562</v>
      </c>
      <c r="B176" s="37" t="s">
        <v>981</v>
      </c>
      <c r="C176" s="37" t="s">
        <v>145</v>
      </c>
      <c r="D176" s="37" t="s">
        <v>62</v>
      </c>
      <c r="E176" s="37" t="s">
        <v>47</v>
      </c>
      <c r="F176" s="37" t="s">
        <v>149</v>
      </c>
      <c r="G176" s="37" t="s">
        <v>440</v>
      </c>
      <c r="H176" s="37" t="s">
        <v>1068</v>
      </c>
      <c r="I176" s="37" t="s">
        <v>29</v>
      </c>
      <c r="J176" s="37" t="s">
        <v>41</v>
      </c>
      <c r="K176" s="37"/>
      <c r="L176" s="37" t="s">
        <v>563</v>
      </c>
      <c r="M176" s="37" t="s">
        <v>1125</v>
      </c>
      <c r="N176" s="37" t="s">
        <v>923</v>
      </c>
      <c r="O176" s="37" t="s">
        <v>899</v>
      </c>
      <c r="P176" s="37" t="s">
        <v>917</v>
      </c>
      <c r="Q176" s="37" t="s">
        <v>1111</v>
      </c>
      <c r="R176" s="37" t="s">
        <v>928</v>
      </c>
      <c r="S176" s="37" t="s">
        <v>87</v>
      </c>
    </row>
    <row r="177" customFormat="false" ht="15" hidden="false" customHeight="false" outlineLevel="0" collapsed="false">
      <c r="A177" s="37" t="s">
        <v>564</v>
      </c>
      <c r="B177" s="37" t="s">
        <v>985</v>
      </c>
      <c r="C177" s="37" t="s">
        <v>145</v>
      </c>
      <c r="D177" s="37" t="s">
        <v>67</v>
      </c>
      <c r="E177" s="37" t="s">
        <v>48</v>
      </c>
      <c r="F177" s="37" t="s">
        <v>135</v>
      </c>
      <c r="G177" s="37" t="s">
        <v>565</v>
      </c>
      <c r="H177" s="37" t="s">
        <v>1253</v>
      </c>
      <c r="I177" s="37" t="s">
        <v>26</v>
      </c>
      <c r="J177" s="37" t="s">
        <v>42</v>
      </c>
      <c r="K177" s="37" t="s">
        <v>927</v>
      </c>
      <c r="L177" s="37" t="s">
        <v>566</v>
      </c>
      <c r="M177" s="37" t="s">
        <v>947</v>
      </c>
      <c r="N177" s="37" t="s">
        <v>1094</v>
      </c>
      <c r="O177" s="37"/>
      <c r="P177" s="37" t="s">
        <v>891</v>
      </c>
      <c r="Q177" s="37"/>
      <c r="R177" s="37" t="s">
        <v>1022</v>
      </c>
      <c r="S177" s="37" t="s">
        <v>87</v>
      </c>
    </row>
    <row r="178" customFormat="false" ht="15" hidden="false" customHeight="false" outlineLevel="0" collapsed="false">
      <c r="A178" s="37" t="s">
        <v>567</v>
      </c>
      <c r="B178" s="37" t="s">
        <v>903</v>
      </c>
      <c r="C178" s="37" t="s">
        <v>134</v>
      </c>
      <c r="D178" s="37"/>
      <c r="E178" s="37" t="s">
        <v>47</v>
      </c>
      <c r="F178" s="37" t="s">
        <v>1254</v>
      </c>
      <c r="G178" s="37" t="s">
        <v>568</v>
      </c>
      <c r="H178" s="37" t="s">
        <v>965</v>
      </c>
      <c r="I178" s="37" t="s">
        <v>27</v>
      </c>
      <c r="J178" s="37" t="s">
        <v>41</v>
      </c>
      <c r="K178" s="37" t="s">
        <v>927</v>
      </c>
      <c r="L178" s="37" t="s">
        <v>569</v>
      </c>
      <c r="M178" s="37" t="s">
        <v>947</v>
      </c>
      <c r="N178" s="37" t="s">
        <v>925</v>
      </c>
      <c r="O178" s="37" t="s">
        <v>899</v>
      </c>
      <c r="P178" s="37" t="s">
        <v>928</v>
      </c>
      <c r="Q178" s="37" t="s">
        <v>948</v>
      </c>
      <c r="R178" s="37"/>
      <c r="S178" s="37" t="s">
        <v>89</v>
      </c>
    </row>
    <row r="179" customFormat="false" ht="15" hidden="false" customHeight="false" outlineLevel="0" collapsed="false">
      <c r="A179" s="37" t="s">
        <v>570</v>
      </c>
      <c r="B179" s="37" t="s">
        <v>1125</v>
      </c>
      <c r="C179" s="37" t="s">
        <v>134</v>
      </c>
      <c r="D179" s="37"/>
      <c r="E179" s="37" t="s">
        <v>48</v>
      </c>
      <c r="F179" s="37" t="s">
        <v>246</v>
      </c>
      <c r="G179" s="37" t="s">
        <v>571</v>
      </c>
      <c r="H179" s="37" t="s">
        <v>1255</v>
      </c>
      <c r="I179" s="37" t="s">
        <v>25</v>
      </c>
      <c r="J179" s="37" t="s">
        <v>41</v>
      </c>
      <c r="K179" s="37" t="s">
        <v>1009</v>
      </c>
      <c r="L179" s="37" t="s">
        <v>572</v>
      </c>
      <c r="M179" s="37" t="s">
        <v>1008</v>
      </c>
      <c r="N179" s="37" t="s">
        <v>1003</v>
      </c>
      <c r="O179" s="37" t="s">
        <v>891</v>
      </c>
      <c r="P179" s="37" t="s">
        <v>900</v>
      </c>
      <c r="Q179" s="37" t="s">
        <v>977</v>
      </c>
      <c r="R179" s="37" t="s">
        <v>966</v>
      </c>
      <c r="S179" s="37" t="s">
        <v>87</v>
      </c>
    </row>
    <row r="180" customFormat="false" ht="15" hidden="false" customHeight="false" outlineLevel="0" collapsed="false">
      <c r="A180" s="37" t="s">
        <v>573</v>
      </c>
      <c r="B180" s="37" t="s">
        <v>1214</v>
      </c>
      <c r="C180" s="37" t="s">
        <v>145</v>
      </c>
      <c r="D180" s="37" t="s">
        <v>68</v>
      </c>
      <c r="E180" s="37" t="s">
        <v>48</v>
      </c>
      <c r="F180" s="37" t="s">
        <v>246</v>
      </c>
      <c r="G180" s="37" t="s">
        <v>488</v>
      </c>
      <c r="H180" s="37" t="s">
        <v>1256</v>
      </c>
      <c r="I180" s="37" t="s">
        <v>25</v>
      </c>
      <c r="J180" s="37" t="s">
        <v>42</v>
      </c>
      <c r="K180" s="37" t="s">
        <v>966</v>
      </c>
      <c r="L180" s="37" t="s">
        <v>574</v>
      </c>
      <c r="M180" s="37" t="s">
        <v>907</v>
      </c>
      <c r="N180" s="37" t="s">
        <v>1010</v>
      </c>
      <c r="O180" s="37" t="s">
        <v>909</v>
      </c>
      <c r="P180" s="37" t="s">
        <v>928</v>
      </c>
      <c r="Q180" s="37" t="s">
        <v>1257</v>
      </c>
      <c r="R180" s="37" t="s">
        <v>1051</v>
      </c>
      <c r="S180" s="37" t="s">
        <v>88</v>
      </c>
    </row>
    <row r="181" customFormat="false" ht="15" hidden="false" customHeight="false" outlineLevel="0" collapsed="false">
      <c r="A181" s="37" t="s">
        <v>343</v>
      </c>
      <c r="B181" s="37" t="s">
        <v>1128</v>
      </c>
      <c r="C181" s="37" t="s">
        <v>145</v>
      </c>
      <c r="D181" s="37" t="s">
        <v>66</v>
      </c>
      <c r="E181" s="37" t="s">
        <v>48</v>
      </c>
      <c r="F181" s="37" t="s">
        <v>139</v>
      </c>
      <c r="G181" s="37" t="s">
        <v>344</v>
      </c>
      <c r="H181" s="37" t="s">
        <v>1129</v>
      </c>
      <c r="I181" s="37" t="s">
        <v>29</v>
      </c>
      <c r="J181" s="37" t="s">
        <v>43</v>
      </c>
      <c r="K181" s="37" t="s">
        <v>1026</v>
      </c>
      <c r="L181" s="37" t="s">
        <v>345</v>
      </c>
      <c r="M181" s="37" t="s">
        <v>897</v>
      </c>
      <c r="N181" s="37" t="s">
        <v>980</v>
      </c>
      <c r="O181" s="37"/>
      <c r="P181" s="37" t="s">
        <v>892</v>
      </c>
      <c r="Q181" s="37" t="s">
        <v>1130</v>
      </c>
      <c r="R181" s="37" t="s">
        <v>972</v>
      </c>
      <c r="S181" s="37" t="s">
        <v>87</v>
      </c>
    </row>
    <row r="182" customFormat="false" ht="15" hidden="false" customHeight="false" outlineLevel="0" collapsed="false">
      <c r="A182" s="37" t="s">
        <v>575</v>
      </c>
      <c r="B182" s="37" t="s">
        <v>1178</v>
      </c>
      <c r="C182" s="37" t="s">
        <v>145</v>
      </c>
      <c r="D182" s="37" t="s">
        <v>71</v>
      </c>
      <c r="E182" s="37" t="s">
        <v>48</v>
      </c>
      <c r="F182" s="37" t="s">
        <v>139</v>
      </c>
      <c r="G182" s="37" t="s">
        <v>576</v>
      </c>
      <c r="H182" s="37" t="s">
        <v>1258</v>
      </c>
      <c r="I182" s="37" t="s">
        <v>25</v>
      </c>
      <c r="J182" s="37" t="s">
        <v>37</v>
      </c>
      <c r="K182" s="37" t="s">
        <v>891</v>
      </c>
      <c r="L182" s="37" t="s">
        <v>577</v>
      </c>
      <c r="M182" s="37" t="s">
        <v>1008</v>
      </c>
      <c r="N182" s="37" t="s">
        <v>917</v>
      </c>
      <c r="O182" s="37" t="s">
        <v>891</v>
      </c>
      <c r="P182" s="37" t="s">
        <v>928</v>
      </c>
      <c r="Q182" s="37" t="s">
        <v>896</v>
      </c>
      <c r="R182" s="37" t="s">
        <v>972</v>
      </c>
      <c r="S182" s="37" t="s">
        <v>87</v>
      </c>
    </row>
    <row r="183" customFormat="false" ht="15" hidden="false" customHeight="false" outlineLevel="0" collapsed="false">
      <c r="A183" s="37" t="s">
        <v>578</v>
      </c>
      <c r="B183" s="37" t="s">
        <v>1070</v>
      </c>
      <c r="C183" s="37" t="s">
        <v>145</v>
      </c>
      <c r="D183" s="37" t="s">
        <v>69</v>
      </c>
      <c r="E183" s="37" t="s">
        <v>47</v>
      </c>
      <c r="F183" s="37" t="s">
        <v>135</v>
      </c>
      <c r="G183" s="37" t="s">
        <v>464</v>
      </c>
      <c r="H183" s="37" t="s">
        <v>1259</v>
      </c>
      <c r="I183" s="37" t="s">
        <v>25</v>
      </c>
      <c r="J183" s="37" t="s">
        <v>38</v>
      </c>
      <c r="K183" s="37" t="s">
        <v>1032</v>
      </c>
      <c r="L183" s="37" t="s">
        <v>579</v>
      </c>
      <c r="M183" s="37" t="s">
        <v>897</v>
      </c>
      <c r="N183" s="37" t="s">
        <v>1094</v>
      </c>
      <c r="O183" s="37" t="s">
        <v>899</v>
      </c>
      <c r="P183" s="37" t="s">
        <v>891</v>
      </c>
      <c r="Q183" s="37" t="s">
        <v>892</v>
      </c>
      <c r="R183" s="37" t="s">
        <v>928</v>
      </c>
      <c r="S183" s="37" t="s">
        <v>87</v>
      </c>
    </row>
    <row r="184" customFormat="false" ht="15" hidden="false" customHeight="false" outlineLevel="0" collapsed="false">
      <c r="A184" s="37" t="s">
        <v>580</v>
      </c>
      <c r="B184" s="37" t="s">
        <v>1118</v>
      </c>
      <c r="C184" s="37" t="s">
        <v>913</v>
      </c>
      <c r="D184" s="37" t="s">
        <v>68</v>
      </c>
      <c r="E184" s="37" t="s">
        <v>48</v>
      </c>
      <c r="F184" s="37"/>
      <c r="G184" s="37" t="s">
        <v>581</v>
      </c>
      <c r="H184" s="37" t="s">
        <v>1260</v>
      </c>
      <c r="I184" s="37" t="s">
        <v>25</v>
      </c>
      <c r="J184" s="37" t="s">
        <v>41</v>
      </c>
      <c r="K184" s="37" t="s">
        <v>1080</v>
      </c>
      <c r="L184" s="37"/>
      <c r="M184" s="37" t="s">
        <v>887</v>
      </c>
      <c r="N184" s="37" t="s">
        <v>1032</v>
      </c>
      <c r="O184" s="37" t="s">
        <v>891</v>
      </c>
      <c r="P184" s="37" t="s">
        <v>928</v>
      </c>
      <c r="Q184" s="37" t="s">
        <v>942</v>
      </c>
      <c r="R184" s="37" t="s">
        <v>911</v>
      </c>
      <c r="S184" s="37" t="s">
        <v>87</v>
      </c>
    </row>
    <row r="185" customFormat="false" ht="15" hidden="false" customHeight="false" outlineLevel="0" collapsed="false">
      <c r="A185" s="37" t="s">
        <v>582</v>
      </c>
      <c r="B185" s="37" t="s">
        <v>955</v>
      </c>
      <c r="C185" s="37" t="s">
        <v>134</v>
      </c>
      <c r="D185" s="37" t="s">
        <v>63</v>
      </c>
      <c r="E185" s="37" t="s">
        <v>47</v>
      </c>
      <c r="F185" s="37" t="s">
        <v>160</v>
      </c>
      <c r="G185" s="37" t="s">
        <v>143</v>
      </c>
      <c r="H185" s="37" t="s">
        <v>897</v>
      </c>
      <c r="I185" s="37" t="s">
        <v>27</v>
      </c>
      <c r="J185" s="37"/>
      <c r="K185" s="37" t="s">
        <v>1036</v>
      </c>
      <c r="L185" s="37" t="s">
        <v>583</v>
      </c>
      <c r="M185" s="37" t="s">
        <v>897</v>
      </c>
      <c r="N185" s="37" t="s">
        <v>1046</v>
      </c>
      <c r="O185" s="37" t="s">
        <v>899</v>
      </c>
      <c r="P185" s="37" t="s">
        <v>962</v>
      </c>
      <c r="Q185" s="37" t="s">
        <v>1261</v>
      </c>
      <c r="R185" s="37" t="s">
        <v>930</v>
      </c>
      <c r="S185" s="37" t="s">
        <v>87</v>
      </c>
    </row>
    <row r="186" customFormat="false" ht="15" hidden="false" customHeight="false" outlineLevel="0" collapsed="false">
      <c r="A186" s="37" t="s">
        <v>584</v>
      </c>
      <c r="B186" s="37" t="s">
        <v>955</v>
      </c>
      <c r="C186" s="37" t="s">
        <v>134</v>
      </c>
      <c r="D186" s="37" t="s">
        <v>69</v>
      </c>
      <c r="E186" s="37" t="s">
        <v>47</v>
      </c>
      <c r="F186" s="37" t="s">
        <v>1254</v>
      </c>
      <c r="G186" s="37" t="s">
        <v>172</v>
      </c>
      <c r="H186" s="37" t="s">
        <v>1262</v>
      </c>
      <c r="I186" s="37" t="s">
        <v>26</v>
      </c>
      <c r="J186" s="37" t="s">
        <v>39</v>
      </c>
      <c r="K186" s="37" t="s">
        <v>1026</v>
      </c>
      <c r="L186" s="37" t="s">
        <v>585</v>
      </c>
      <c r="M186" s="37" t="s">
        <v>907</v>
      </c>
      <c r="N186" s="37" t="s">
        <v>916</v>
      </c>
      <c r="O186" s="37" t="s">
        <v>909</v>
      </c>
      <c r="P186" s="37" t="s">
        <v>891</v>
      </c>
      <c r="Q186" s="37" t="s">
        <v>962</v>
      </c>
      <c r="R186" s="37" t="s">
        <v>930</v>
      </c>
      <c r="S186" s="37" t="s">
        <v>89</v>
      </c>
    </row>
    <row r="187" customFormat="false" ht="15" hidden="false" customHeight="false" outlineLevel="0" collapsed="false">
      <c r="A187" s="37" t="s">
        <v>586</v>
      </c>
      <c r="B187" s="37" t="s">
        <v>1263</v>
      </c>
      <c r="C187" s="37" t="s">
        <v>145</v>
      </c>
      <c r="D187" s="37" t="s">
        <v>66</v>
      </c>
      <c r="E187" s="37" t="s">
        <v>48</v>
      </c>
      <c r="F187" s="37" t="s">
        <v>139</v>
      </c>
      <c r="G187" s="37" t="s">
        <v>344</v>
      </c>
      <c r="H187" s="37" t="s">
        <v>1264</v>
      </c>
      <c r="I187" s="37" t="s">
        <v>25</v>
      </c>
      <c r="J187" s="37" t="s">
        <v>43</v>
      </c>
      <c r="K187" s="37" t="s">
        <v>991</v>
      </c>
      <c r="L187" s="37" t="s">
        <v>587</v>
      </c>
      <c r="M187" s="37" t="s">
        <v>1125</v>
      </c>
      <c r="N187" s="37" t="s">
        <v>922</v>
      </c>
      <c r="O187" s="37" t="s">
        <v>917</v>
      </c>
      <c r="P187" s="37" t="s">
        <v>928</v>
      </c>
      <c r="Q187" s="37" t="s">
        <v>893</v>
      </c>
      <c r="R187" s="37" t="s">
        <v>1112</v>
      </c>
      <c r="S187" s="37" t="s">
        <v>89</v>
      </c>
    </row>
    <row r="188" customFormat="false" ht="15" hidden="false" customHeight="false" outlineLevel="0" collapsed="false">
      <c r="A188" s="37" t="s">
        <v>588</v>
      </c>
      <c r="B188" s="37" t="s">
        <v>907</v>
      </c>
      <c r="C188" s="37" t="s">
        <v>134</v>
      </c>
      <c r="D188" s="37" t="s">
        <v>64</v>
      </c>
      <c r="E188" s="37" t="s">
        <v>47</v>
      </c>
      <c r="F188" s="37" t="s">
        <v>160</v>
      </c>
      <c r="G188" s="37" t="s">
        <v>150</v>
      </c>
      <c r="H188" s="37" t="s">
        <v>1265</v>
      </c>
      <c r="I188" s="37" t="s">
        <v>25</v>
      </c>
      <c r="J188" s="37" t="s">
        <v>39</v>
      </c>
      <c r="K188" s="37" t="s">
        <v>983</v>
      </c>
      <c r="L188" s="37" t="s">
        <v>589</v>
      </c>
      <c r="M188" s="37" t="s">
        <v>887</v>
      </c>
      <c r="N188" s="37" t="s">
        <v>1051</v>
      </c>
      <c r="O188" s="37"/>
      <c r="P188" s="37" t="s">
        <v>900</v>
      </c>
      <c r="Q188" s="37" t="s">
        <v>948</v>
      </c>
      <c r="R188" s="37" t="s">
        <v>949</v>
      </c>
      <c r="S188" s="37" t="s">
        <v>87</v>
      </c>
    </row>
    <row r="189" customFormat="false" ht="15" hidden="false" customHeight="false" outlineLevel="0" collapsed="false">
      <c r="A189" s="37" t="s">
        <v>590</v>
      </c>
      <c r="B189" s="37" t="s">
        <v>1118</v>
      </c>
      <c r="C189" s="37" t="s">
        <v>145</v>
      </c>
      <c r="D189" s="37" t="s">
        <v>62</v>
      </c>
      <c r="E189" s="37" t="s">
        <v>48</v>
      </c>
      <c r="F189" s="37" t="s">
        <v>135</v>
      </c>
      <c r="G189" s="37" t="s">
        <v>397</v>
      </c>
      <c r="H189" s="37" t="s">
        <v>1266</v>
      </c>
      <c r="I189" s="37" t="s">
        <v>27</v>
      </c>
      <c r="J189" s="37" t="s">
        <v>37</v>
      </c>
      <c r="K189" s="37" t="s">
        <v>1009</v>
      </c>
      <c r="L189" s="37" t="s">
        <v>591</v>
      </c>
      <c r="M189" s="37" t="s">
        <v>897</v>
      </c>
      <c r="N189" s="37" t="s">
        <v>1083</v>
      </c>
      <c r="O189" s="37" t="s">
        <v>891</v>
      </c>
      <c r="P189" s="37" t="s">
        <v>962</v>
      </c>
      <c r="Q189" s="37" t="s">
        <v>1022</v>
      </c>
      <c r="R189" s="37" t="s">
        <v>918</v>
      </c>
      <c r="S189" s="37" t="s">
        <v>87</v>
      </c>
    </row>
    <row r="190" customFormat="false" ht="15" hidden="false" customHeight="false" outlineLevel="0" collapsed="false">
      <c r="A190" s="37" t="s">
        <v>592</v>
      </c>
      <c r="B190" s="37" t="s">
        <v>981</v>
      </c>
      <c r="C190" s="37" t="s">
        <v>145</v>
      </c>
      <c r="D190" s="37" t="s">
        <v>62</v>
      </c>
      <c r="E190" s="37" t="s">
        <v>47</v>
      </c>
      <c r="F190" s="37"/>
      <c r="G190" s="37" t="s">
        <v>143</v>
      </c>
      <c r="H190" s="37" t="s">
        <v>1069</v>
      </c>
      <c r="I190" s="37" t="s">
        <v>30</v>
      </c>
      <c r="J190" s="37" t="s">
        <v>37</v>
      </c>
      <c r="K190" s="37" t="s">
        <v>957</v>
      </c>
      <c r="L190" s="37" t="s">
        <v>583</v>
      </c>
      <c r="M190" s="37" t="s">
        <v>1008</v>
      </c>
      <c r="N190" s="37" t="s">
        <v>1053</v>
      </c>
      <c r="O190" s="37" t="s">
        <v>891</v>
      </c>
      <c r="P190" s="37" t="s">
        <v>900</v>
      </c>
      <c r="Q190" s="37" t="s">
        <v>1267</v>
      </c>
      <c r="R190" s="37" t="s">
        <v>910</v>
      </c>
      <c r="S190" s="37" t="s">
        <v>87</v>
      </c>
    </row>
    <row r="191" customFormat="false" ht="15" hidden="false" customHeight="false" outlineLevel="0" collapsed="false">
      <c r="A191" s="37" t="s">
        <v>593</v>
      </c>
      <c r="B191" s="37" t="s">
        <v>1031</v>
      </c>
      <c r="C191" s="37" t="s">
        <v>145</v>
      </c>
      <c r="D191" s="37" t="s">
        <v>62</v>
      </c>
      <c r="E191" s="37" t="s">
        <v>48</v>
      </c>
      <c r="F191" s="37" t="s">
        <v>160</v>
      </c>
      <c r="G191" s="37"/>
      <c r="H191" s="37" t="s">
        <v>1268</v>
      </c>
      <c r="I191" s="37" t="s">
        <v>28</v>
      </c>
      <c r="J191" s="37" t="s">
        <v>44</v>
      </c>
      <c r="K191" s="37" t="s">
        <v>915</v>
      </c>
      <c r="L191" s="37" t="s">
        <v>594</v>
      </c>
      <c r="M191" s="37"/>
      <c r="N191" s="37" t="s">
        <v>910</v>
      </c>
      <c r="O191" s="37" t="s">
        <v>899</v>
      </c>
      <c r="P191" s="37" t="s">
        <v>928</v>
      </c>
      <c r="Q191" s="37" t="s">
        <v>1269</v>
      </c>
      <c r="R191" s="37" t="s">
        <v>949</v>
      </c>
      <c r="S191" s="37" t="s">
        <v>87</v>
      </c>
    </row>
    <row r="192" customFormat="false" ht="15" hidden="false" customHeight="false" outlineLevel="0" collapsed="false">
      <c r="A192" s="37" t="s">
        <v>595</v>
      </c>
      <c r="B192" s="37" t="s">
        <v>955</v>
      </c>
      <c r="C192" s="37" t="s">
        <v>145</v>
      </c>
      <c r="D192" s="37" t="s">
        <v>65</v>
      </c>
      <c r="E192" s="37" t="s">
        <v>47</v>
      </c>
      <c r="F192" s="37" t="s">
        <v>149</v>
      </c>
      <c r="G192" s="37" t="s">
        <v>189</v>
      </c>
      <c r="H192" s="37" t="s">
        <v>897</v>
      </c>
      <c r="I192" s="37" t="s">
        <v>25</v>
      </c>
      <c r="J192" s="37" t="s">
        <v>38</v>
      </c>
      <c r="K192" s="37" t="s">
        <v>893</v>
      </c>
      <c r="L192" s="37" t="s">
        <v>596</v>
      </c>
      <c r="M192" s="37" t="s">
        <v>897</v>
      </c>
      <c r="N192" s="37" t="s">
        <v>967</v>
      </c>
      <c r="O192" s="37" t="s">
        <v>891</v>
      </c>
      <c r="P192" s="37" t="s">
        <v>900</v>
      </c>
      <c r="Q192" s="37" t="s">
        <v>911</v>
      </c>
      <c r="R192" s="37" t="s">
        <v>894</v>
      </c>
      <c r="S192" s="37" t="s">
        <v>87</v>
      </c>
    </row>
    <row r="193" customFormat="false" ht="15" hidden="false" customHeight="false" outlineLevel="0" collapsed="false">
      <c r="A193" s="37" t="s">
        <v>597</v>
      </c>
      <c r="B193" s="37" t="s">
        <v>907</v>
      </c>
      <c r="C193" s="37" t="s">
        <v>145</v>
      </c>
      <c r="D193" s="37" t="s">
        <v>70</v>
      </c>
      <c r="E193" s="37" t="s">
        <v>47</v>
      </c>
      <c r="F193" s="37" t="s">
        <v>135</v>
      </c>
      <c r="G193" s="37" t="s">
        <v>598</v>
      </c>
      <c r="H193" s="37" t="s">
        <v>1270</v>
      </c>
      <c r="I193" s="37" t="s">
        <v>28</v>
      </c>
      <c r="J193" s="37" t="s">
        <v>40</v>
      </c>
      <c r="K193" s="37" t="s">
        <v>1001</v>
      </c>
      <c r="L193" s="37" t="s">
        <v>599</v>
      </c>
      <c r="M193" s="37" t="s">
        <v>887</v>
      </c>
      <c r="N193" s="37" t="s">
        <v>1002</v>
      </c>
      <c r="O193" s="37" t="s">
        <v>891</v>
      </c>
      <c r="P193" s="37" t="s">
        <v>928</v>
      </c>
      <c r="Q193" s="37" t="s">
        <v>1032</v>
      </c>
      <c r="R193" s="37"/>
      <c r="S193" s="37" t="s">
        <v>88</v>
      </c>
    </row>
    <row r="194" customFormat="false" ht="15" hidden="false" customHeight="false" outlineLevel="0" collapsed="false">
      <c r="A194" s="37" t="s">
        <v>600</v>
      </c>
      <c r="B194" s="37" t="s">
        <v>1190</v>
      </c>
      <c r="C194" s="37" t="s">
        <v>145</v>
      </c>
      <c r="D194" s="37" t="s">
        <v>64</v>
      </c>
      <c r="E194" s="37" t="s">
        <v>48</v>
      </c>
      <c r="F194" s="37" t="s">
        <v>195</v>
      </c>
      <c r="G194" s="37" t="s">
        <v>196</v>
      </c>
      <c r="H194" s="37" t="s">
        <v>1271</v>
      </c>
      <c r="I194" s="37" t="s">
        <v>31</v>
      </c>
      <c r="J194" s="37" t="s">
        <v>40</v>
      </c>
      <c r="K194" s="37" t="s">
        <v>953</v>
      </c>
      <c r="L194" s="37" t="s">
        <v>601</v>
      </c>
      <c r="M194" s="37" t="s">
        <v>947</v>
      </c>
      <c r="N194" s="37" t="s">
        <v>969</v>
      </c>
      <c r="O194" s="37" t="s">
        <v>891</v>
      </c>
      <c r="P194" s="37" t="s">
        <v>892</v>
      </c>
      <c r="Q194" s="37" t="s">
        <v>1272</v>
      </c>
      <c r="R194" s="37" t="s">
        <v>972</v>
      </c>
      <c r="S194" s="37" t="s">
        <v>87</v>
      </c>
    </row>
    <row r="195" customFormat="false" ht="15" hidden="false" customHeight="false" outlineLevel="0" collapsed="false">
      <c r="A195" s="37" t="s">
        <v>602</v>
      </c>
      <c r="B195" s="37" t="s">
        <v>903</v>
      </c>
      <c r="C195" s="37" t="s">
        <v>1273</v>
      </c>
      <c r="D195" s="37"/>
      <c r="E195" s="37" t="s">
        <v>47</v>
      </c>
      <c r="F195" s="37" t="s">
        <v>149</v>
      </c>
      <c r="G195" s="37" t="s">
        <v>336</v>
      </c>
      <c r="H195" s="37"/>
      <c r="I195" s="37" t="s">
        <v>25</v>
      </c>
      <c r="J195" s="37" t="s">
        <v>40</v>
      </c>
      <c r="K195" s="37" t="s">
        <v>1083</v>
      </c>
      <c r="L195" s="37" t="s">
        <v>603</v>
      </c>
      <c r="M195" s="37" t="s">
        <v>887</v>
      </c>
      <c r="N195" s="37" t="s">
        <v>892</v>
      </c>
      <c r="O195" s="37" t="s">
        <v>891</v>
      </c>
      <c r="P195" s="37" t="s">
        <v>962</v>
      </c>
      <c r="Q195" s="37" t="s">
        <v>1230</v>
      </c>
      <c r="R195" s="37" t="s">
        <v>1003</v>
      </c>
      <c r="S195" s="37" t="s">
        <v>87</v>
      </c>
    </row>
    <row r="196" customFormat="false" ht="15" hidden="false" customHeight="false" outlineLevel="0" collapsed="false">
      <c r="A196" s="37" t="s">
        <v>604</v>
      </c>
      <c r="B196" s="37"/>
      <c r="C196" s="37" t="s">
        <v>145</v>
      </c>
      <c r="D196" s="37" t="s">
        <v>64</v>
      </c>
      <c r="E196" s="37" t="s">
        <v>47</v>
      </c>
      <c r="F196" s="37" t="s">
        <v>149</v>
      </c>
      <c r="G196" s="37" t="s">
        <v>605</v>
      </c>
      <c r="H196" s="37" t="s">
        <v>1274</v>
      </c>
      <c r="I196" s="37" t="s">
        <v>26</v>
      </c>
      <c r="J196" s="37" t="s">
        <v>40</v>
      </c>
      <c r="K196" s="37" t="s">
        <v>1275</v>
      </c>
      <c r="L196" s="37" t="s">
        <v>606</v>
      </c>
      <c r="M196" s="37" t="s">
        <v>897</v>
      </c>
      <c r="N196" s="37" t="s">
        <v>1009</v>
      </c>
      <c r="O196" s="37" t="s">
        <v>899</v>
      </c>
      <c r="P196" s="37" t="s">
        <v>917</v>
      </c>
      <c r="Q196" s="37" t="s">
        <v>1096</v>
      </c>
      <c r="R196" s="37" t="s">
        <v>1276</v>
      </c>
      <c r="S196" s="37" t="s">
        <v>87</v>
      </c>
    </row>
    <row r="197" customFormat="false" ht="15" hidden="false" customHeight="false" outlineLevel="0" collapsed="false">
      <c r="A197" s="37" t="s">
        <v>607</v>
      </c>
      <c r="B197" s="37" t="s">
        <v>907</v>
      </c>
      <c r="C197" s="37" t="s">
        <v>134</v>
      </c>
      <c r="D197" s="37" t="s">
        <v>64</v>
      </c>
      <c r="E197" s="37" t="s">
        <v>47</v>
      </c>
      <c r="F197" s="37" t="s">
        <v>149</v>
      </c>
      <c r="G197" s="37"/>
      <c r="H197" s="37" t="s">
        <v>1277</v>
      </c>
      <c r="I197" s="37" t="s">
        <v>27</v>
      </c>
      <c r="J197" s="37" t="s">
        <v>40</v>
      </c>
      <c r="K197" s="37" t="s">
        <v>899</v>
      </c>
      <c r="L197" s="37" t="s">
        <v>608</v>
      </c>
      <c r="M197" s="37" t="s">
        <v>897</v>
      </c>
      <c r="N197" s="37" t="s">
        <v>1009</v>
      </c>
      <c r="O197" s="37" t="s">
        <v>899</v>
      </c>
      <c r="P197" s="37" t="s">
        <v>917</v>
      </c>
      <c r="Q197" s="37" t="s">
        <v>1050</v>
      </c>
      <c r="R197" s="37" t="s">
        <v>1036</v>
      </c>
      <c r="S197" s="37" t="s">
        <v>87</v>
      </c>
    </row>
    <row r="198" customFormat="false" ht="15" hidden="false" customHeight="false" outlineLevel="0" collapsed="false">
      <c r="A198" s="37" t="s">
        <v>609</v>
      </c>
      <c r="B198" s="37" t="s">
        <v>955</v>
      </c>
      <c r="C198" s="37" t="s">
        <v>134</v>
      </c>
      <c r="D198" s="37" t="s">
        <v>69</v>
      </c>
      <c r="E198" s="37" t="s">
        <v>47</v>
      </c>
      <c r="F198" s="37" t="s">
        <v>135</v>
      </c>
      <c r="G198" s="37" t="s">
        <v>427</v>
      </c>
      <c r="H198" s="37" t="s">
        <v>897</v>
      </c>
      <c r="I198" s="37" t="s">
        <v>27</v>
      </c>
      <c r="J198" s="37" t="s">
        <v>39</v>
      </c>
      <c r="K198" s="37" t="s">
        <v>1112</v>
      </c>
      <c r="L198" s="37" t="s">
        <v>610</v>
      </c>
      <c r="M198" s="37" t="s">
        <v>897</v>
      </c>
      <c r="N198" s="37" t="s">
        <v>1010</v>
      </c>
      <c r="O198" s="37" t="s">
        <v>899</v>
      </c>
      <c r="P198" s="37" t="s">
        <v>892</v>
      </c>
      <c r="Q198" s="37" t="s">
        <v>900</v>
      </c>
      <c r="R198" s="37" t="s">
        <v>894</v>
      </c>
      <c r="S198" s="37" t="s">
        <v>87</v>
      </c>
    </row>
    <row r="199" customFormat="false" ht="15" hidden="false" customHeight="false" outlineLevel="0" collapsed="false">
      <c r="A199" s="37" t="s">
        <v>611</v>
      </c>
      <c r="B199" s="37" t="s">
        <v>931</v>
      </c>
      <c r="C199" s="37" t="s">
        <v>134</v>
      </c>
      <c r="D199" s="37" t="s">
        <v>71</v>
      </c>
      <c r="E199" s="37" t="s">
        <v>48</v>
      </c>
      <c r="F199" s="37" t="s">
        <v>160</v>
      </c>
      <c r="G199" s="37" t="s">
        <v>612</v>
      </c>
      <c r="H199" s="37" t="s">
        <v>1278</v>
      </c>
      <c r="I199" s="37" t="s">
        <v>28</v>
      </c>
      <c r="J199" s="37" t="s">
        <v>42</v>
      </c>
      <c r="K199" s="37" t="s">
        <v>1181</v>
      </c>
      <c r="L199" s="37" t="s">
        <v>613</v>
      </c>
      <c r="M199" s="37" t="s">
        <v>907</v>
      </c>
      <c r="N199" s="37" t="s">
        <v>953</v>
      </c>
      <c r="O199" s="37" t="s">
        <v>891</v>
      </c>
      <c r="P199" s="37" t="s">
        <v>891</v>
      </c>
      <c r="Q199" s="37" t="s">
        <v>961</v>
      </c>
      <c r="R199" s="37" t="s">
        <v>925</v>
      </c>
      <c r="S199" s="37" t="s">
        <v>87</v>
      </c>
    </row>
    <row r="200" customFormat="false" ht="15" hidden="false" customHeight="false" outlineLevel="0" collapsed="false">
      <c r="A200" s="37" t="s">
        <v>614</v>
      </c>
      <c r="B200" s="37" t="s">
        <v>887</v>
      </c>
      <c r="C200" s="37" t="s">
        <v>134</v>
      </c>
      <c r="D200" s="37" t="s">
        <v>66</v>
      </c>
      <c r="E200" s="37" t="s">
        <v>48</v>
      </c>
      <c r="F200" s="37" t="s">
        <v>139</v>
      </c>
      <c r="G200" s="37" t="s">
        <v>175</v>
      </c>
      <c r="H200" s="37" t="s">
        <v>1279</v>
      </c>
      <c r="I200" s="37" t="s">
        <v>26</v>
      </c>
      <c r="J200" s="37" t="s">
        <v>37</v>
      </c>
      <c r="K200" s="37" t="s">
        <v>1026</v>
      </c>
      <c r="L200" s="37" t="s">
        <v>615</v>
      </c>
      <c r="M200" s="37" t="s">
        <v>897</v>
      </c>
      <c r="N200" s="37" t="s">
        <v>1094</v>
      </c>
      <c r="O200" s="37" t="s">
        <v>917</v>
      </c>
      <c r="P200" s="37" t="s">
        <v>962</v>
      </c>
      <c r="Q200" s="37" t="s">
        <v>1111</v>
      </c>
      <c r="R200" s="37" t="s">
        <v>911</v>
      </c>
      <c r="S200" s="37" t="s">
        <v>87</v>
      </c>
    </row>
    <row r="201" customFormat="false" ht="15" hidden="false" customHeight="false" outlineLevel="0" collapsed="false">
      <c r="A201" s="37" t="s">
        <v>616</v>
      </c>
      <c r="B201" s="37" t="s">
        <v>1280</v>
      </c>
      <c r="C201" s="37" t="s">
        <v>913</v>
      </c>
      <c r="D201" s="37" t="s">
        <v>69</v>
      </c>
      <c r="E201" s="37" t="s">
        <v>47</v>
      </c>
      <c r="F201" s="37" t="s">
        <v>135</v>
      </c>
      <c r="G201" s="37" t="s">
        <v>427</v>
      </c>
      <c r="H201" s="37" t="s">
        <v>1281</v>
      </c>
      <c r="I201" s="37" t="s">
        <v>25</v>
      </c>
      <c r="J201" s="37" t="s">
        <v>42</v>
      </c>
      <c r="K201" s="37" t="s">
        <v>961</v>
      </c>
      <c r="L201" s="37" t="s">
        <v>617</v>
      </c>
      <c r="M201" s="37" t="s">
        <v>947</v>
      </c>
      <c r="N201" s="37" t="s">
        <v>1029</v>
      </c>
      <c r="O201" s="37" t="s">
        <v>891</v>
      </c>
      <c r="P201" s="37" t="s">
        <v>928</v>
      </c>
      <c r="Q201" s="37" t="s">
        <v>961</v>
      </c>
      <c r="R201" s="37" t="s">
        <v>948</v>
      </c>
      <c r="S201" s="37" t="s">
        <v>89</v>
      </c>
    </row>
    <row r="202" customFormat="false" ht="15" hidden="false" customHeight="false" outlineLevel="0" collapsed="false">
      <c r="A202" s="37" t="s">
        <v>618</v>
      </c>
      <c r="B202" s="37" t="s">
        <v>1125</v>
      </c>
      <c r="C202" s="37" t="s">
        <v>145</v>
      </c>
      <c r="D202" s="37" t="s">
        <v>62</v>
      </c>
      <c r="E202" s="37" t="s">
        <v>47</v>
      </c>
      <c r="F202" s="37" t="s">
        <v>246</v>
      </c>
      <c r="G202" s="37" t="s">
        <v>619</v>
      </c>
      <c r="H202" s="37" t="s">
        <v>1282</v>
      </c>
      <c r="I202" s="37" t="s">
        <v>30</v>
      </c>
      <c r="J202" s="37" t="s">
        <v>39</v>
      </c>
      <c r="K202" s="37" t="s">
        <v>980</v>
      </c>
      <c r="L202" s="37" t="s">
        <v>620</v>
      </c>
      <c r="M202" s="37" t="s">
        <v>1069</v>
      </c>
      <c r="N202" s="37" t="s">
        <v>1094</v>
      </c>
      <c r="O202" s="37" t="s">
        <v>891</v>
      </c>
      <c r="P202" s="37" t="s">
        <v>962</v>
      </c>
      <c r="Q202" s="37" t="s">
        <v>1283</v>
      </c>
      <c r="R202" s="37" t="s">
        <v>962</v>
      </c>
      <c r="S202" s="37" t="s">
        <v>87</v>
      </c>
    </row>
    <row r="203" customFormat="false" ht="15" hidden="false" customHeight="false" outlineLevel="0" collapsed="false">
      <c r="A203" s="37" t="s">
        <v>621</v>
      </c>
      <c r="B203" s="37" t="s">
        <v>981</v>
      </c>
      <c r="C203" s="37" t="s">
        <v>145</v>
      </c>
      <c r="D203" s="37" t="s">
        <v>62</v>
      </c>
      <c r="E203" s="37" t="s">
        <v>47</v>
      </c>
      <c r="F203" s="37" t="s">
        <v>149</v>
      </c>
      <c r="G203" s="37" t="s">
        <v>598</v>
      </c>
      <c r="H203" s="37" t="s">
        <v>1284</v>
      </c>
      <c r="I203" s="37" t="s">
        <v>30</v>
      </c>
      <c r="J203" s="37" t="s">
        <v>39</v>
      </c>
      <c r="K203" s="37" t="s">
        <v>1080</v>
      </c>
      <c r="L203" s="37" t="s">
        <v>622</v>
      </c>
      <c r="M203" s="37" t="s">
        <v>897</v>
      </c>
      <c r="N203" s="37" t="s">
        <v>969</v>
      </c>
      <c r="O203" s="37" t="s">
        <v>891</v>
      </c>
      <c r="P203" s="37" t="s">
        <v>928</v>
      </c>
      <c r="Q203" s="37" t="s">
        <v>1120</v>
      </c>
      <c r="R203" s="37" t="s">
        <v>1083</v>
      </c>
      <c r="S203" s="37" t="s">
        <v>87</v>
      </c>
    </row>
    <row r="204" customFormat="false" ht="15" hidden="false" customHeight="false" outlineLevel="0" collapsed="false">
      <c r="A204" s="37" t="s">
        <v>623</v>
      </c>
      <c r="B204" s="37" t="s">
        <v>1175</v>
      </c>
      <c r="C204" s="37" t="s">
        <v>145</v>
      </c>
      <c r="D204" s="37" t="s">
        <v>67</v>
      </c>
      <c r="E204" s="37" t="s">
        <v>47</v>
      </c>
      <c r="F204" s="37" t="s">
        <v>135</v>
      </c>
      <c r="G204" s="37" t="s">
        <v>178</v>
      </c>
      <c r="H204" s="37" t="s">
        <v>1285</v>
      </c>
      <c r="I204" s="37" t="s">
        <v>26</v>
      </c>
      <c r="J204" s="37" t="s">
        <v>37</v>
      </c>
      <c r="K204" s="37" t="s">
        <v>1286</v>
      </c>
      <c r="L204" s="37" t="s">
        <v>624</v>
      </c>
      <c r="M204" s="37" t="s">
        <v>897</v>
      </c>
      <c r="N204" s="37" t="s">
        <v>1111</v>
      </c>
      <c r="O204" s="37" t="s">
        <v>891</v>
      </c>
      <c r="P204" s="37" t="s">
        <v>928</v>
      </c>
      <c r="Q204" s="37" t="s">
        <v>934</v>
      </c>
      <c r="R204" s="37" t="s">
        <v>1046</v>
      </c>
      <c r="S204" s="37" t="s">
        <v>87</v>
      </c>
    </row>
    <row r="205" customFormat="false" ht="15" hidden="false" customHeight="false" outlineLevel="0" collapsed="false">
      <c r="A205" s="37" t="s">
        <v>625</v>
      </c>
      <c r="B205" s="37" t="s">
        <v>1263</v>
      </c>
      <c r="C205" s="37" t="s">
        <v>1067</v>
      </c>
      <c r="D205" s="37" t="s">
        <v>69</v>
      </c>
      <c r="E205" s="37" t="s">
        <v>48</v>
      </c>
      <c r="F205" s="37" t="s">
        <v>135</v>
      </c>
      <c r="G205" s="37" t="s">
        <v>169</v>
      </c>
      <c r="H205" s="37" t="s">
        <v>1287</v>
      </c>
      <c r="I205" s="37" t="s">
        <v>25</v>
      </c>
      <c r="J205" s="37" t="s">
        <v>40</v>
      </c>
      <c r="K205" s="37" t="s">
        <v>1001</v>
      </c>
      <c r="L205" s="37" t="s">
        <v>626</v>
      </c>
      <c r="M205" s="37" t="s">
        <v>907</v>
      </c>
      <c r="N205" s="37" t="s">
        <v>910</v>
      </c>
      <c r="O205" s="37" t="s">
        <v>899</v>
      </c>
      <c r="P205" s="37" t="s">
        <v>892</v>
      </c>
      <c r="Q205" s="37" t="s">
        <v>937</v>
      </c>
      <c r="R205" s="37" t="s">
        <v>1116</v>
      </c>
      <c r="S205" s="37" t="s">
        <v>87</v>
      </c>
    </row>
    <row r="206" customFormat="false" ht="15" hidden="false" customHeight="false" outlineLevel="0" collapsed="false">
      <c r="A206" s="37" t="s">
        <v>627</v>
      </c>
      <c r="B206" s="37" t="s">
        <v>1288</v>
      </c>
      <c r="C206" s="37" t="s">
        <v>134</v>
      </c>
      <c r="D206" s="37" t="s">
        <v>156</v>
      </c>
      <c r="E206" s="37" t="s">
        <v>48</v>
      </c>
      <c r="F206" s="37" t="s">
        <v>1289</v>
      </c>
      <c r="G206" s="37" t="s">
        <v>628</v>
      </c>
      <c r="H206" s="37" t="s">
        <v>1290</v>
      </c>
      <c r="I206" s="37" t="s">
        <v>29</v>
      </c>
      <c r="J206" s="37" t="s">
        <v>37</v>
      </c>
      <c r="K206" s="37" t="s">
        <v>1080</v>
      </c>
      <c r="L206" s="37" t="s">
        <v>629</v>
      </c>
      <c r="M206" s="37" t="s">
        <v>897</v>
      </c>
      <c r="N206" s="37" t="s">
        <v>1026</v>
      </c>
      <c r="O206" s="37" t="s">
        <v>899</v>
      </c>
      <c r="P206" s="37" t="s">
        <v>899</v>
      </c>
      <c r="Q206" s="37" t="s">
        <v>1021</v>
      </c>
      <c r="R206" s="37" t="s">
        <v>988</v>
      </c>
      <c r="S206" s="37" t="s">
        <v>89</v>
      </c>
    </row>
    <row r="207" customFormat="false" ht="15" hidden="false" customHeight="false" outlineLevel="0" collapsed="false">
      <c r="A207" s="37" t="s">
        <v>630</v>
      </c>
      <c r="B207" s="37" t="s">
        <v>1232</v>
      </c>
      <c r="C207" s="37" t="s">
        <v>944</v>
      </c>
      <c r="D207" s="37" t="s">
        <v>63</v>
      </c>
      <c r="E207" s="37" t="s">
        <v>48</v>
      </c>
      <c r="F207" s="37" t="s">
        <v>139</v>
      </c>
      <c r="G207" s="37" t="s">
        <v>136</v>
      </c>
      <c r="H207" s="37" t="s">
        <v>1291</v>
      </c>
      <c r="I207" s="37" t="s">
        <v>28</v>
      </c>
      <c r="J207" s="37" t="s">
        <v>44</v>
      </c>
      <c r="K207" s="37" t="s">
        <v>953</v>
      </c>
      <c r="L207" s="37" t="s">
        <v>631</v>
      </c>
      <c r="M207" s="37" t="s">
        <v>907</v>
      </c>
      <c r="N207" s="37" t="s">
        <v>1013</v>
      </c>
      <c r="O207" s="37" t="s">
        <v>891</v>
      </c>
      <c r="P207" s="37" t="s">
        <v>892</v>
      </c>
      <c r="Q207" s="37"/>
      <c r="R207" s="37" t="s">
        <v>1014</v>
      </c>
      <c r="S207" s="37" t="s">
        <v>87</v>
      </c>
    </row>
    <row r="208" customFormat="false" ht="15" hidden="false" customHeight="false" outlineLevel="0" collapsed="false">
      <c r="A208" s="37" t="s">
        <v>632</v>
      </c>
      <c r="B208" s="37" t="s">
        <v>903</v>
      </c>
      <c r="C208" s="37" t="s">
        <v>134</v>
      </c>
      <c r="D208" s="37" t="s">
        <v>62</v>
      </c>
      <c r="E208" s="37" t="s">
        <v>47</v>
      </c>
      <c r="F208" s="37" t="s">
        <v>149</v>
      </c>
      <c r="G208" s="37" t="s">
        <v>633</v>
      </c>
      <c r="H208" s="37" t="s">
        <v>1292</v>
      </c>
      <c r="I208" s="37" t="s">
        <v>952</v>
      </c>
      <c r="J208" s="37" t="s">
        <v>40</v>
      </c>
      <c r="K208" s="37" t="s">
        <v>915</v>
      </c>
      <c r="L208" s="37" t="s">
        <v>635</v>
      </c>
      <c r="M208" s="37" t="s">
        <v>897</v>
      </c>
      <c r="N208" s="37" t="s">
        <v>966</v>
      </c>
      <c r="O208" s="37" t="s">
        <v>891</v>
      </c>
      <c r="P208" s="37" t="s">
        <v>892</v>
      </c>
      <c r="Q208" s="37" t="s">
        <v>917</v>
      </c>
      <c r="R208" s="37" t="s">
        <v>892</v>
      </c>
      <c r="S208" s="37" t="s">
        <v>87</v>
      </c>
    </row>
    <row r="209" customFormat="false" ht="15" hidden="false" customHeight="false" outlineLevel="0" collapsed="false">
      <c r="A209" s="37" t="s">
        <v>636</v>
      </c>
      <c r="B209" s="37"/>
      <c r="C209" s="37" t="s">
        <v>145</v>
      </c>
      <c r="D209" s="37" t="s">
        <v>63</v>
      </c>
      <c r="E209" s="37" t="s">
        <v>48</v>
      </c>
      <c r="F209" s="37" t="s">
        <v>139</v>
      </c>
      <c r="G209" s="37"/>
      <c r="H209" s="37"/>
      <c r="I209" s="37"/>
      <c r="J209" s="37" t="s">
        <v>38</v>
      </c>
      <c r="K209" s="37" t="s">
        <v>1050</v>
      </c>
      <c r="L209" s="37" t="s">
        <v>637</v>
      </c>
      <c r="M209" s="37" t="s">
        <v>887</v>
      </c>
      <c r="N209" s="37" t="s">
        <v>916</v>
      </c>
      <c r="O209" s="37" t="s">
        <v>899</v>
      </c>
      <c r="P209" s="37" t="s">
        <v>892</v>
      </c>
      <c r="Q209" s="37" t="s">
        <v>910</v>
      </c>
      <c r="R209" s="37" t="s">
        <v>1060</v>
      </c>
      <c r="S209" s="37" t="s">
        <v>87</v>
      </c>
    </row>
    <row r="210" customFormat="false" ht="15" hidden="false" customHeight="false" outlineLevel="0" collapsed="false">
      <c r="A210" s="37" t="s">
        <v>638</v>
      </c>
      <c r="B210" s="37" t="s">
        <v>931</v>
      </c>
      <c r="C210" s="37" t="s">
        <v>145</v>
      </c>
      <c r="D210" s="37" t="s">
        <v>64</v>
      </c>
      <c r="E210" s="37" t="s">
        <v>47</v>
      </c>
      <c r="F210" s="37" t="s">
        <v>149</v>
      </c>
      <c r="G210" s="37" t="s">
        <v>189</v>
      </c>
      <c r="H210" s="37" t="s">
        <v>1293</v>
      </c>
      <c r="I210" s="37" t="s">
        <v>29</v>
      </c>
      <c r="J210" s="37" t="s">
        <v>38</v>
      </c>
      <c r="K210" s="37" t="s">
        <v>927</v>
      </c>
      <c r="L210" s="37" t="s">
        <v>639</v>
      </c>
      <c r="M210" s="37" t="s">
        <v>1125</v>
      </c>
      <c r="N210" s="37" t="s">
        <v>1120</v>
      </c>
      <c r="O210" s="37" t="s">
        <v>891</v>
      </c>
      <c r="P210" s="37" t="s">
        <v>928</v>
      </c>
      <c r="Q210" s="37" t="s">
        <v>1036</v>
      </c>
      <c r="R210" s="37" t="s">
        <v>1112</v>
      </c>
      <c r="S210" s="37" t="s">
        <v>88</v>
      </c>
    </row>
    <row r="211" customFormat="false" ht="15" hidden="false" customHeight="false" outlineLevel="0" collapsed="false">
      <c r="A211" s="37" t="s">
        <v>640</v>
      </c>
      <c r="B211" s="37" t="s">
        <v>981</v>
      </c>
      <c r="C211" s="37" t="s">
        <v>134</v>
      </c>
      <c r="D211" s="37" t="s">
        <v>156</v>
      </c>
      <c r="E211" s="37" t="s">
        <v>48</v>
      </c>
      <c r="F211" s="37" t="s">
        <v>139</v>
      </c>
      <c r="G211" s="37" t="s">
        <v>641</v>
      </c>
      <c r="H211" s="37" t="s">
        <v>1294</v>
      </c>
      <c r="I211" s="37" t="s">
        <v>27</v>
      </c>
      <c r="J211" s="37" t="s">
        <v>37</v>
      </c>
      <c r="K211" s="37" t="s">
        <v>1036</v>
      </c>
      <c r="L211" s="37" t="s">
        <v>642</v>
      </c>
      <c r="M211" s="37" t="s">
        <v>907</v>
      </c>
      <c r="N211" s="37" t="s">
        <v>1085</v>
      </c>
      <c r="O211" s="37" t="s">
        <v>899</v>
      </c>
      <c r="P211" s="37" t="s">
        <v>892</v>
      </c>
      <c r="Q211" s="37" t="s">
        <v>1105</v>
      </c>
      <c r="R211" s="37" t="s">
        <v>1083</v>
      </c>
      <c r="S211" s="37" t="s">
        <v>87</v>
      </c>
    </row>
    <row r="212" customFormat="false" ht="15" hidden="false" customHeight="false" outlineLevel="0" collapsed="false">
      <c r="A212" s="37" t="s">
        <v>643</v>
      </c>
      <c r="B212" s="37" t="s">
        <v>1169</v>
      </c>
      <c r="C212" s="37" t="s">
        <v>145</v>
      </c>
      <c r="D212" s="37" t="s">
        <v>66</v>
      </c>
      <c r="E212" s="37" t="s">
        <v>48</v>
      </c>
      <c r="F212" s="37" t="s">
        <v>246</v>
      </c>
      <c r="G212" s="37" t="s">
        <v>644</v>
      </c>
      <c r="H212" s="37" t="s">
        <v>1295</v>
      </c>
      <c r="I212" s="37" t="s">
        <v>28</v>
      </c>
      <c r="J212" s="37" t="s">
        <v>37</v>
      </c>
      <c r="K212" s="37" t="s">
        <v>961</v>
      </c>
      <c r="L212" s="37" t="s">
        <v>645</v>
      </c>
      <c r="M212" s="37"/>
      <c r="N212" s="37" t="s">
        <v>909</v>
      </c>
      <c r="O212" s="37" t="s">
        <v>909</v>
      </c>
      <c r="P212" s="37" t="s">
        <v>899</v>
      </c>
      <c r="Q212" s="37" t="s">
        <v>953</v>
      </c>
      <c r="R212" s="37" t="s">
        <v>1296</v>
      </c>
      <c r="S212" s="37" t="s">
        <v>89</v>
      </c>
    </row>
    <row r="213" customFormat="false" ht="15" hidden="false" customHeight="false" outlineLevel="0" collapsed="false">
      <c r="A213" s="37" t="s">
        <v>646</v>
      </c>
      <c r="B213" s="37" t="s">
        <v>963</v>
      </c>
      <c r="C213" s="37" t="s">
        <v>134</v>
      </c>
      <c r="D213" s="37" t="s">
        <v>64</v>
      </c>
      <c r="E213" s="37" t="s">
        <v>47</v>
      </c>
      <c r="F213" s="37" t="s">
        <v>160</v>
      </c>
      <c r="G213" s="37" t="s">
        <v>189</v>
      </c>
      <c r="H213" s="37" t="s">
        <v>897</v>
      </c>
      <c r="I213" s="37" t="s">
        <v>28</v>
      </c>
      <c r="J213" s="37" t="s">
        <v>38</v>
      </c>
      <c r="K213" s="37" t="s">
        <v>929</v>
      </c>
      <c r="L213" s="37" t="s">
        <v>647</v>
      </c>
      <c r="M213" s="37" t="s">
        <v>947</v>
      </c>
      <c r="N213" s="37" t="s">
        <v>896</v>
      </c>
      <c r="O213" s="37" t="s">
        <v>909</v>
      </c>
      <c r="P213" s="37" t="s">
        <v>891</v>
      </c>
      <c r="Q213" s="37" t="s">
        <v>935</v>
      </c>
      <c r="R213" s="37" t="s">
        <v>918</v>
      </c>
      <c r="S213" s="37" t="s">
        <v>89</v>
      </c>
    </row>
    <row r="214" customFormat="false" ht="15" hidden="false" customHeight="false" outlineLevel="0" collapsed="false">
      <c r="A214" s="37" t="s">
        <v>648</v>
      </c>
      <c r="B214" s="37" t="s">
        <v>970</v>
      </c>
      <c r="C214" s="37" t="s">
        <v>1067</v>
      </c>
      <c r="D214" s="37"/>
      <c r="E214" s="37" t="s">
        <v>48</v>
      </c>
      <c r="F214" s="37" t="s">
        <v>246</v>
      </c>
      <c r="G214" s="37" t="s">
        <v>649</v>
      </c>
      <c r="H214" s="37" t="s">
        <v>1297</v>
      </c>
      <c r="I214" s="37" t="s">
        <v>29</v>
      </c>
      <c r="J214" s="37" t="s">
        <v>44</v>
      </c>
      <c r="K214" s="37" t="s">
        <v>996</v>
      </c>
      <c r="L214" s="37" t="s">
        <v>650</v>
      </c>
      <c r="M214" s="37" t="s">
        <v>907</v>
      </c>
      <c r="N214" s="37" t="s">
        <v>997</v>
      </c>
      <c r="O214" s="37" t="s">
        <v>891</v>
      </c>
      <c r="P214" s="37" t="s">
        <v>891</v>
      </c>
      <c r="Q214" s="37"/>
      <c r="R214" s="37" t="s">
        <v>1046</v>
      </c>
      <c r="S214" s="37" t="s">
        <v>89</v>
      </c>
    </row>
    <row r="215" customFormat="false" ht="15" hidden="false" customHeight="false" outlineLevel="0" collapsed="false">
      <c r="A215" s="37" t="s">
        <v>651</v>
      </c>
      <c r="B215" s="37"/>
      <c r="C215" s="37" t="s">
        <v>134</v>
      </c>
      <c r="D215" s="37" t="s">
        <v>63</v>
      </c>
      <c r="E215" s="37" t="s">
        <v>48</v>
      </c>
      <c r="F215" s="37" t="s">
        <v>135</v>
      </c>
      <c r="G215" s="37" t="s">
        <v>652</v>
      </c>
      <c r="H215" s="37" t="s">
        <v>1298</v>
      </c>
      <c r="I215" s="37" t="s">
        <v>26</v>
      </c>
      <c r="J215" s="37" t="s">
        <v>38</v>
      </c>
      <c r="K215" s="37" t="s">
        <v>1111</v>
      </c>
      <c r="L215" s="37" t="s">
        <v>653</v>
      </c>
      <c r="M215" s="37" t="s">
        <v>907</v>
      </c>
      <c r="N215" s="37" t="s">
        <v>1087</v>
      </c>
      <c r="O215" s="37" t="s">
        <v>899</v>
      </c>
      <c r="P215" s="37" t="s">
        <v>917</v>
      </c>
      <c r="Q215" s="37" t="s">
        <v>987</v>
      </c>
      <c r="R215" s="37" t="s">
        <v>1136</v>
      </c>
      <c r="S215" s="37" t="s">
        <v>88</v>
      </c>
    </row>
    <row r="216" customFormat="false" ht="15" hidden="false" customHeight="false" outlineLevel="0" collapsed="false">
      <c r="A216" s="37" t="s">
        <v>654</v>
      </c>
      <c r="B216" s="37" t="s">
        <v>1190</v>
      </c>
      <c r="C216" s="37" t="s">
        <v>134</v>
      </c>
      <c r="D216" s="37" t="s">
        <v>62</v>
      </c>
      <c r="E216" s="37" t="s">
        <v>48</v>
      </c>
      <c r="F216" s="37" t="s">
        <v>195</v>
      </c>
      <c r="G216" s="37" t="s">
        <v>655</v>
      </c>
      <c r="H216" s="37" t="s">
        <v>1299</v>
      </c>
      <c r="I216" s="37" t="s">
        <v>30</v>
      </c>
      <c r="J216" s="37" t="s">
        <v>37</v>
      </c>
      <c r="K216" s="37" t="s">
        <v>1005</v>
      </c>
      <c r="L216" s="37" t="s">
        <v>656</v>
      </c>
      <c r="M216" s="37" t="s">
        <v>897</v>
      </c>
      <c r="N216" s="37" t="s">
        <v>1028</v>
      </c>
      <c r="O216" s="37" t="s">
        <v>899</v>
      </c>
      <c r="P216" s="37" t="s">
        <v>891</v>
      </c>
      <c r="Q216" s="37" t="s">
        <v>899</v>
      </c>
      <c r="R216" s="37" t="s">
        <v>988</v>
      </c>
      <c r="S216" s="37" t="s">
        <v>89</v>
      </c>
    </row>
    <row r="217" customFormat="false" ht="15" hidden="false" customHeight="false" outlineLevel="0" collapsed="false">
      <c r="A217" s="37" t="s">
        <v>657</v>
      </c>
      <c r="B217" s="37" t="s">
        <v>1300</v>
      </c>
      <c r="C217" s="37" t="s">
        <v>145</v>
      </c>
      <c r="D217" s="37" t="s">
        <v>62</v>
      </c>
      <c r="E217" s="37" t="s">
        <v>48</v>
      </c>
      <c r="F217" s="37" t="s">
        <v>135</v>
      </c>
      <c r="G217" s="37" t="s">
        <v>268</v>
      </c>
      <c r="H217" s="37" t="s">
        <v>1301</v>
      </c>
      <c r="I217" s="37" t="s">
        <v>31</v>
      </c>
      <c r="J217" s="37" t="s">
        <v>41</v>
      </c>
      <c r="K217" s="37" t="s">
        <v>890</v>
      </c>
      <c r="L217" s="37" t="s">
        <v>658</v>
      </c>
      <c r="M217" s="37" t="s">
        <v>1302</v>
      </c>
      <c r="N217" s="37" t="s">
        <v>1003</v>
      </c>
      <c r="O217" s="37" t="s">
        <v>899</v>
      </c>
      <c r="P217" s="37" t="s">
        <v>928</v>
      </c>
      <c r="Q217" s="37" t="s">
        <v>1014</v>
      </c>
      <c r="R217" s="37" t="s">
        <v>988</v>
      </c>
      <c r="S217" s="37" t="s">
        <v>88</v>
      </c>
    </row>
    <row r="218" customFormat="false" ht="15" hidden="false" customHeight="false" outlineLevel="0" collapsed="false">
      <c r="A218" s="37" t="s">
        <v>659</v>
      </c>
      <c r="B218" s="37" t="s">
        <v>1146</v>
      </c>
      <c r="C218" s="37" t="s">
        <v>145</v>
      </c>
      <c r="D218" s="37" t="s">
        <v>63</v>
      </c>
      <c r="E218" s="37" t="s">
        <v>47</v>
      </c>
      <c r="F218" s="37" t="s">
        <v>149</v>
      </c>
      <c r="G218" s="37" t="s">
        <v>150</v>
      </c>
      <c r="H218" s="37" t="s">
        <v>1303</v>
      </c>
      <c r="I218" s="37" t="s">
        <v>27</v>
      </c>
      <c r="J218" s="37" t="s">
        <v>39</v>
      </c>
      <c r="K218" s="37" t="s">
        <v>959</v>
      </c>
      <c r="L218" s="37" t="s">
        <v>660</v>
      </c>
      <c r="M218" s="37" t="s">
        <v>897</v>
      </c>
      <c r="N218" s="37" t="s">
        <v>1021</v>
      </c>
      <c r="O218" s="37" t="s">
        <v>899</v>
      </c>
      <c r="P218" s="37" t="s">
        <v>917</v>
      </c>
      <c r="Q218" s="37" t="s">
        <v>1063</v>
      </c>
      <c r="R218" s="37" t="s">
        <v>1013</v>
      </c>
      <c r="S218" s="37" t="s">
        <v>89</v>
      </c>
    </row>
    <row r="219" customFormat="false" ht="15" hidden="false" customHeight="false" outlineLevel="0" collapsed="false">
      <c r="A219" s="37" t="s">
        <v>661</v>
      </c>
      <c r="B219" s="37" t="s">
        <v>1031</v>
      </c>
      <c r="C219" s="37" t="s">
        <v>134</v>
      </c>
      <c r="D219" s="37" t="s">
        <v>67</v>
      </c>
      <c r="E219" s="37" t="s">
        <v>48</v>
      </c>
      <c r="F219" s="37" t="s">
        <v>195</v>
      </c>
      <c r="G219" s="37" t="s">
        <v>662</v>
      </c>
      <c r="H219" s="37" t="s">
        <v>1304</v>
      </c>
      <c r="I219" s="37" t="s">
        <v>25</v>
      </c>
      <c r="J219" s="37" t="s">
        <v>37</v>
      </c>
      <c r="K219" s="37" t="s">
        <v>980</v>
      </c>
      <c r="L219" s="37" t="s">
        <v>663</v>
      </c>
      <c r="M219" s="37"/>
      <c r="N219" s="37" t="s">
        <v>1013</v>
      </c>
      <c r="O219" s="37" t="s">
        <v>917</v>
      </c>
      <c r="P219" s="37" t="s">
        <v>947</v>
      </c>
      <c r="Q219" s="37" t="s">
        <v>930</v>
      </c>
      <c r="R219" s="37" t="s">
        <v>948</v>
      </c>
      <c r="S219" s="37" t="s">
        <v>88</v>
      </c>
    </row>
    <row r="220" customFormat="false" ht="15" hidden="false" customHeight="false" outlineLevel="0" collapsed="false">
      <c r="A220" s="37" t="s">
        <v>664</v>
      </c>
      <c r="B220" s="37"/>
      <c r="C220" s="37" t="s">
        <v>944</v>
      </c>
      <c r="D220" s="37" t="s">
        <v>70</v>
      </c>
      <c r="E220" s="37" t="s">
        <v>47</v>
      </c>
      <c r="F220" s="37" t="s">
        <v>149</v>
      </c>
      <c r="G220" s="37" t="s">
        <v>189</v>
      </c>
      <c r="H220" s="37" t="s">
        <v>1305</v>
      </c>
      <c r="I220" s="37" t="s">
        <v>28</v>
      </c>
      <c r="J220" s="37" t="s">
        <v>38</v>
      </c>
      <c r="K220" s="37" t="s">
        <v>915</v>
      </c>
      <c r="L220" s="37" t="s">
        <v>665</v>
      </c>
      <c r="M220" s="37" t="s">
        <v>907</v>
      </c>
      <c r="N220" s="37" t="s">
        <v>1032</v>
      </c>
      <c r="O220" s="37" t="s">
        <v>899</v>
      </c>
      <c r="P220" s="37" t="s">
        <v>928</v>
      </c>
      <c r="Q220" s="37" t="s">
        <v>929</v>
      </c>
      <c r="R220" s="37" t="s">
        <v>1022</v>
      </c>
      <c r="S220" s="37" t="s">
        <v>87</v>
      </c>
    </row>
    <row r="221" customFormat="false" ht="15" hidden="false" customHeight="false" outlineLevel="0" collapsed="false">
      <c r="A221" s="37" t="s">
        <v>666</v>
      </c>
      <c r="B221" s="37" t="s">
        <v>907</v>
      </c>
      <c r="C221" s="37" t="s">
        <v>134</v>
      </c>
      <c r="D221" s="37" t="s">
        <v>62</v>
      </c>
      <c r="E221" s="37" t="s">
        <v>47</v>
      </c>
      <c r="F221" s="37" t="s">
        <v>139</v>
      </c>
      <c r="G221" s="37" t="s">
        <v>427</v>
      </c>
      <c r="H221" s="37" t="s">
        <v>1306</v>
      </c>
      <c r="I221" s="37" t="s">
        <v>25</v>
      </c>
      <c r="J221" s="37" t="s">
        <v>39</v>
      </c>
      <c r="K221" s="37" t="s">
        <v>1013</v>
      </c>
      <c r="L221" s="37" t="s">
        <v>667</v>
      </c>
      <c r="M221" s="37" t="s">
        <v>897</v>
      </c>
      <c r="N221" s="37" t="s">
        <v>967</v>
      </c>
      <c r="O221" s="37" t="s">
        <v>909</v>
      </c>
      <c r="P221" s="37" t="s">
        <v>928</v>
      </c>
      <c r="Q221" s="37" t="s">
        <v>1307</v>
      </c>
      <c r="R221" s="37" t="s">
        <v>918</v>
      </c>
      <c r="S221" s="37" t="s">
        <v>89</v>
      </c>
    </row>
    <row r="222" customFormat="false" ht="15" hidden="false" customHeight="false" outlineLevel="0" collapsed="false">
      <c r="A222" s="37" t="s">
        <v>668</v>
      </c>
      <c r="B222" s="37"/>
      <c r="C222" s="37" t="s">
        <v>134</v>
      </c>
      <c r="D222" s="37" t="s">
        <v>67</v>
      </c>
      <c r="E222" s="37" t="s">
        <v>47</v>
      </c>
      <c r="F222" s="37" t="s">
        <v>139</v>
      </c>
      <c r="G222" s="37" t="s">
        <v>164</v>
      </c>
      <c r="H222" s="37" t="s">
        <v>1303</v>
      </c>
      <c r="I222" s="37" t="s">
        <v>28</v>
      </c>
      <c r="J222" s="37" t="s">
        <v>41</v>
      </c>
      <c r="K222" s="37" t="s">
        <v>994</v>
      </c>
      <c r="L222" s="37" t="s">
        <v>669</v>
      </c>
      <c r="M222" s="37" t="s">
        <v>1068</v>
      </c>
      <c r="N222" s="37" t="s">
        <v>987</v>
      </c>
      <c r="O222" s="37" t="s">
        <v>899</v>
      </c>
      <c r="P222" s="37" t="s">
        <v>928</v>
      </c>
      <c r="Q222" s="37" t="s">
        <v>1013</v>
      </c>
      <c r="R222" s="37" t="s">
        <v>1124</v>
      </c>
      <c r="S222" s="37" t="s">
        <v>87</v>
      </c>
    </row>
    <row r="223" customFormat="false" ht="15" hidden="false" customHeight="false" outlineLevel="0" collapsed="false">
      <c r="A223" s="37" t="s">
        <v>670</v>
      </c>
      <c r="B223" s="37" t="s">
        <v>955</v>
      </c>
      <c r="C223" s="37" t="s">
        <v>1030</v>
      </c>
      <c r="D223" s="37" t="s">
        <v>63</v>
      </c>
      <c r="E223" s="37" t="s">
        <v>47</v>
      </c>
      <c r="F223" s="37" t="s">
        <v>149</v>
      </c>
      <c r="G223" s="37" t="s">
        <v>293</v>
      </c>
      <c r="H223" s="37" t="s">
        <v>897</v>
      </c>
      <c r="I223" s="37" t="s">
        <v>25</v>
      </c>
      <c r="J223" s="37" t="s">
        <v>41</v>
      </c>
      <c r="K223" s="37" t="s">
        <v>1112</v>
      </c>
      <c r="L223" s="37" t="s">
        <v>671</v>
      </c>
      <c r="M223" s="37" t="s">
        <v>1308</v>
      </c>
      <c r="N223" s="37" t="s">
        <v>1036</v>
      </c>
      <c r="O223" s="37" t="s">
        <v>899</v>
      </c>
      <c r="P223" s="37" t="s">
        <v>917</v>
      </c>
      <c r="Q223" s="37" t="s">
        <v>1090</v>
      </c>
      <c r="R223" s="37" t="s">
        <v>896</v>
      </c>
      <c r="S223" s="37" t="s">
        <v>89</v>
      </c>
    </row>
    <row r="224" customFormat="false" ht="15" hidden="false" customHeight="false" outlineLevel="0" collapsed="false">
      <c r="A224" s="37" t="s">
        <v>672</v>
      </c>
      <c r="B224" s="37"/>
      <c r="C224" s="37" t="s">
        <v>145</v>
      </c>
      <c r="D224" s="37" t="s">
        <v>1309</v>
      </c>
      <c r="E224" s="37" t="s">
        <v>48</v>
      </c>
      <c r="F224" s="37" t="s">
        <v>135</v>
      </c>
      <c r="G224" s="37" t="s">
        <v>673</v>
      </c>
      <c r="H224" s="37" t="s">
        <v>1310</v>
      </c>
      <c r="I224" s="37" t="s">
        <v>26</v>
      </c>
      <c r="J224" s="37" t="s">
        <v>42</v>
      </c>
      <c r="K224" s="37" t="s">
        <v>1002</v>
      </c>
      <c r="L224" s="37" t="s">
        <v>674</v>
      </c>
      <c r="M224" s="37" t="s">
        <v>897</v>
      </c>
      <c r="N224" s="37" t="s">
        <v>916</v>
      </c>
      <c r="O224" s="37" t="s">
        <v>891</v>
      </c>
      <c r="P224" s="37" t="s">
        <v>917</v>
      </c>
      <c r="Q224" s="37" t="s">
        <v>1036</v>
      </c>
      <c r="R224" s="37" t="s">
        <v>911</v>
      </c>
      <c r="S224" s="37" t="s">
        <v>88</v>
      </c>
    </row>
    <row r="225" customFormat="false" ht="15" hidden="false" customHeight="false" outlineLevel="0" collapsed="false">
      <c r="A225" s="37" t="s">
        <v>675</v>
      </c>
      <c r="B225" s="37" t="s">
        <v>1017</v>
      </c>
      <c r="C225" s="37" t="s">
        <v>145</v>
      </c>
      <c r="D225" s="37" t="s">
        <v>67</v>
      </c>
      <c r="E225" s="37" t="s">
        <v>48</v>
      </c>
      <c r="F225" s="37" t="s">
        <v>195</v>
      </c>
      <c r="G225" s="37" t="s">
        <v>676</v>
      </c>
      <c r="H225" s="37" t="s">
        <v>1311</v>
      </c>
      <c r="I225" s="37" t="s">
        <v>26</v>
      </c>
      <c r="J225" s="37" t="s">
        <v>44</v>
      </c>
      <c r="K225" s="37" t="s">
        <v>1087</v>
      </c>
      <c r="L225" s="37" t="s">
        <v>677</v>
      </c>
      <c r="M225" s="37" t="s">
        <v>897</v>
      </c>
      <c r="N225" s="37" t="s">
        <v>1112</v>
      </c>
      <c r="O225" s="37" t="s">
        <v>899</v>
      </c>
      <c r="P225" s="37" t="s">
        <v>928</v>
      </c>
      <c r="Q225" s="37" t="s">
        <v>916</v>
      </c>
      <c r="R225" s="37" t="s">
        <v>947</v>
      </c>
      <c r="S225" s="37" t="s">
        <v>87</v>
      </c>
    </row>
    <row r="226" customFormat="false" ht="15" hidden="false" customHeight="false" outlineLevel="0" collapsed="false">
      <c r="A226" s="37" t="s">
        <v>678</v>
      </c>
      <c r="B226" s="37" t="s">
        <v>1075</v>
      </c>
      <c r="C226" s="37" t="s">
        <v>145</v>
      </c>
      <c r="D226" s="37" t="s">
        <v>65</v>
      </c>
      <c r="E226" s="37" t="s">
        <v>48</v>
      </c>
      <c r="F226" s="37" t="s">
        <v>139</v>
      </c>
      <c r="G226" s="37" t="s">
        <v>250</v>
      </c>
      <c r="H226" s="37" t="s">
        <v>1312</v>
      </c>
      <c r="I226" s="37" t="s">
        <v>25</v>
      </c>
      <c r="J226" s="37" t="s">
        <v>38</v>
      </c>
      <c r="K226" s="37" t="s">
        <v>1094</v>
      </c>
      <c r="L226" s="37" t="s">
        <v>679</v>
      </c>
      <c r="M226" s="37" t="s">
        <v>897</v>
      </c>
      <c r="N226" s="37" t="s">
        <v>987</v>
      </c>
      <c r="O226" s="37" t="s">
        <v>899</v>
      </c>
      <c r="P226" s="37" t="s">
        <v>892</v>
      </c>
      <c r="Q226" s="37" t="s">
        <v>937</v>
      </c>
      <c r="R226" s="37" t="s">
        <v>1105</v>
      </c>
      <c r="S226" s="37" t="s">
        <v>87</v>
      </c>
    </row>
    <row r="227" customFormat="false" ht="15" hidden="false" customHeight="false" outlineLevel="0" collapsed="false">
      <c r="A227" s="37" t="s">
        <v>680</v>
      </c>
      <c r="B227" s="37" t="s">
        <v>1075</v>
      </c>
      <c r="C227" s="37" t="s">
        <v>134</v>
      </c>
      <c r="D227" s="37" t="s">
        <v>71</v>
      </c>
      <c r="E227" s="37" t="s">
        <v>48</v>
      </c>
      <c r="F227" s="37" t="s">
        <v>1289</v>
      </c>
      <c r="G227" s="37" t="s">
        <v>452</v>
      </c>
      <c r="H227" s="37"/>
      <c r="I227" s="37" t="s">
        <v>27</v>
      </c>
      <c r="J227" s="37" t="s">
        <v>41</v>
      </c>
      <c r="K227" s="37" t="s">
        <v>980</v>
      </c>
      <c r="L227" s="37" t="s">
        <v>681</v>
      </c>
      <c r="M227" s="37" t="s">
        <v>897</v>
      </c>
      <c r="N227" s="37" t="s">
        <v>969</v>
      </c>
      <c r="O227" s="37" t="s">
        <v>909</v>
      </c>
      <c r="P227" s="37" t="s">
        <v>917</v>
      </c>
      <c r="Q227" s="37" t="s">
        <v>928</v>
      </c>
      <c r="R227" s="37" t="s">
        <v>948</v>
      </c>
      <c r="S227" s="37" t="s">
        <v>89</v>
      </c>
    </row>
    <row r="228" customFormat="false" ht="15" hidden="false" customHeight="false" outlineLevel="0" collapsed="false">
      <c r="A228" s="37" t="s">
        <v>682</v>
      </c>
      <c r="B228" s="37" t="s">
        <v>1118</v>
      </c>
      <c r="C228" s="37" t="s">
        <v>145</v>
      </c>
      <c r="D228" s="37" t="s">
        <v>64</v>
      </c>
      <c r="E228" s="37" t="s">
        <v>48</v>
      </c>
      <c r="F228" s="37" t="s">
        <v>195</v>
      </c>
      <c r="G228" s="37" t="s">
        <v>175</v>
      </c>
      <c r="H228" s="37" t="s">
        <v>1313</v>
      </c>
      <c r="I228" s="37" t="s">
        <v>27</v>
      </c>
      <c r="J228" s="37" t="s">
        <v>37</v>
      </c>
      <c r="K228" s="37" t="s">
        <v>1009</v>
      </c>
      <c r="L228" s="37" t="s">
        <v>683</v>
      </c>
      <c r="M228" s="37" t="s">
        <v>897</v>
      </c>
      <c r="N228" s="37" t="s">
        <v>894</v>
      </c>
      <c r="O228" s="37" t="s">
        <v>891</v>
      </c>
      <c r="P228" s="37" t="s">
        <v>892</v>
      </c>
      <c r="Q228" s="37" t="s">
        <v>896</v>
      </c>
      <c r="R228" s="37" t="s">
        <v>1060</v>
      </c>
      <c r="S228" s="37" t="s">
        <v>87</v>
      </c>
    </row>
    <row r="229" customFormat="false" ht="15" hidden="false" customHeight="false" outlineLevel="0" collapsed="false">
      <c r="A229" s="37" t="s">
        <v>684</v>
      </c>
      <c r="B229" s="37" t="s">
        <v>1263</v>
      </c>
      <c r="C229" s="37" t="s">
        <v>1138</v>
      </c>
      <c r="D229" s="37" t="s">
        <v>65</v>
      </c>
      <c r="E229" s="37" t="s">
        <v>48</v>
      </c>
      <c r="F229" s="37" t="s">
        <v>139</v>
      </c>
      <c r="G229" s="37" t="s">
        <v>685</v>
      </c>
      <c r="H229" s="37" t="s">
        <v>1314</v>
      </c>
      <c r="I229" s="37" t="s">
        <v>25</v>
      </c>
      <c r="J229" s="37" t="s">
        <v>41</v>
      </c>
      <c r="K229" s="37" t="s">
        <v>1150</v>
      </c>
      <c r="L229" s="37" t="s">
        <v>686</v>
      </c>
      <c r="M229" s="37" t="s">
        <v>947</v>
      </c>
      <c r="N229" s="37" t="s">
        <v>1120</v>
      </c>
      <c r="O229" s="37" t="s">
        <v>899</v>
      </c>
      <c r="P229" s="37" t="s">
        <v>891</v>
      </c>
      <c r="Q229" s="37" t="s">
        <v>1045</v>
      </c>
      <c r="R229" s="37" t="s">
        <v>988</v>
      </c>
      <c r="S229" s="37" t="s">
        <v>89</v>
      </c>
    </row>
    <row r="230" customFormat="false" ht="15" hidden="false" customHeight="false" outlineLevel="0" collapsed="false">
      <c r="A230" s="37" t="s">
        <v>687</v>
      </c>
      <c r="B230" s="37" t="s">
        <v>920</v>
      </c>
      <c r="C230" s="37" t="s">
        <v>992</v>
      </c>
      <c r="D230" s="37" t="s">
        <v>65</v>
      </c>
      <c r="E230" s="37" t="s">
        <v>47</v>
      </c>
      <c r="F230" s="37" t="s">
        <v>149</v>
      </c>
      <c r="G230" s="37" t="s">
        <v>189</v>
      </c>
      <c r="H230" s="37" t="s">
        <v>1202</v>
      </c>
      <c r="I230" s="37" t="s">
        <v>25</v>
      </c>
      <c r="J230" s="37" t="s">
        <v>38</v>
      </c>
      <c r="K230" s="37" t="s">
        <v>1091</v>
      </c>
      <c r="L230" s="37" t="s">
        <v>688</v>
      </c>
      <c r="M230" s="37" t="s">
        <v>897</v>
      </c>
      <c r="N230" s="37" t="s">
        <v>1071</v>
      </c>
      <c r="O230" s="37" t="s">
        <v>899</v>
      </c>
      <c r="P230" s="37" t="s">
        <v>962</v>
      </c>
      <c r="Q230" s="37" t="s">
        <v>947</v>
      </c>
      <c r="R230" s="37" t="s">
        <v>894</v>
      </c>
      <c r="S230" s="37" t="s">
        <v>87</v>
      </c>
    </row>
    <row r="231" customFormat="false" ht="15" hidden="false" customHeight="false" outlineLevel="0" collapsed="false">
      <c r="A231" s="37" t="s">
        <v>689</v>
      </c>
      <c r="B231" s="37" t="s">
        <v>963</v>
      </c>
      <c r="C231" s="37" t="s">
        <v>145</v>
      </c>
      <c r="D231" s="37" t="s">
        <v>68</v>
      </c>
      <c r="E231" s="37" t="s">
        <v>47</v>
      </c>
      <c r="F231" s="37" t="s">
        <v>139</v>
      </c>
      <c r="G231" s="37" t="s">
        <v>690</v>
      </c>
      <c r="H231" s="37" t="s">
        <v>1315</v>
      </c>
      <c r="I231" s="37" t="s">
        <v>25</v>
      </c>
      <c r="J231" s="37" t="s">
        <v>40</v>
      </c>
      <c r="K231" s="37" t="s">
        <v>1001</v>
      </c>
      <c r="L231" s="37" t="s">
        <v>691</v>
      </c>
      <c r="M231" s="37" t="s">
        <v>947</v>
      </c>
      <c r="N231" s="37" t="s">
        <v>980</v>
      </c>
      <c r="O231" s="37" t="s">
        <v>899</v>
      </c>
      <c r="P231" s="37" t="s">
        <v>917</v>
      </c>
      <c r="Q231" s="37" t="s">
        <v>1112</v>
      </c>
      <c r="R231" s="37" t="s">
        <v>937</v>
      </c>
      <c r="S231" s="37" t="s">
        <v>89</v>
      </c>
    </row>
    <row r="232" customFormat="false" ht="15" hidden="false" customHeight="false" outlineLevel="0" collapsed="false">
      <c r="A232" s="37" t="s">
        <v>692</v>
      </c>
      <c r="B232" s="37" t="s">
        <v>1178</v>
      </c>
      <c r="C232" s="37" t="s">
        <v>145</v>
      </c>
      <c r="D232" s="37" t="s">
        <v>63</v>
      </c>
      <c r="E232" s="37" t="s">
        <v>47</v>
      </c>
      <c r="F232" s="37" t="s">
        <v>135</v>
      </c>
      <c r="G232" s="37" t="s">
        <v>449</v>
      </c>
      <c r="H232" s="37" t="s">
        <v>1316</v>
      </c>
      <c r="I232" s="37" t="s">
        <v>29</v>
      </c>
      <c r="J232" s="37" t="s">
        <v>37</v>
      </c>
      <c r="K232" s="37" t="s">
        <v>927</v>
      </c>
      <c r="L232" s="37" t="s">
        <v>693</v>
      </c>
      <c r="M232" s="37" t="s">
        <v>907</v>
      </c>
      <c r="N232" s="37" t="s">
        <v>891</v>
      </c>
      <c r="O232" s="37" t="s">
        <v>899</v>
      </c>
      <c r="P232" s="37" t="s">
        <v>928</v>
      </c>
      <c r="Q232" s="37" t="s">
        <v>1087</v>
      </c>
      <c r="R232" s="37" t="s">
        <v>1094</v>
      </c>
      <c r="S232" s="37" t="s">
        <v>89</v>
      </c>
    </row>
    <row r="233" customFormat="false" ht="15" hidden="false" customHeight="false" outlineLevel="0" collapsed="false">
      <c r="A233" s="37" t="s">
        <v>694</v>
      </c>
      <c r="B233" s="37" t="s">
        <v>955</v>
      </c>
      <c r="C233" s="37" t="s">
        <v>145</v>
      </c>
      <c r="D233" s="37" t="s">
        <v>62</v>
      </c>
      <c r="E233" s="37" t="s">
        <v>47</v>
      </c>
      <c r="F233" s="37" t="s">
        <v>149</v>
      </c>
      <c r="G233" s="37" t="s">
        <v>440</v>
      </c>
      <c r="H233" s="37" t="s">
        <v>897</v>
      </c>
      <c r="I233" s="37" t="s">
        <v>27</v>
      </c>
      <c r="J233" s="37" t="s">
        <v>41</v>
      </c>
      <c r="K233" s="37" t="s">
        <v>1007</v>
      </c>
      <c r="L233" s="37" t="s">
        <v>696</v>
      </c>
      <c r="M233" s="37" t="s">
        <v>887</v>
      </c>
      <c r="N233" s="37" t="s">
        <v>980</v>
      </c>
      <c r="O233" s="37" t="s">
        <v>891</v>
      </c>
      <c r="P233" s="37" t="s">
        <v>928</v>
      </c>
      <c r="Q233" s="37" t="s">
        <v>1112</v>
      </c>
      <c r="R233" s="37" t="s">
        <v>1317</v>
      </c>
      <c r="S233" s="37" t="s">
        <v>89</v>
      </c>
    </row>
    <row r="234" customFormat="false" ht="15" hidden="false" customHeight="false" outlineLevel="0" collapsed="false">
      <c r="A234" s="37" t="s">
        <v>697</v>
      </c>
      <c r="B234" s="37"/>
      <c r="C234" s="37" t="s">
        <v>134</v>
      </c>
      <c r="D234" s="37" t="s">
        <v>66</v>
      </c>
      <c r="E234" s="37" t="s">
        <v>48</v>
      </c>
      <c r="F234" s="37" t="s">
        <v>195</v>
      </c>
      <c r="G234" s="37" t="s">
        <v>250</v>
      </c>
      <c r="H234" s="37" t="s">
        <v>1318</v>
      </c>
      <c r="I234" s="37" t="s">
        <v>29</v>
      </c>
      <c r="J234" s="37" t="s">
        <v>38</v>
      </c>
      <c r="K234" s="37" t="s">
        <v>1009</v>
      </c>
      <c r="L234" s="37" t="s">
        <v>698</v>
      </c>
      <c r="M234" s="37" t="s">
        <v>907</v>
      </c>
      <c r="N234" s="37" t="s">
        <v>966</v>
      </c>
      <c r="O234" s="37" t="s">
        <v>917</v>
      </c>
      <c r="P234" s="37" t="s">
        <v>900</v>
      </c>
      <c r="Q234" s="37" t="s">
        <v>1159</v>
      </c>
      <c r="R234" s="37" t="s">
        <v>1003</v>
      </c>
      <c r="S234" s="37" t="s">
        <v>87</v>
      </c>
    </row>
    <row r="235" customFormat="false" ht="15" hidden="false" customHeight="false" outlineLevel="0" collapsed="false">
      <c r="A235" s="37" t="s">
        <v>699</v>
      </c>
      <c r="B235" s="37"/>
      <c r="C235" s="37" t="s">
        <v>134</v>
      </c>
      <c r="D235" s="37" t="s">
        <v>64</v>
      </c>
      <c r="E235" s="37" t="s">
        <v>48</v>
      </c>
      <c r="F235" s="37" t="s">
        <v>1319</v>
      </c>
      <c r="G235" s="37" t="s">
        <v>500</v>
      </c>
      <c r="H235" s="37" t="s">
        <v>1320</v>
      </c>
      <c r="I235" s="37" t="s">
        <v>25</v>
      </c>
      <c r="J235" s="37" t="s">
        <v>37</v>
      </c>
      <c r="K235" s="37" t="s">
        <v>896</v>
      </c>
      <c r="L235" s="37" t="s">
        <v>700</v>
      </c>
      <c r="M235" s="37" t="s">
        <v>897</v>
      </c>
      <c r="N235" s="37" t="s">
        <v>911</v>
      </c>
      <c r="O235" s="37" t="s">
        <v>909</v>
      </c>
      <c r="P235" s="37" t="s">
        <v>917</v>
      </c>
      <c r="Q235" s="37" t="s">
        <v>1321</v>
      </c>
      <c r="R235" s="37" t="s">
        <v>935</v>
      </c>
      <c r="S235" s="37" t="s">
        <v>88</v>
      </c>
    </row>
    <row r="236" customFormat="false" ht="15" hidden="false" customHeight="false" outlineLevel="0" collapsed="false">
      <c r="A236" s="37" t="s">
        <v>701</v>
      </c>
      <c r="B236" s="37" t="s">
        <v>1190</v>
      </c>
      <c r="C236" s="37" t="s">
        <v>134</v>
      </c>
      <c r="D236" s="37" t="s">
        <v>65</v>
      </c>
      <c r="E236" s="37" t="s">
        <v>48</v>
      </c>
      <c r="F236" s="37" t="s">
        <v>160</v>
      </c>
      <c r="G236" s="37" t="s">
        <v>702</v>
      </c>
      <c r="H236" s="37" t="s">
        <v>1322</v>
      </c>
      <c r="I236" s="37" t="s">
        <v>28</v>
      </c>
      <c r="J236" s="37" t="s">
        <v>41</v>
      </c>
      <c r="K236" s="37" t="s">
        <v>1010</v>
      </c>
      <c r="L236" s="37" t="s">
        <v>703</v>
      </c>
      <c r="M236" s="37" t="s">
        <v>897</v>
      </c>
      <c r="N236" s="37" t="s">
        <v>916</v>
      </c>
      <c r="O236" s="37" t="s">
        <v>917</v>
      </c>
      <c r="P236" s="37" t="s">
        <v>962</v>
      </c>
      <c r="Q236" s="37" t="s">
        <v>1323</v>
      </c>
      <c r="R236" s="37" t="s">
        <v>930</v>
      </c>
      <c r="S236" s="37" t="s">
        <v>87</v>
      </c>
    </row>
    <row r="237" customFormat="false" ht="15" hidden="false" customHeight="false" outlineLevel="0" collapsed="false">
      <c r="A237" s="37" t="s">
        <v>358</v>
      </c>
      <c r="B237" s="37" t="s">
        <v>887</v>
      </c>
      <c r="C237" s="37" t="s">
        <v>134</v>
      </c>
      <c r="D237" s="37" t="s">
        <v>68</v>
      </c>
      <c r="E237" s="37" t="s">
        <v>48</v>
      </c>
      <c r="F237" s="37" t="s">
        <v>1142</v>
      </c>
      <c r="G237" s="37" t="s">
        <v>240</v>
      </c>
      <c r="H237" s="37" t="s">
        <v>1143</v>
      </c>
      <c r="I237" s="37" t="s">
        <v>27</v>
      </c>
      <c r="J237" s="37" t="s">
        <v>37</v>
      </c>
      <c r="K237" s="37" t="s">
        <v>942</v>
      </c>
      <c r="L237" s="37" t="s">
        <v>359</v>
      </c>
      <c r="M237" s="37" t="s">
        <v>897</v>
      </c>
      <c r="N237" s="37" t="s">
        <v>1083</v>
      </c>
      <c r="O237" s="37" t="s">
        <v>891</v>
      </c>
      <c r="P237" s="37" t="s">
        <v>928</v>
      </c>
      <c r="Q237" s="37" t="s">
        <v>1144</v>
      </c>
      <c r="R237" s="37" t="s">
        <v>930</v>
      </c>
      <c r="S237" s="37" t="s">
        <v>88</v>
      </c>
    </row>
    <row r="238" customFormat="false" ht="15" hidden="false" customHeight="false" outlineLevel="0" collapsed="false">
      <c r="A238" s="37" t="s">
        <v>704</v>
      </c>
      <c r="B238" s="37"/>
      <c r="C238" s="37" t="s">
        <v>134</v>
      </c>
      <c r="D238" s="37" t="s">
        <v>62</v>
      </c>
      <c r="E238" s="37" t="s">
        <v>47</v>
      </c>
      <c r="F238" s="37" t="s">
        <v>160</v>
      </c>
      <c r="G238" s="37" t="s">
        <v>705</v>
      </c>
      <c r="H238" s="37" t="s">
        <v>1008</v>
      </c>
      <c r="I238" s="37" t="s">
        <v>26</v>
      </c>
      <c r="J238" s="37" t="s">
        <v>42</v>
      </c>
      <c r="K238" s="37" t="s">
        <v>909</v>
      </c>
      <c r="L238" s="37" t="s">
        <v>706</v>
      </c>
      <c r="M238" s="37" t="s">
        <v>897</v>
      </c>
      <c r="N238" s="37" t="s">
        <v>1120</v>
      </c>
      <c r="O238" s="37" t="s">
        <v>917</v>
      </c>
      <c r="P238" s="37" t="s">
        <v>917</v>
      </c>
      <c r="Q238" s="37" t="s">
        <v>1120</v>
      </c>
      <c r="R238" s="37" t="s">
        <v>1009</v>
      </c>
      <c r="S238" s="37" t="s">
        <v>88</v>
      </c>
    </row>
    <row r="239" customFormat="false" ht="15" hidden="false" customHeight="false" outlineLevel="0" collapsed="false">
      <c r="A239" s="37" t="s">
        <v>707</v>
      </c>
      <c r="B239" s="37" t="s">
        <v>920</v>
      </c>
      <c r="C239" s="37" t="s">
        <v>134</v>
      </c>
      <c r="D239" s="37" t="s">
        <v>63</v>
      </c>
      <c r="E239" s="37" t="s">
        <v>47</v>
      </c>
      <c r="F239" s="37" t="s">
        <v>139</v>
      </c>
      <c r="G239" s="37" t="s">
        <v>221</v>
      </c>
      <c r="H239" s="37" t="s">
        <v>1270</v>
      </c>
      <c r="I239" s="37" t="s">
        <v>28</v>
      </c>
      <c r="J239" s="37" t="s">
        <v>39</v>
      </c>
      <c r="K239" s="37" t="s">
        <v>1324</v>
      </c>
      <c r="L239" s="37"/>
      <c r="M239" s="37" t="s">
        <v>897</v>
      </c>
      <c r="N239" s="37" t="s">
        <v>910</v>
      </c>
      <c r="O239" s="37" t="s">
        <v>891</v>
      </c>
      <c r="P239" s="37" t="s">
        <v>892</v>
      </c>
      <c r="Q239" s="37" t="s">
        <v>957</v>
      </c>
      <c r="R239" s="37" t="s">
        <v>1045</v>
      </c>
      <c r="S239" s="37" t="s">
        <v>87</v>
      </c>
    </row>
    <row r="240" customFormat="false" ht="15" hidden="false" customHeight="false" outlineLevel="0" collapsed="false">
      <c r="A240" s="37" t="s">
        <v>590</v>
      </c>
      <c r="B240" s="37" t="s">
        <v>1118</v>
      </c>
      <c r="C240" s="37" t="s">
        <v>145</v>
      </c>
      <c r="D240" s="37" t="s">
        <v>62</v>
      </c>
      <c r="E240" s="37" t="s">
        <v>48</v>
      </c>
      <c r="F240" s="37" t="s">
        <v>135</v>
      </c>
      <c r="G240" s="37" t="s">
        <v>397</v>
      </c>
      <c r="H240" s="37" t="s">
        <v>1266</v>
      </c>
      <c r="I240" s="37" t="s">
        <v>27</v>
      </c>
      <c r="J240" s="37" t="s">
        <v>37</v>
      </c>
      <c r="K240" s="37" t="s">
        <v>1009</v>
      </c>
      <c r="L240" s="37" t="s">
        <v>591</v>
      </c>
      <c r="M240" s="37" t="s">
        <v>897</v>
      </c>
      <c r="N240" s="37" t="s">
        <v>1083</v>
      </c>
      <c r="O240" s="37" t="s">
        <v>891</v>
      </c>
      <c r="P240" s="37" t="s">
        <v>962</v>
      </c>
      <c r="Q240" s="37" t="s">
        <v>1022</v>
      </c>
      <c r="R240" s="37" t="s">
        <v>918</v>
      </c>
      <c r="S240" s="37" t="s">
        <v>87</v>
      </c>
    </row>
    <row r="241" customFormat="false" ht="15" hidden="false" customHeight="false" outlineLevel="0" collapsed="false">
      <c r="A241" s="37" t="s">
        <v>708</v>
      </c>
      <c r="B241" s="37"/>
      <c r="C241" s="37" t="s">
        <v>944</v>
      </c>
      <c r="D241" s="37" t="s">
        <v>66</v>
      </c>
      <c r="E241" s="37" t="s">
        <v>47</v>
      </c>
      <c r="F241" s="37" t="s">
        <v>139</v>
      </c>
      <c r="G241" s="37" t="s">
        <v>172</v>
      </c>
      <c r="H241" s="37" t="s">
        <v>1020</v>
      </c>
      <c r="I241" s="37" t="s">
        <v>25</v>
      </c>
      <c r="J241" s="37" t="s">
        <v>39</v>
      </c>
      <c r="K241" s="37" t="s">
        <v>922</v>
      </c>
      <c r="L241" s="37" t="s">
        <v>709</v>
      </c>
      <c r="M241" s="37" t="s">
        <v>907</v>
      </c>
      <c r="N241" s="37" t="s">
        <v>910</v>
      </c>
      <c r="O241" s="37" t="s">
        <v>899</v>
      </c>
      <c r="P241" s="37" t="s">
        <v>892</v>
      </c>
      <c r="Q241" s="37" t="s">
        <v>1060</v>
      </c>
      <c r="R241" s="37" t="s">
        <v>1112</v>
      </c>
      <c r="S241" s="37" t="s">
        <v>87</v>
      </c>
    </row>
    <row r="242" customFormat="false" ht="15" hidden="false" customHeight="false" outlineLevel="0" collapsed="false">
      <c r="A242" s="37" t="s">
        <v>710</v>
      </c>
      <c r="B242" s="37" t="s">
        <v>955</v>
      </c>
      <c r="C242" s="37" t="s">
        <v>134</v>
      </c>
      <c r="D242" s="37"/>
      <c r="E242" s="37" t="s">
        <v>47</v>
      </c>
      <c r="F242" s="37" t="s">
        <v>160</v>
      </c>
      <c r="G242" s="37" t="s">
        <v>143</v>
      </c>
      <c r="H242" s="37" t="s">
        <v>1325</v>
      </c>
      <c r="I242" s="37" t="s">
        <v>25</v>
      </c>
      <c r="J242" s="37" t="s">
        <v>37</v>
      </c>
      <c r="K242" s="37" t="s">
        <v>1001</v>
      </c>
      <c r="L242" s="37" t="s">
        <v>711</v>
      </c>
      <c r="M242" s="37" t="s">
        <v>947</v>
      </c>
      <c r="N242" s="37" t="s">
        <v>1050</v>
      </c>
      <c r="O242" s="37" t="s">
        <v>891</v>
      </c>
      <c r="P242" s="37" t="s">
        <v>928</v>
      </c>
      <c r="Q242" s="37" t="s">
        <v>1112</v>
      </c>
      <c r="R242" s="37" t="s">
        <v>1060</v>
      </c>
      <c r="S242" s="37" t="s">
        <v>87</v>
      </c>
    </row>
    <row r="243" customFormat="false" ht="15" hidden="false" customHeight="false" outlineLevel="0" collapsed="false">
      <c r="A243" s="37" t="s">
        <v>712</v>
      </c>
      <c r="B243" s="37" t="s">
        <v>1178</v>
      </c>
      <c r="C243" s="37" t="s">
        <v>145</v>
      </c>
      <c r="D243" s="37" t="s">
        <v>64</v>
      </c>
      <c r="E243" s="37" t="s">
        <v>47</v>
      </c>
      <c r="F243" s="37" t="s">
        <v>149</v>
      </c>
      <c r="G243" s="37" t="s">
        <v>178</v>
      </c>
      <c r="H243" s="37" t="s">
        <v>897</v>
      </c>
      <c r="I243" s="37" t="s">
        <v>27</v>
      </c>
      <c r="J243" s="37" t="s">
        <v>37</v>
      </c>
      <c r="K243" s="37" t="s">
        <v>1182</v>
      </c>
      <c r="L243" s="37" t="s">
        <v>713</v>
      </c>
      <c r="M243" s="37" t="s">
        <v>907</v>
      </c>
      <c r="N243" s="37" t="s">
        <v>966</v>
      </c>
      <c r="O243" s="37" t="s">
        <v>891</v>
      </c>
      <c r="P243" s="37" t="s">
        <v>892</v>
      </c>
      <c r="Q243" s="37" t="s">
        <v>900</v>
      </c>
      <c r="R243" s="37" t="s">
        <v>928</v>
      </c>
      <c r="S243" s="37" t="s">
        <v>87</v>
      </c>
    </row>
    <row r="244" customFormat="false" ht="15" hidden="false" customHeight="false" outlineLevel="0" collapsed="false">
      <c r="A244" s="37" t="s">
        <v>714</v>
      </c>
      <c r="B244" s="37" t="s">
        <v>1027</v>
      </c>
      <c r="C244" s="37" t="s">
        <v>134</v>
      </c>
      <c r="D244" s="37" t="s">
        <v>64</v>
      </c>
      <c r="E244" s="37" t="s">
        <v>47</v>
      </c>
      <c r="F244" s="37"/>
      <c r="G244" s="37" t="s">
        <v>221</v>
      </c>
      <c r="H244" s="37" t="s">
        <v>1184</v>
      </c>
      <c r="I244" s="37" t="s">
        <v>26</v>
      </c>
      <c r="J244" s="37" t="s">
        <v>39</v>
      </c>
      <c r="K244" s="37" t="s">
        <v>915</v>
      </c>
      <c r="L244" s="37" t="s">
        <v>715</v>
      </c>
      <c r="M244" s="37" t="s">
        <v>887</v>
      </c>
      <c r="N244" s="37" t="s">
        <v>1094</v>
      </c>
      <c r="O244" s="37" t="s">
        <v>899</v>
      </c>
      <c r="P244" s="37" t="s">
        <v>917</v>
      </c>
      <c r="Q244" s="37" t="s">
        <v>1026</v>
      </c>
      <c r="R244" s="37" t="s">
        <v>1029</v>
      </c>
      <c r="S244" s="37" t="s">
        <v>87</v>
      </c>
    </row>
    <row r="245" customFormat="false" ht="15" hidden="false" customHeight="false" outlineLevel="0" collapsed="false">
      <c r="A245" s="37" t="s">
        <v>716</v>
      </c>
      <c r="B245" s="37" t="s">
        <v>939</v>
      </c>
      <c r="C245" s="37" t="s">
        <v>145</v>
      </c>
      <c r="D245" s="37" t="s">
        <v>63</v>
      </c>
      <c r="E245" s="37" t="s">
        <v>47</v>
      </c>
      <c r="F245" s="37" t="s">
        <v>160</v>
      </c>
      <c r="G245" s="37" t="s">
        <v>336</v>
      </c>
      <c r="H245" s="37" t="s">
        <v>1089</v>
      </c>
      <c r="I245" s="37" t="s">
        <v>31</v>
      </c>
      <c r="J245" s="37" t="s">
        <v>40</v>
      </c>
      <c r="K245" s="37" t="s">
        <v>1007</v>
      </c>
      <c r="L245" s="37" t="s">
        <v>717</v>
      </c>
      <c r="M245" s="37" t="s">
        <v>897</v>
      </c>
      <c r="N245" s="37" t="s">
        <v>1002</v>
      </c>
      <c r="O245" s="37" t="s">
        <v>891</v>
      </c>
      <c r="P245" s="37" t="s">
        <v>892</v>
      </c>
      <c r="Q245" s="37" t="s">
        <v>996</v>
      </c>
      <c r="R245" s="37" t="s">
        <v>1112</v>
      </c>
      <c r="S245" s="37" t="s">
        <v>87</v>
      </c>
    </row>
    <row r="246" customFormat="false" ht="15" hidden="false" customHeight="false" outlineLevel="0" collapsed="false">
      <c r="A246" s="37" t="s">
        <v>718</v>
      </c>
      <c r="B246" s="37" t="s">
        <v>1027</v>
      </c>
      <c r="C246" s="37" t="s">
        <v>145</v>
      </c>
      <c r="D246" s="37" t="s">
        <v>65</v>
      </c>
      <c r="E246" s="37" t="s">
        <v>47</v>
      </c>
      <c r="F246" s="37" t="s">
        <v>149</v>
      </c>
      <c r="G246" s="37" t="s">
        <v>598</v>
      </c>
      <c r="H246" s="37" t="s">
        <v>1326</v>
      </c>
      <c r="I246" s="37" t="s">
        <v>30</v>
      </c>
      <c r="J246" s="37" t="s">
        <v>40</v>
      </c>
      <c r="K246" s="37" t="s">
        <v>922</v>
      </c>
      <c r="L246" s="37" t="s">
        <v>719</v>
      </c>
      <c r="M246" s="37" t="s">
        <v>907</v>
      </c>
      <c r="N246" s="37" t="s">
        <v>892</v>
      </c>
      <c r="O246" s="37" t="s">
        <v>917</v>
      </c>
      <c r="P246" s="37" t="s">
        <v>962</v>
      </c>
      <c r="Q246" s="37" t="s">
        <v>1136</v>
      </c>
      <c r="R246" s="37" t="s">
        <v>966</v>
      </c>
      <c r="S246" s="37" t="s">
        <v>87</v>
      </c>
    </row>
    <row r="247" customFormat="false" ht="15" hidden="false" customHeight="false" outlineLevel="0" collapsed="false">
      <c r="A247" s="37" t="s">
        <v>720</v>
      </c>
      <c r="B247" s="37" t="s">
        <v>1190</v>
      </c>
      <c r="C247" s="37" t="s">
        <v>1138</v>
      </c>
      <c r="D247" s="37" t="s">
        <v>62</v>
      </c>
      <c r="E247" s="37" t="s">
        <v>48</v>
      </c>
      <c r="F247" s="37" t="s">
        <v>195</v>
      </c>
      <c r="G247" s="37"/>
      <c r="H247" s="37" t="s">
        <v>1327</v>
      </c>
      <c r="I247" s="37" t="s">
        <v>30</v>
      </c>
      <c r="J247" s="37" t="s">
        <v>43</v>
      </c>
      <c r="K247" s="37" t="s">
        <v>1007</v>
      </c>
      <c r="L247" s="37" t="s">
        <v>721</v>
      </c>
      <c r="M247" s="37" t="s">
        <v>897</v>
      </c>
      <c r="N247" s="37" t="s">
        <v>960</v>
      </c>
      <c r="O247" s="37" t="s">
        <v>891</v>
      </c>
      <c r="P247" s="37" t="s">
        <v>917</v>
      </c>
      <c r="Q247" s="37" t="s">
        <v>899</v>
      </c>
      <c r="R247" s="37" t="s">
        <v>967</v>
      </c>
      <c r="S247" s="37" t="s">
        <v>87</v>
      </c>
    </row>
    <row r="248" customFormat="false" ht="15" hidden="false" customHeight="false" outlineLevel="0" collapsed="false">
      <c r="A248" s="37" t="s">
        <v>722</v>
      </c>
      <c r="B248" s="37" t="s">
        <v>1125</v>
      </c>
      <c r="C248" s="37" t="s">
        <v>145</v>
      </c>
      <c r="D248" s="37" t="s">
        <v>65</v>
      </c>
      <c r="E248" s="37" t="s">
        <v>48</v>
      </c>
      <c r="F248" s="37" t="s">
        <v>139</v>
      </c>
      <c r="G248" s="37" t="s">
        <v>250</v>
      </c>
      <c r="H248" s="37" t="s">
        <v>1328</v>
      </c>
      <c r="I248" s="37" t="s">
        <v>30</v>
      </c>
      <c r="J248" s="37" t="s">
        <v>38</v>
      </c>
      <c r="K248" s="37" t="s">
        <v>1150</v>
      </c>
      <c r="L248" s="37" t="s">
        <v>723</v>
      </c>
      <c r="M248" s="37"/>
      <c r="N248" s="37" t="s">
        <v>1045</v>
      </c>
      <c r="O248" s="37" t="s">
        <v>891</v>
      </c>
      <c r="P248" s="37" t="s">
        <v>928</v>
      </c>
      <c r="Q248" s="37" t="s">
        <v>953</v>
      </c>
      <c r="R248" s="37" t="s">
        <v>1329</v>
      </c>
      <c r="S248" s="37" t="s">
        <v>88</v>
      </c>
    </row>
    <row r="249" customFormat="false" ht="15" hidden="false" customHeight="false" outlineLevel="0" collapsed="false">
      <c r="A249" s="37" t="s">
        <v>724</v>
      </c>
      <c r="B249" s="37" t="s">
        <v>955</v>
      </c>
      <c r="C249" s="37" t="s">
        <v>992</v>
      </c>
      <c r="D249" s="37" t="s">
        <v>64</v>
      </c>
      <c r="E249" s="37" t="s">
        <v>47</v>
      </c>
      <c r="F249" s="37" t="s">
        <v>160</v>
      </c>
      <c r="G249" s="37" t="s">
        <v>221</v>
      </c>
      <c r="H249" s="37" t="s">
        <v>897</v>
      </c>
      <c r="I249" s="37" t="s">
        <v>26</v>
      </c>
      <c r="J249" s="37" t="s">
        <v>39</v>
      </c>
      <c r="K249" s="37" t="s">
        <v>909</v>
      </c>
      <c r="L249" s="37" t="s">
        <v>725</v>
      </c>
      <c r="M249" s="37" t="s">
        <v>897</v>
      </c>
      <c r="N249" s="37" t="s">
        <v>1094</v>
      </c>
      <c r="O249" s="37"/>
      <c r="P249" s="37" t="s">
        <v>928</v>
      </c>
      <c r="Q249" s="37" t="s">
        <v>1029</v>
      </c>
      <c r="R249" s="37" t="s">
        <v>1046</v>
      </c>
      <c r="S249" s="37" t="s">
        <v>89</v>
      </c>
    </row>
    <row r="250" customFormat="false" ht="15" hidden="false" customHeight="false" outlineLevel="0" collapsed="false">
      <c r="A250" s="37" t="s">
        <v>726</v>
      </c>
      <c r="B250" s="37" t="s">
        <v>955</v>
      </c>
      <c r="C250" s="37" t="s">
        <v>145</v>
      </c>
      <c r="D250" s="37" t="s">
        <v>62</v>
      </c>
      <c r="E250" s="37" t="s">
        <v>47</v>
      </c>
      <c r="F250" s="37" t="s">
        <v>135</v>
      </c>
      <c r="G250" s="37" t="s">
        <v>189</v>
      </c>
      <c r="H250" s="37" t="s">
        <v>1330</v>
      </c>
      <c r="I250" s="37" t="s">
        <v>25</v>
      </c>
      <c r="J250" s="37" t="s">
        <v>38</v>
      </c>
      <c r="K250" s="37" t="s">
        <v>972</v>
      </c>
      <c r="L250" s="37" t="s">
        <v>727</v>
      </c>
      <c r="M250" s="37" t="s">
        <v>897</v>
      </c>
      <c r="N250" s="37" t="s">
        <v>1085</v>
      </c>
      <c r="O250" s="37"/>
      <c r="P250" s="37" t="s">
        <v>928</v>
      </c>
      <c r="Q250" s="37" t="s">
        <v>1331</v>
      </c>
      <c r="R250" s="37" t="s">
        <v>1036</v>
      </c>
      <c r="S250" s="37" t="s">
        <v>89</v>
      </c>
    </row>
    <row r="251" customFormat="false" ht="15" hidden="false" customHeight="false" outlineLevel="0" collapsed="false">
      <c r="A251" s="37" t="s">
        <v>728</v>
      </c>
      <c r="B251" s="37" t="s">
        <v>1070</v>
      </c>
      <c r="C251" s="37" t="s">
        <v>134</v>
      </c>
      <c r="D251" s="37" t="s">
        <v>67</v>
      </c>
      <c r="E251" s="37" t="s">
        <v>47</v>
      </c>
      <c r="F251" s="37" t="s">
        <v>149</v>
      </c>
      <c r="G251" s="37" t="s">
        <v>729</v>
      </c>
      <c r="H251" s="37" t="s">
        <v>1332</v>
      </c>
      <c r="I251" s="37" t="s">
        <v>25</v>
      </c>
      <c r="J251" s="37" t="s">
        <v>38</v>
      </c>
      <c r="K251" s="37"/>
      <c r="L251" s="37" t="s">
        <v>730</v>
      </c>
      <c r="M251" s="37" t="s">
        <v>897</v>
      </c>
      <c r="N251" s="37" t="s">
        <v>980</v>
      </c>
      <c r="O251" s="37" t="s">
        <v>909</v>
      </c>
      <c r="P251" s="37" t="s">
        <v>891</v>
      </c>
      <c r="Q251" s="37" t="s">
        <v>927</v>
      </c>
      <c r="R251" s="37" t="s">
        <v>1333</v>
      </c>
      <c r="S251" s="37" t="s">
        <v>87</v>
      </c>
    </row>
    <row r="252" customFormat="false" ht="15" hidden="false" customHeight="false" outlineLevel="0" collapsed="false">
      <c r="A252" s="37" t="s">
        <v>731</v>
      </c>
      <c r="B252" s="37" t="s">
        <v>981</v>
      </c>
      <c r="C252" s="37" t="s">
        <v>134</v>
      </c>
      <c r="D252" s="37" t="s">
        <v>62</v>
      </c>
      <c r="E252" s="37" t="s">
        <v>47</v>
      </c>
      <c r="F252" s="37" t="s">
        <v>149</v>
      </c>
      <c r="G252" s="37" t="s">
        <v>189</v>
      </c>
      <c r="H252" s="37"/>
      <c r="I252" s="37" t="s">
        <v>25</v>
      </c>
      <c r="J252" s="37" t="s">
        <v>38</v>
      </c>
      <c r="K252" s="37" t="s">
        <v>1116</v>
      </c>
      <c r="L252" s="37" t="s">
        <v>732</v>
      </c>
      <c r="M252" s="37" t="s">
        <v>897</v>
      </c>
      <c r="N252" s="37" t="s">
        <v>948</v>
      </c>
      <c r="O252" s="37" t="s">
        <v>891</v>
      </c>
      <c r="P252" s="37"/>
      <c r="Q252" s="37" t="s">
        <v>1334</v>
      </c>
      <c r="R252" s="37" t="s">
        <v>922</v>
      </c>
      <c r="S252" s="37" t="s">
        <v>87</v>
      </c>
    </row>
    <row r="253" customFormat="false" ht="15" hidden="false" customHeight="false" outlineLevel="0" collapsed="false">
      <c r="A253" s="37" t="s">
        <v>536</v>
      </c>
      <c r="B253" s="37" t="s">
        <v>903</v>
      </c>
      <c r="C253" s="37" t="s">
        <v>145</v>
      </c>
      <c r="D253" s="37" t="s">
        <v>64</v>
      </c>
      <c r="E253" s="37" t="s">
        <v>47</v>
      </c>
      <c r="F253" s="37" t="s">
        <v>246</v>
      </c>
      <c r="G253" s="37" t="s">
        <v>537</v>
      </c>
      <c r="H253" s="37" t="s">
        <v>1239</v>
      </c>
      <c r="I253" s="37"/>
      <c r="J253" s="37" t="s">
        <v>39</v>
      </c>
      <c r="K253" s="37" t="s">
        <v>908</v>
      </c>
      <c r="L253" s="37" t="s">
        <v>538</v>
      </c>
      <c r="M253" s="37" t="s">
        <v>907</v>
      </c>
      <c r="N253" s="37" t="s">
        <v>910</v>
      </c>
      <c r="O253" s="37" t="s">
        <v>891</v>
      </c>
      <c r="P253" s="37" t="s">
        <v>962</v>
      </c>
      <c r="Q253" s="37" t="s">
        <v>969</v>
      </c>
      <c r="R253" s="37" t="s">
        <v>907</v>
      </c>
      <c r="S253" s="37" t="s">
        <v>87</v>
      </c>
    </row>
    <row r="254" customFormat="false" ht="15" hidden="false" customHeight="false" outlineLevel="0" collapsed="false">
      <c r="A254" s="37" t="s">
        <v>733</v>
      </c>
      <c r="B254" s="37" t="s">
        <v>1335</v>
      </c>
      <c r="C254" s="37" t="s">
        <v>134</v>
      </c>
      <c r="D254" s="37" t="s">
        <v>62</v>
      </c>
      <c r="E254" s="37" t="s">
        <v>48</v>
      </c>
      <c r="F254" s="37" t="s">
        <v>135</v>
      </c>
      <c r="G254" s="37" t="s">
        <v>364</v>
      </c>
      <c r="H254" s="37" t="s">
        <v>1336</v>
      </c>
      <c r="I254" s="37" t="s">
        <v>27</v>
      </c>
      <c r="J254" s="37" t="s">
        <v>38</v>
      </c>
      <c r="K254" s="37"/>
      <c r="L254" s="37" t="s">
        <v>734</v>
      </c>
      <c r="M254" s="37" t="s">
        <v>887</v>
      </c>
      <c r="N254" s="37" t="s">
        <v>942</v>
      </c>
      <c r="O254" s="37" t="s">
        <v>891</v>
      </c>
      <c r="P254" s="37" t="s">
        <v>892</v>
      </c>
      <c r="Q254" s="37" t="s">
        <v>927</v>
      </c>
      <c r="R254" s="37" t="s">
        <v>1337</v>
      </c>
      <c r="S254" s="37" t="s">
        <v>87</v>
      </c>
    </row>
    <row r="255" customFormat="false" ht="15" hidden="false" customHeight="false" outlineLevel="0" collapsed="false">
      <c r="A255" s="37" t="s">
        <v>735</v>
      </c>
      <c r="B255" s="37" t="s">
        <v>970</v>
      </c>
      <c r="C255" s="37" t="s">
        <v>134</v>
      </c>
      <c r="D255" s="37" t="s">
        <v>66</v>
      </c>
      <c r="E255" s="37" t="s">
        <v>47</v>
      </c>
      <c r="F255" s="37" t="s">
        <v>149</v>
      </c>
      <c r="G255" s="37" t="s">
        <v>427</v>
      </c>
      <c r="H255" s="37" t="s">
        <v>1338</v>
      </c>
      <c r="I255" s="37" t="s">
        <v>29</v>
      </c>
      <c r="J255" s="37" t="s">
        <v>39</v>
      </c>
      <c r="K255" s="37" t="s">
        <v>927</v>
      </c>
      <c r="L255" s="37" t="s">
        <v>736</v>
      </c>
      <c r="M255" s="37" t="s">
        <v>947</v>
      </c>
      <c r="N255" s="37"/>
      <c r="O255" s="37" t="s">
        <v>899</v>
      </c>
      <c r="P255" s="37" t="s">
        <v>917</v>
      </c>
      <c r="Q255" s="37" t="s">
        <v>1036</v>
      </c>
      <c r="R255" s="37" t="s">
        <v>896</v>
      </c>
      <c r="S255" s="37" t="s">
        <v>87</v>
      </c>
    </row>
    <row r="256" customFormat="false" ht="15" hidden="false" customHeight="false" outlineLevel="0" collapsed="false">
      <c r="A256" s="37" t="s">
        <v>737</v>
      </c>
      <c r="B256" s="37" t="s">
        <v>931</v>
      </c>
      <c r="C256" s="37" t="s">
        <v>145</v>
      </c>
      <c r="D256" s="37" t="s">
        <v>69</v>
      </c>
      <c r="E256" s="37" t="s">
        <v>47</v>
      </c>
      <c r="F256" s="37" t="s">
        <v>1142</v>
      </c>
      <c r="G256" s="37" t="s">
        <v>464</v>
      </c>
      <c r="H256" s="37" t="s">
        <v>1339</v>
      </c>
      <c r="I256" s="37" t="s">
        <v>25</v>
      </c>
      <c r="J256" s="37" t="s">
        <v>38</v>
      </c>
      <c r="K256" s="37" t="s">
        <v>999</v>
      </c>
      <c r="L256" s="37" t="s">
        <v>738</v>
      </c>
      <c r="M256" s="37" t="s">
        <v>1068</v>
      </c>
      <c r="N256" s="37" t="s">
        <v>949</v>
      </c>
      <c r="O256" s="37" t="s">
        <v>899</v>
      </c>
      <c r="P256" s="37" t="s">
        <v>962</v>
      </c>
      <c r="Q256" s="37" t="s">
        <v>1340</v>
      </c>
      <c r="R256" s="37" t="s">
        <v>1341</v>
      </c>
      <c r="S256" s="37" t="s">
        <v>87</v>
      </c>
    </row>
    <row r="257" customFormat="false" ht="15" hidden="false" customHeight="false" outlineLevel="0" collapsed="false">
      <c r="A257" s="37" t="s">
        <v>739</v>
      </c>
      <c r="B257" s="37" t="s">
        <v>1027</v>
      </c>
      <c r="C257" s="37" t="s">
        <v>134</v>
      </c>
      <c r="D257" s="37" t="s">
        <v>68</v>
      </c>
      <c r="E257" s="37" t="s">
        <v>47</v>
      </c>
      <c r="F257" s="37" t="s">
        <v>149</v>
      </c>
      <c r="G257" s="37" t="s">
        <v>236</v>
      </c>
      <c r="H257" s="37" t="s">
        <v>897</v>
      </c>
      <c r="I257" s="37" t="s">
        <v>30</v>
      </c>
      <c r="J257" s="37" t="s">
        <v>39</v>
      </c>
      <c r="K257" s="37" t="s">
        <v>1275</v>
      </c>
      <c r="L257" s="37" t="s">
        <v>740</v>
      </c>
      <c r="M257" s="37"/>
      <c r="N257" s="37" t="s">
        <v>1094</v>
      </c>
      <c r="O257" s="37" t="s">
        <v>891</v>
      </c>
      <c r="P257" s="37" t="s">
        <v>928</v>
      </c>
      <c r="Q257" s="37" t="s">
        <v>1021</v>
      </c>
      <c r="R257" s="37" t="s">
        <v>1083</v>
      </c>
      <c r="S257" s="37" t="s">
        <v>89</v>
      </c>
    </row>
    <row r="258" customFormat="false" ht="15" hidden="false" customHeight="false" outlineLevel="0" collapsed="false">
      <c r="A258" s="37" t="s">
        <v>741</v>
      </c>
      <c r="B258" s="37" t="s">
        <v>1118</v>
      </c>
      <c r="C258" s="37" t="s">
        <v>1126</v>
      </c>
      <c r="D258" s="37" t="s">
        <v>65</v>
      </c>
      <c r="E258" s="37" t="s">
        <v>48</v>
      </c>
      <c r="F258" s="37" t="s">
        <v>139</v>
      </c>
      <c r="G258" s="37" t="s">
        <v>742</v>
      </c>
      <c r="H258" s="37" t="s">
        <v>1342</v>
      </c>
      <c r="I258" s="37" t="s">
        <v>25</v>
      </c>
      <c r="J258" s="37" t="s">
        <v>43</v>
      </c>
      <c r="K258" s="37" t="s">
        <v>928</v>
      </c>
      <c r="L258" s="37" t="s">
        <v>743</v>
      </c>
      <c r="M258" s="37" t="s">
        <v>897</v>
      </c>
      <c r="N258" s="37" t="s">
        <v>947</v>
      </c>
      <c r="O258" s="37" t="s">
        <v>909</v>
      </c>
      <c r="P258" s="37" t="s">
        <v>962</v>
      </c>
      <c r="Q258" s="37"/>
      <c r="R258" s="37" t="s">
        <v>935</v>
      </c>
      <c r="S258" s="37" t="s">
        <v>87</v>
      </c>
    </row>
    <row r="259" customFormat="false" ht="15" hidden="false" customHeight="false" outlineLevel="0" collapsed="false">
      <c r="A259" s="37" t="s">
        <v>744</v>
      </c>
      <c r="B259" s="37" t="s">
        <v>1118</v>
      </c>
      <c r="C259" s="37" t="s">
        <v>134</v>
      </c>
      <c r="D259" s="37" t="s">
        <v>62</v>
      </c>
      <c r="E259" s="37" t="s">
        <v>48</v>
      </c>
      <c r="F259" s="37" t="s">
        <v>195</v>
      </c>
      <c r="G259" s="37" t="s">
        <v>745</v>
      </c>
      <c r="H259" s="37" t="s">
        <v>1343</v>
      </c>
      <c r="I259" s="37" t="s">
        <v>32</v>
      </c>
      <c r="J259" s="37" t="s">
        <v>43</v>
      </c>
      <c r="K259" s="37" t="s">
        <v>1005</v>
      </c>
      <c r="L259" s="37" t="s">
        <v>746</v>
      </c>
      <c r="M259" s="37" t="s">
        <v>1161</v>
      </c>
      <c r="N259" s="37" t="s">
        <v>1094</v>
      </c>
      <c r="O259" s="37" t="s">
        <v>891</v>
      </c>
      <c r="P259" s="37" t="s">
        <v>928</v>
      </c>
      <c r="Q259" s="37" t="s">
        <v>891</v>
      </c>
      <c r="R259" s="37" t="s">
        <v>977</v>
      </c>
      <c r="S259" s="37" t="s">
        <v>87</v>
      </c>
    </row>
    <row r="260" customFormat="false" ht="15" hidden="false" customHeight="false" outlineLevel="0" collapsed="false">
      <c r="A260" s="37" t="s">
        <v>747</v>
      </c>
      <c r="B260" s="37" t="s">
        <v>1190</v>
      </c>
      <c r="C260" s="37" t="s">
        <v>134</v>
      </c>
      <c r="D260" s="37" t="s">
        <v>71</v>
      </c>
      <c r="E260" s="37" t="s">
        <v>48</v>
      </c>
      <c r="F260" s="37" t="s">
        <v>195</v>
      </c>
      <c r="G260" s="37" t="s">
        <v>748</v>
      </c>
      <c r="H260" s="37" t="s">
        <v>1344</v>
      </c>
      <c r="I260" s="37" t="s">
        <v>1238</v>
      </c>
      <c r="J260" s="37" t="s">
        <v>37</v>
      </c>
      <c r="K260" s="37" t="s">
        <v>929</v>
      </c>
      <c r="L260" s="37" t="s">
        <v>749</v>
      </c>
      <c r="M260" s="37" t="s">
        <v>907</v>
      </c>
      <c r="N260" s="37" t="s">
        <v>1003</v>
      </c>
      <c r="O260" s="37" t="s">
        <v>891</v>
      </c>
      <c r="P260" s="37" t="s">
        <v>928</v>
      </c>
      <c r="Q260" s="37" t="s">
        <v>1060</v>
      </c>
      <c r="R260" s="37" t="s">
        <v>1013</v>
      </c>
      <c r="S260" s="37" t="s">
        <v>87</v>
      </c>
    </row>
    <row r="261" customFormat="false" ht="15" hidden="false" customHeight="false" outlineLevel="0" collapsed="false">
      <c r="A261" s="37" t="s">
        <v>750</v>
      </c>
      <c r="B261" s="37" t="s">
        <v>981</v>
      </c>
      <c r="C261" s="37" t="s">
        <v>145</v>
      </c>
      <c r="D261" s="37" t="s">
        <v>71</v>
      </c>
      <c r="E261" s="37" t="s">
        <v>48</v>
      </c>
      <c r="F261" s="37" t="s">
        <v>135</v>
      </c>
      <c r="G261" s="37" t="s">
        <v>751</v>
      </c>
      <c r="H261" s="37" t="s">
        <v>1345</v>
      </c>
      <c r="I261" s="37" t="s">
        <v>25</v>
      </c>
      <c r="J261" s="37" t="s">
        <v>44</v>
      </c>
      <c r="K261" s="37" t="s">
        <v>909</v>
      </c>
      <c r="L261" s="37" t="s">
        <v>752</v>
      </c>
      <c r="M261" s="37" t="s">
        <v>897</v>
      </c>
      <c r="N261" s="37" t="s">
        <v>917</v>
      </c>
      <c r="O261" s="37" t="s">
        <v>909</v>
      </c>
      <c r="P261" s="37" t="s">
        <v>917</v>
      </c>
      <c r="Q261" s="37" t="s">
        <v>966</v>
      </c>
      <c r="R261" s="37" t="s">
        <v>935</v>
      </c>
      <c r="S261" s="37" t="s">
        <v>88</v>
      </c>
    </row>
    <row r="262" customFormat="false" ht="15" hidden="false" customHeight="false" outlineLevel="0" collapsed="false">
      <c r="A262" s="37" t="s">
        <v>753</v>
      </c>
      <c r="B262" s="37" t="s">
        <v>912</v>
      </c>
      <c r="C262" s="37" t="s">
        <v>134</v>
      </c>
      <c r="D262" s="37" t="s">
        <v>66</v>
      </c>
      <c r="E262" s="37" t="s">
        <v>48</v>
      </c>
      <c r="F262" s="37" t="s">
        <v>139</v>
      </c>
      <c r="G262" s="37" t="s">
        <v>136</v>
      </c>
      <c r="H262" s="37" t="s">
        <v>1346</v>
      </c>
      <c r="I262" s="37" t="s">
        <v>29</v>
      </c>
      <c r="J262" s="37" t="s">
        <v>42</v>
      </c>
      <c r="K262" s="37" t="s">
        <v>927</v>
      </c>
      <c r="L262" s="37" t="s">
        <v>754</v>
      </c>
      <c r="M262" s="37" t="s">
        <v>897</v>
      </c>
      <c r="N262" s="37"/>
      <c r="O262" s="37" t="s">
        <v>891</v>
      </c>
      <c r="P262" s="37" t="s">
        <v>892</v>
      </c>
      <c r="Q262" s="37" t="s">
        <v>1026</v>
      </c>
      <c r="R262" s="37" t="s">
        <v>1347</v>
      </c>
      <c r="S262" s="37" t="s">
        <v>87</v>
      </c>
    </row>
    <row r="263" customFormat="false" ht="15" hidden="false" customHeight="false" outlineLevel="0" collapsed="false">
      <c r="A263" s="37" t="s">
        <v>755</v>
      </c>
      <c r="B263" s="37" t="s">
        <v>931</v>
      </c>
      <c r="C263" s="37" t="s">
        <v>145</v>
      </c>
      <c r="D263" s="37" t="s">
        <v>945</v>
      </c>
      <c r="E263" s="37" t="s">
        <v>47</v>
      </c>
      <c r="F263" s="37" t="s">
        <v>139</v>
      </c>
      <c r="G263" s="37" t="s">
        <v>329</v>
      </c>
      <c r="H263" s="37" t="s">
        <v>1348</v>
      </c>
      <c r="I263" s="37" t="s">
        <v>25</v>
      </c>
      <c r="J263" s="37" t="s">
        <v>40</v>
      </c>
      <c r="K263" s="37" t="s">
        <v>1028</v>
      </c>
      <c r="L263" s="37"/>
      <c r="M263" s="37" t="s">
        <v>897</v>
      </c>
      <c r="N263" s="37" t="s">
        <v>1091</v>
      </c>
      <c r="O263" s="37" t="s">
        <v>917</v>
      </c>
      <c r="P263" s="37" t="s">
        <v>947</v>
      </c>
      <c r="Q263" s="37" t="s">
        <v>1112</v>
      </c>
      <c r="R263" s="37" t="s">
        <v>1222</v>
      </c>
      <c r="S263" s="37" t="s">
        <v>87</v>
      </c>
    </row>
    <row r="264" customFormat="false" ht="15" hidden="false" customHeight="false" outlineLevel="0" collapsed="false">
      <c r="A264" s="37" t="s">
        <v>756</v>
      </c>
      <c r="B264" s="37" t="s">
        <v>1214</v>
      </c>
      <c r="C264" s="37" t="s">
        <v>992</v>
      </c>
      <c r="D264" s="37" t="s">
        <v>63</v>
      </c>
      <c r="E264" s="37" t="s">
        <v>48</v>
      </c>
      <c r="F264" s="37" t="s">
        <v>195</v>
      </c>
      <c r="G264" s="37" t="s">
        <v>757</v>
      </c>
      <c r="H264" s="37" t="s">
        <v>1349</v>
      </c>
      <c r="I264" s="37" t="s">
        <v>32</v>
      </c>
      <c r="J264" s="37" t="s">
        <v>37</v>
      </c>
      <c r="K264" s="37" t="s">
        <v>1005</v>
      </c>
      <c r="L264" s="37" t="s">
        <v>758</v>
      </c>
      <c r="M264" s="37" t="s">
        <v>947</v>
      </c>
      <c r="N264" s="37" t="s">
        <v>1001</v>
      </c>
      <c r="O264" s="37"/>
      <c r="P264" s="37" t="s">
        <v>899</v>
      </c>
      <c r="Q264" s="37" t="s">
        <v>1177</v>
      </c>
      <c r="R264" s="37" t="s">
        <v>937</v>
      </c>
      <c r="S264" s="37" t="s">
        <v>89</v>
      </c>
    </row>
    <row r="265" customFormat="false" ht="15" hidden="false" customHeight="false" outlineLevel="0" collapsed="false">
      <c r="A265" s="37" t="s">
        <v>759</v>
      </c>
      <c r="B265" s="37"/>
      <c r="C265" s="37" t="s">
        <v>134</v>
      </c>
      <c r="D265" s="37" t="s">
        <v>66</v>
      </c>
      <c r="E265" s="37" t="s">
        <v>48</v>
      </c>
      <c r="F265" s="37" t="s">
        <v>139</v>
      </c>
      <c r="G265" s="37"/>
      <c r="H265" s="37" t="s">
        <v>1350</v>
      </c>
      <c r="I265" s="37" t="s">
        <v>26</v>
      </c>
      <c r="J265" s="37" t="s">
        <v>41</v>
      </c>
      <c r="K265" s="37" t="s">
        <v>1021</v>
      </c>
      <c r="L265" s="37" t="s">
        <v>760</v>
      </c>
      <c r="M265" s="37" t="s">
        <v>947</v>
      </c>
      <c r="N265" s="37" t="s">
        <v>1083</v>
      </c>
      <c r="O265" s="37" t="s">
        <v>917</v>
      </c>
      <c r="P265" s="37" t="s">
        <v>892</v>
      </c>
      <c r="Q265" s="37" t="s">
        <v>916</v>
      </c>
      <c r="R265" s="37" t="s">
        <v>948</v>
      </c>
      <c r="S265" s="37" t="s">
        <v>87</v>
      </c>
    </row>
    <row r="266" customFormat="false" ht="15" hidden="false" customHeight="false" outlineLevel="0" collapsed="false">
      <c r="A266" s="37" t="s">
        <v>761</v>
      </c>
      <c r="B266" s="37"/>
      <c r="C266" s="37" t="s">
        <v>1067</v>
      </c>
      <c r="D266" s="37" t="s">
        <v>63</v>
      </c>
      <c r="E266" s="37" t="s">
        <v>47</v>
      </c>
      <c r="F266" s="37" t="s">
        <v>139</v>
      </c>
      <c r="G266" s="37" t="s">
        <v>189</v>
      </c>
      <c r="H266" s="37" t="s">
        <v>1351</v>
      </c>
      <c r="I266" s="37" t="s">
        <v>32</v>
      </c>
      <c r="J266" s="37" t="s">
        <v>38</v>
      </c>
      <c r="K266" s="37" t="s">
        <v>1051</v>
      </c>
      <c r="L266" s="37" t="s">
        <v>762</v>
      </c>
      <c r="M266" s="37" t="s">
        <v>897</v>
      </c>
      <c r="N266" s="37" t="s">
        <v>1230</v>
      </c>
      <c r="O266" s="37" t="s">
        <v>891</v>
      </c>
      <c r="P266" s="37" t="s">
        <v>900</v>
      </c>
      <c r="Q266" s="37" t="s">
        <v>1352</v>
      </c>
      <c r="R266" s="37" t="s">
        <v>928</v>
      </c>
      <c r="S266" s="37" t="s">
        <v>87</v>
      </c>
    </row>
    <row r="267" customFormat="false" ht="15" hidden="false" customHeight="false" outlineLevel="0" collapsed="false">
      <c r="A267" s="37" t="s">
        <v>763</v>
      </c>
      <c r="B267" s="37" t="s">
        <v>981</v>
      </c>
      <c r="C267" s="37" t="s">
        <v>1030</v>
      </c>
      <c r="D267" s="37" t="s">
        <v>66</v>
      </c>
      <c r="E267" s="37" t="s">
        <v>47</v>
      </c>
      <c r="F267" s="37" t="s">
        <v>139</v>
      </c>
      <c r="G267" s="37" t="s">
        <v>143</v>
      </c>
      <c r="H267" s="37" t="s">
        <v>1353</v>
      </c>
      <c r="I267" s="37" t="s">
        <v>27</v>
      </c>
      <c r="J267" s="37" t="s">
        <v>37</v>
      </c>
      <c r="K267" s="37" t="s">
        <v>1007</v>
      </c>
      <c r="L267" s="37" t="s">
        <v>764</v>
      </c>
      <c r="M267" s="37" t="s">
        <v>897</v>
      </c>
      <c r="N267" s="37" t="s">
        <v>1045</v>
      </c>
      <c r="O267" s="37" t="s">
        <v>891</v>
      </c>
      <c r="P267" s="37" t="s">
        <v>928</v>
      </c>
      <c r="Q267" s="37" t="s">
        <v>969</v>
      </c>
      <c r="R267" s="37" t="s">
        <v>922</v>
      </c>
      <c r="S267" s="37" t="s">
        <v>89</v>
      </c>
    </row>
    <row r="268" customFormat="false" ht="15" hidden="false" customHeight="false" outlineLevel="0" collapsed="false">
      <c r="A268" s="37" t="s">
        <v>765</v>
      </c>
      <c r="B268" s="37" t="s">
        <v>903</v>
      </c>
      <c r="C268" s="37" t="s">
        <v>1030</v>
      </c>
      <c r="D268" s="37" t="s">
        <v>64</v>
      </c>
      <c r="E268" s="37" t="s">
        <v>47</v>
      </c>
      <c r="F268" s="37" t="s">
        <v>160</v>
      </c>
      <c r="G268" s="37" t="s">
        <v>143</v>
      </c>
      <c r="H268" s="37" t="s">
        <v>1354</v>
      </c>
      <c r="I268" s="37" t="s">
        <v>25</v>
      </c>
      <c r="J268" s="37" t="s">
        <v>37</v>
      </c>
      <c r="K268" s="37" t="s">
        <v>962</v>
      </c>
      <c r="L268" s="37" t="s">
        <v>766</v>
      </c>
      <c r="M268" s="37" t="s">
        <v>897</v>
      </c>
      <c r="N268" s="37" t="s">
        <v>930</v>
      </c>
      <c r="O268" s="37" t="s">
        <v>899</v>
      </c>
      <c r="P268" s="37" t="s">
        <v>892</v>
      </c>
      <c r="Q268" s="37" t="s">
        <v>1267</v>
      </c>
      <c r="R268" s="37" t="s">
        <v>1083</v>
      </c>
      <c r="S268" s="37" t="s">
        <v>87</v>
      </c>
    </row>
    <row r="269" customFormat="false" ht="15" hidden="false" customHeight="false" outlineLevel="0" collapsed="false">
      <c r="A269" s="37" t="s">
        <v>623</v>
      </c>
      <c r="B269" s="37" t="s">
        <v>1175</v>
      </c>
      <c r="C269" s="37" t="s">
        <v>145</v>
      </c>
      <c r="D269" s="37" t="s">
        <v>67</v>
      </c>
      <c r="E269" s="37" t="s">
        <v>47</v>
      </c>
      <c r="F269" s="37" t="s">
        <v>135</v>
      </c>
      <c r="G269" s="37" t="s">
        <v>178</v>
      </c>
      <c r="H269" s="37" t="s">
        <v>1285</v>
      </c>
      <c r="I269" s="37" t="s">
        <v>26</v>
      </c>
      <c r="J269" s="37" t="s">
        <v>37</v>
      </c>
      <c r="K269" s="37" t="s">
        <v>1286</v>
      </c>
      <c r="L269" s="37" t="s">
        <v>624</v>
      </c>
      <c r="M269" s="37" t="s">
        <v>897</v>
      </c>
      <c r="N269" s="37" t="s">
        <v>1111</v>
      </c>
      <c r="O269" s="37" t="s">
        <v>891</v>
      </c>
      <c r="P269" s="37" t="s">
        <v>928</v>
      </c>
      <c r="Q269" s="37" t="s">
        <v>934</v>
      </c>
      <c r="R269" s="37" t="s">
        <v>1046</v>
      </c>
      <c r="S269" s="37" t="s">
        <v>87</v>
      </c>
    </row>
    <row r="270" customFormat="false" ht="15" hidden="false" customHeight="false" outlineLevel="0" collapsed="false">
      <c r="A270" s="37" t="s">
        <v>415</v>
      </c>
      <c r="B270" s="37" t="s">
        <v>1178</v>
      </c>
      <c r="C270" s="37" t="s">
        <v>134</v>
      </c>
      <c r="D270" s="37" t="s">
        <v>156</v>
      </c>
      <c r="E270" s="37" t="s">
        <v>47</v>
      </c>
      <c r="F270" s="37" t="s">
        <v>160</v>
      </c>
      <c r="G270" s="37" t="s">
        <v>416</v>
      </c>
      <c r="H270" s="37" t="s">
        <v>1179</v>
      </c>
      <c r="I270" s="37" t="s">
        <v>32</v>
      </c>
      <c r="J270" s="37" t="s">
        <v>40</v>
      </c>
      <c r="K270" s="37" t="s">
        <v>928</v>
      </c>
      <c r="L270" s="37" t="s">
        <v>417</v>
      </c>
      <c r="M270" s="37" t="s">
        <v>897</v>
      </c>
      <c r="N270" s="37" t="s">
        <v>1085</v>
      </c>
      <c r="O270" s="37" t="s">
        <v>917</v>
      </c>
      <c r="P270" s="37" t="s">
        <v>962</v>
      </c>
      <c r="Q270" s="37" t="s">
        <v>1163</v>
      </c>
      <c r="R270" s="37" t="s">
        <v>1013</v>
      </c>
      <c r="S270" s="37" t="s">
        <v>87</v>
      </c>
    </row>
    <row r="271" customFormat="false" ht="15" hidden="false" customHeight="false" outlineLevel="0" collapsed="false">
      <c r="A271" s="37" t="s">
        <v>767</v>
      </c>
      <c r="B271" s="37" t="s">
        <v>1152</v>
      </c>
      <c r="C271" s="37" t="s">
        <v>1067</v>
      </c>
      <c r="D271" s="37" t="s">
        <v>62</v>
      </c>
      <c r="E271" s="37" t="s">
        <v>48</v>
      </c>
      <c r="F271" s="37" t="s">
        <v>139</v>
      </c>
      <c r="G271" s="37" t="s">
        <v>745</v>
      </c>
      <c r="H271" s="37" t="s">
        <v>1355</v>
      </c>
      <c r="I271" s="37" t="s">
        <v>28</v>
      </c>
      <c r="J271" s="37" t="s">
        <v>43</v>
      </c>
      <c r="K271" s="37" t="s">
        <v>917</v>
      </c>
      <c r="L271" s="37" t="s">
        <v>768</v>
      </c>
      <c r="M271" s="37" t="s">
        <v>907</v>
      </c>
      <c r="N271" s="37" t="s">
        <v>892</v>
      </c>
      <c r="O271" s="37" t="s">
        <v>899</v>
      </c>
      <c r="P271" s="37" t="s">
        <v>917</v>
      </c>
      <c r="Q271" s="37"/>
      <c r="R271" s="37" t="s">
        <v>898</v>
      </c>
      <c r="S271" s="37" t="s">
        <v>87</v>
      </c>
    </row>
    <row r="272" customFormat="false" ht="15" hidden="false" customHeight="false" outlineLevel="0" collapsed="false">
      <c r="A272" s="37" t="s">
        <v>769</v>
      </c>
      <c r="B272" s="37" t="s">
        <v>981</v>
      </c>
      <c r="C272" s="37" t="s">
        <v>145</v>
      </c>
      <c r="D272" s="37" t="s">
        <v>67</v>
      </c>
      <c r="E272" s="37" t="s">
        <v>47</v>
      </c>
      <c r="F272" s="37" t="s">
        <v>160</v>
      </c>
      <c r="G272" s="37" t="s">
        <v>150</v>
      </c>
      <c r="H272" s="37" t="s">
        <v>897</v>
      </c>
      <c r="I272" s="37" t="s">
        <v>25</v>
      </c>
      <c r="J272" s="37" t="s">
        <v>39</v>
      </c>
      <c r="K272" s="37"/>
      <c r="L272" s="37" t="s">
        <v>770</v>
      </c>
      <c r="M272" s="37" t="s">
        <v>897</v>
      </c>
      <c r="N272" s="37" t="s">
        <v>942</v>
      </c>
      <c r="O272" s="37" t="s">
        <v>909</v>
      </c>
      <c r="P272" s="37" t="s">
        <v>928</v>
      </c>
      <c r="Q272" s="37" t="s">
        <v>1096</v>
      </c>
      <c r="R272" s="37" t="s">
        <v>997</v>
      </c>
      <c r="S272" s="37" t="s">
        <v>87</v>
      </c>
    </row>
    <row r="273" customFormat="false" ht="15" hidden="false" customHeight="false" outlineLevel="0" collapsed="false">
      <c r="A273" s="37" t="s">
        <v>532</v>
      </c>
      <c r="B273" s="37" t="s">
        <v>1070</v>
      </c>
      <c r="C273" s="37" t="s">
        <v>134</v>
      </c>
      <c r="D273" s="37" t="s">
        <v>65</v>
      </c>
      <c r="E273" s="37" t="s">
        <v>47</v>
      </c>
      <c r="F273" s="37"/>
      <c r="G273" s="37" t="s">
        <v>172</v>
      </c>
      <c r="H273" s="37" t="s">
        <v>1152</v>
      </c>
      <c r="I273" s="37" t="s">
        <v>25</v>
      </c>
      <c r="J273" s="37" t="s">
        <v>40</v>
      </c>
      <c r="K273" s="37" t="s">
        <v>953</v>
      </c>
      <c r="L273" s="37" t="s">
        <v>533</v>
      </c>
      <c r="M273" s="37" t="s">
        <v>907</v>
      </c>
      <c r="N273" s="37"/>
      <c r="O273" s="37" t="s">
        <v>899</v>
      </c>
      <c r="P273" s="37" t="s">
        <v>917</v>
      </c>
      <c r="Q273" s="37" t="s">
        <v>1185</v>
      </c>
      <c r="R273" s="37" t="s">
        <v>967</v>
      </c>
      <c r="S273" s="37" t="s">
        <v>88</v>
      </c>
    </row>
    <row r="274" customFormat="false" ht="15" hidden="false" customHeight="false" outlineLevel="0" collapsed="false">
      <c r="A274" s="37" t="s">
        <v>771</v>
      </c>
      <c r="B274" s="37" t="s">
        <v>939</v>
      </c>
      <c r="C274" s="37" t="s">
        <v>145</v>
      </c>
      <c r="D274" s="37" t="s">
        <v>68</v>
      </c>
      <c r="E274" s="37" t="s">
        <v>47</v>
      </c>
      <c r="F274" s="37" t="s">
        <v>149</v>
      </c>
      <c r="G274" s="37" t="s">
        <v>236</v>
      </c>
      <c r="H274" s="37" t="s">
        <v>1356</v>
      </c>
      <c r="I274" s="37" t="s">
        <v>25</v>
      </c>
      <c r="J274" s="37" t="s">
        <v>42</v>
      </c>
      <c r="K274" s="37" t="s">
        <v>934</v>
      </c>
      <c r="L274" s="37" t="s">
        <v>772</v>
      </c>
      <c r="M274" s="37" t="s">
        <v>897</v>
      </c>
      <c r="N274" s="37" t="s">
        <v>980</v>
      </c>
      <c r="O274" s="37" t="s">
        <v>899</v>
      </c>
      <c r="P274" s="37" t="s">
        <v>917</v>
      </c>
      <c r="Q274" s="37" t="s">
        <v>983</v>
      </c>
      <c r="R274" s="37" t="s">
        <v>1222</v>
      </c>
      <c r="S274" s="37" t="s">
        <v>89</v>
      </c>
    </row>
    <row r="275" customFormat="false" ht="15" hidden="false" customHeight="false" outlineLevel="0" collapsed="false">
      <c r="A275" s="37" t="s">
        <v>773</v>
      </c>
      <c r="B275" s="37" t="s">
        <v>912</v>
      </c>
      <c r="C275" s="37" t="s">
        <v>145</v>
      </c>
      <c r="D275" s="37" t="s">
        <v>67</v>
      </c>
      <c r="E275" s="37" t="s">
        <v>48</v>
      </c>
      <c r="F275" s="37" t="s">
        <v>139</v>
      </c>
      <c r="G275" s="37" t="s">
        <v>774</v>
      </c>
      <c r="H275" s="37" t="s">
        <v>1357</v>
      </c>
      <c r="I275" s="37" t="s">
        <v>26</v>
      </c>
      <c r="J275" s="37" t="s">
        <v>37</v>
      </c>
      <c r="K275" s="37" t="s">
        <v>993</v>
      </c>
      <c r="L275" s="37" t="s">
        <v>775</v>
      </c>
      <c r="M275" s="37" t="s">
        <v>947</v>
      </c>
      <c r="N275" s="37" t="s">
        <v>891</v>
      </c>
      <c r="O275" s="37" t="s">
        <v>891</v>
      </c>
      <c r="P275" s="37" t="s">
        <v>928</v>
      </c>
      <c r="Q275" s="37" t="s">
        <v>925</v>
      </c>
      <c r="R275" s="37" t="s">
        <v>894</v>
      </c>
      <c r="S275" s="37" t="s">
        <v>87</v>
      </c>
    </row>
    <row r="276" customFormat="false" ht="15" hidden="false" customHeight="false" outlineLevel="0" collapsed="false">
      <c r="A276" s="37" t="s">
        <v>776</v>
      </c>
      <c r="B276" s="37" t="s">
        <v>955</v>
      </c>
      <c r="C276" s="37" t="s">
        <v>145</v>
      </c>
      <c r="D276" s="37" t="s">
        <v>192</v>
      </c>
      <c r="E276" s="37" t="s">
        <v>47</v>
      </c>
      <c r="F276" s="37" t="s">
        <v>139</v>
      </c>
      <c r="G276" s="37" t="s">
        <v>178</v>
      </c>
      <c r="H276" s="37" t="s">
        <v>897</v>
      </c>
      <c r="I276" s="37" t="s">
        <v>26</v>
      </c>
      <c r="J276" s="37" t="s">
        <v>37</v>
      </c>
      <c r="K276" s="37" t="s">
        <v>1028</v>
      </c>
      <c r="L276" s="37" t="s">
        <v>777</v>
      </c>
      <c r="M276" s="37" t="s">
        <v>897</v>
      </c>
      <c r="N276" s="37" t="s">
        <v>928</v>
      </c>
      <c r="O276" s="37" t="s">
        <v>909</v>
      </c>
      <c r="P276" s="37" t="s">
        <v>928</v>
      </c>
      <c r="Q276" s="37" t="s">
        <v>918</v>
      </c>
      <c r="R276" s="37" t="s">
        <v>1036</v>
      </c>
      <c r="S276" s="37" t="s">
        <v>87</v>
      </c>
    </row>
    <row r="277" customFormat="false" ht="15" hidden="false" customHeight="false" outlineLevel="0" collapsed="false">
      <c r="A277" s="37" t="s">
        <v>778</v>
      </c>
      <c r="B277" s="37" t="s">
        <v>920</v>
      </c>
      <c r="C277" s="37" t="s">
        <v>145</v>
      </c>
      <c r="D277" s="37" t="s">
        <v>63</v>
      </c>
      <c r="E277" s="37" t="s">
        <v>47</v>
      </c>
      <c r="F277" s="37" t="s">
        <v>149</v>
      </c>
      <c r="G277" s="37" t="s">
        <v>361</v>
      </c>
      <c r="H277" s="37" t="s">
        <v>897</v>
      </c>
      <c r="I277" s="37" t="s">
        <v>1358</v>
      </c>
      <c r="J277" s="37" t="s">
        <v>40</v>
      </c>
      <c r="K277" s="37" t="s">
        <v>994</v>
      </c>
      <c r="L277" s="37" t="s">
        <v>779</v>
      </c>
      <c r="M277" s="37" t="s">
        <v>1308</v>
      </c>
      <c r="N277" s="37" t="s">
        <v>917</v>
      </c>
      <c r="O277" s="37" t="s">
        <v>899</v>
      </c>
      <c r="P277" s="37" t="s">
        <v>928</v>
      </c>
      <c r="Q277" s="37" t="s">
        <v>967</v>
      </c>
      <c r="R277" s="37" t="s">
        <v>1341</v>
      </c>
      <c r="S277" s="37" t="s">
        <v>88</v>
      </c>
    </row>
    <row r="278" customFormat="false" ht="15" hidden="false" customHeight="false" outlineLevel="0" collapsed="false">
      <c r="A278" s="37" t="s">
        <v>780</v>
      </c>
      <c r="B278" s="37" t="s">
        <v>989</v>
      </c>
      <c r="C278" s="37" t="s">
        <v>145</v>
      </c>
      <c r="D278" s="37" t="s">
        <v>69</v>
      </c>
      <c r="E278" s="37" t="s">
        <v>47</v>
      </c>
      <c r="F278" s="37" t="s">
        <v>149</v>
      </c>
      <c r="G278" s="37" t="s">
        <v>153</v>
      </c>
      <c r="H278" s="37" t="s">
        <v>1359</v>
      </c>
      <c r="I278" s="37" t="s">
        <v>28</v>
      </c>
      <c r="J278" s="37" t="s">
        <v>39</v>
      </c>
      <c r="K278" s="37" t="s">
        <v>980</v>
      </c>
      <c r="L278" s="37" t="s">
        <v>781</v>
      </c>
      <c r="M278" s="37" t="s">
        <v>947</v>
      </c>
      <c r="N278" s="37" t="s">
        <v>1036</v>
      </c>
      <c r="O278" s="37"/>
      <c r="P278" s="37" t="s">
        <v>928</v>
      </c>
      <c r="Q278" s="37" t="s">
        <v>1022</v>
      </c>
      <c r="R278" s="37" t="s">
        <v>1019</v>
      </c>
      <c r="S278" s="37" t="s">
        <v>87</v>
      </c>
    </row>
    <row r="279" customFormat="false" ht="15" hidden="false" customHeight="false" outlineLevel="0" collapsed="false">
      <c r="A279" s="37" t="s">
        <v>782</v>
      </c>
      <c r="B279" s="37" t="s">
        <v>963</v>
      </c>
      <c r="C279" s="37" t="s">
        <v>134</v>
      </c>
      <c r="D279" s="37" t="s">
        <v>964</v>
      </c>
      <c r="E279" s="37" t="s">
        <v>47</v>
      </c>
      <c r="F279" s="37" t="s">
        <v>149</v>
      </c>
      <c r="G279" s="37" t="s">
        <v>189</v>
      </c>
      <c r="H279" s="37" t="s">
        <v>1360</v>
      </c>
      <c r="I279" s="37" t="s">
        <v>25</v>
      </c>
      <c r="J279" s="37" t="s">
        <v>38</v>
      </c>
      <c r="K279" s="37" t="s">
        <v>899</v>
      </c>
      <c r="L279" s="37" t="s">
        <v>783</v>
      </c>
      <c r="M279" s="37" t="s">
        <v>897</v>
      </c>
      <c r="N279" s="37" t="s">
        <v>891</v>
      </c>
      <c r="O279" s="37" t="s">
        <v>891</v>
      </c>
      <c r="P279" s="37" t="s">
        <v>928</v>
      </c>
      <c r="Q279" s="37" t="s">
        <v>977</v>
      </c>
      <c r="R279" s="37" t="s">
        <v>911</v>
      </c>
      <c r="S279" s="37" t="s">
        <v>89</v>
      </c>
    </row>
    <row r="280" customFormat="false" ht="15" hidden="false" customHeight="false" outlineLevel="0" collapsed="false">
      <c r="A280" s="37" t="s">
        <v>784</v>
      </c>
      <c r="B280" s="37" t="s">
        <v>989</v>
      </c>
      <c r="C280" s="37" t="s">
        <v>1030</v>
      </c>
      <c r="D280" s="37" t="s">
        <v>66</v>
      </c>
      <c r="E280" s="37" t="s">
        <v>48</v>
      </c>
      <c r="F280" s="37" t="s">
        <v>160</v>
      </c>
      <c r="G280" s="37" t="s">
        <v>382</v>
      </c>
      <c r="H280" s="37" t="s">
        <v>1361</v>
      </c>
      <c r="I280" s="37" t="s">
        <v>27</v>
      </c>
      <c r="J280" s="37" t="s">
        <v>37</v>
      </c>
      <c r="K280" s="37" t="s">
        <v>929</v>
      </c>
      <c r="L280" s="37" t="s">
        <v>785</v>
      </c>
      <c r="M280" s="37" t="s">
        <v>1125</v>
      </c>
      <c r="N280" s="37" t="s">
        <v>1083</v>
      </c>
      <c r="O280" s="37" t="s">
        <v>899</v>
      </c>
      <c r="P280" s="37" t="s">
        <v>928</v>
      </c>
      <c r="Q280" s="37" t="s">
        <v>1046</v>
      </c>
      <c r="R280" s="37" t="s">
        <v>1003</v>
      </c>
      <c r="S280" s="37" t="s">
        <v>87</v>
      </c>
    </row>
    <row r="281" customFormat="false" ht="15" hidden="false" customHeight="false" outlineLevel="0" collapsed="false">
      <c r="A281" s="37" t="s">
        <v>786</v>
      </c>
      <c r="B281" s="37" t="s">
        <v>939</v>
      </c>
      <c r="C281" s="37" t="s">
        <v>145</v>
      </c>
      <c r="D281" s="37" t="s">
        <v>63</v>
      </c>
      <c r="E281" s="37" t="s">
        <v>47</v>
      </c>
      <c r="F281" s="37" t="s">
        <v>246</v>
      </c>
      <c r="G281" s="37"/>
      <c r="H281" s="37" t="s">
        <v>1362</v>
      </c>
      <c r="I281" s="37" t="s">
        <v>25</v>
      </c>
      <c r="J281" s="37" t="s">
        <v>42</v>
      </c>
      <c r="K281" s="37" t="s">
        <v>1244</v>
      </c>
      <c r="L281" s="37" t="s">
        <v>787</v>
      </c>
      <c r="M281" s="37" t="s">
        <v>897</v>
      </c>
      <c r="N281" s="37" t="s">
        <v>1045</v>
      </c>
      <c r="O281" s="37" t="s">
        <v>899</v>
      </c>
      <c r="P281" s="37" t="s">
        <v>892</v>
      </c>
      <c r="Q281" s="37" t="s">
        <v>1045</v>
      </c>
      <c r="R281" s="37" t="s">
        <v>1094</v>
      </c>
      <c r="S281" s="37" t="s">
        <v>87</v>
      </c>
    </row>
    <row r="282" customFormat="false" ht="15" hidden="false" customHeight="false" outlineLevel="0" collapsed="false">
      <c r="A282" s="37" t="s">
        <v>788</v>
      </c>
      <c r="B282" s="37" t="s">
        <v>1075</v>
      </c>
      <c r="C282" s="37" t="s">
        <v>1138</v>
      </c>
      <c r="D282" s="37" t="s">
        <v>71</v>
      </c>
      <c r="E282" s="37" t="s">
        <v>47</v>
      </c>
      <c r="F282" s="37" t="s">
        <v>139</v>
      </c>
      <c r="G282" s="37" t="s">
        <v>427</v>
      </c>
      <c r="H282" s="37" t="s">
        <v>1363</v>
      </c>
      <c r="I282" s="37"/>
      <c r="J282" s="37" t="s">
        <v>40</v>
      </c>
      <c r="K282" s="37" t="s">
        <v>909</v>
      </c>
      <c r="L282" s="37" t="s">
        <v>789</v>
      </c>
      <c r="M282" s="37" t="s">
        <v>897</v>
      </c>
      <c r="N282" s="37" t="s">
        <v>916</v>
      </c>
      <c r="O282" s="37" t="s">
        <v>891</v>
      </c>
      <c r="P282" s="37" t="s">
        <v>928</v>
      </c>
      <c r="Q282" s="37" t="s">
        <v>942</v>
      </c>
      <c r="R282" s="37" t="s">
        <v>994</v>
      </c>
      <c r="S282" s="37" t="s">
        <v>87</v>
      </c>
    </row>
    <row r="283" customFormat="false" ht="15" hidden="false" customHeight="false" outlineLevel="0" collapsed="false">
      <c r="A283" s="37" t="s">
        <v>790</v>
      </c>
      <c r="B283" s="37" t="s">
        <v>907</v>
      </c>
      <c r="C283" s="37" t="s">
        <v>145</v>
      </c>
      <c r="D283" s="37" t="s">
        <v>68</v>
      </c>
      <c r="E283" s="37" t="s">
        <v>47</v>
      </c>
      <c r="F283" s="37"/>
      <c r="G283" s="37" t="s">
        <v>189</v>
      </c>
      <c r="H283" s="37" t="s">
        <v>1364</v>
      </c>
      <c r="I283" s="37" t="s">
        <v>25</v>
      </c>
      <c r="J283" s="37" t="s">
        <v>38</v>
      </c>
      <c r="K283" s="37" t="s">
        <v>960</v>
      </c>
      <c r="L283" s="37" t="s">
        <v>791</v>
      </c>
      <c r="M283" s="37" t="s">
        <v>947</v>
      </c>
      <c r="N283" s="37" t="s">
        <v>1087</v>
      </c>
      <c r="O283" s="37" t="s">
        <v>899</v>
      </c>
      <c r="P283" s="37" t="s">
        <v>891</v>
      </c>
      <c r="Q283" s="37" t="s">
        <v>980</v>
      </c>
      <c r="R283" s="37" t="s">
        <v>1083</v>
      </c>
      <c r="S283" s="37" t="s">
        <v>89</v>
      </c>
    </row>
    <row r="284" customFormat="false" ht="15" hidden="false" customHeight="false" outlineLevel="0" collapsed="false">
      <c r="A284" s="37" t="s">
        <v>792</v>
      </c>
      <c r="B284" s="37" t="s">
        <v>995</v>
      </c>
      <c r="C284" s="37" t="s">
        <v>1064</v>
      </c>
      <c r="D284" s="37" t="s">
        <v>156</v>
      </c>
      <c r="E284" s="37" t="s">
        <v>48</v>
      </c>
      <c r="F284" s="37" t="s">
        <v>139</v>
      </c>
      <c r="G284" s="37" t="s">
        <v>793</v>
      </c>
      <c r="H284" s="37" t="s">
        <v>1365</v>
      </c>
      <c r="I284" s="37" t="s">
        <v>28</v>
      </c>
      <c r="J284" s="37" t="s">
        <v>42</v>
      </c>
      <c r="K284" s="37" t="s">
        <v>915</v>
      </c>
      <c r="L284" s="37" t="s">
        <v>794</v>
      </c>
      <c r="M284" s="37" t="s">
        <v>897</v>
      </c>
      <c r="N284" s="37" t="s">
        <v>928</v>
      </c>
      <c r="O284" s="37"/>
      <c r="P284" s="37" t="s">
        <v>892</v>
      </c>
      <c r="Q284" s="37" t="s">
        <v>983</v>
      </c>
      <c r="R284" s="37" t="s">
        <v>918</v>
      </c>
      <c r="S284" s="37" t="s">
        <v>87</v>
      </c>
    </row>
    <row r="285" customFormat="false" ht="15" hidden="false" customHeight="false" outlineLevel="0" collapsed="false">
      <c r="A285" s="37" t="s">
        <v>795</v>
      </c>
      <c r="B285" s="37" t="s">
        <v>912</v>
      </c>
      <c r="C285" s="37" t="s">
        <v>145</v>
      </c>
      <c r="D285" s="37" t="s">
        <v>66</v>
      </c>
      <c r="E285" s="37" t="s">
        <v>48</v>
      </c>
      <c r="F285" s="37" t="s">
        <v>135</v>
      </c>
      <c r="G285" s="37" t="s">
        <v>796</v>
      </c>
      <c r="H285" s="37" t="s">
        <v>1366</v>
      </c>
      <c r="I285" s="37" t="s">
        <v>29</v>
      </c>
      <c r="J285" s="37" t="s">
        <v>40</v>
      </c>
      <c r="K285" s="37" t="s">
        <v>896</v>
      </c>
      <c r="L285" s="37" t="s">
        <v>797</v>
      </c>
      <c r="M285" s="37" t="s">
        <v>897</v>
      </c>
      <c r="N285" s="37" t="s">
        <v>1112</v>
      </c>
      <c r="O285" s="37" t="s">
        <v>899</v>
      </c>
      <c r="P285" s="37" t="s">
        <v>892</v>
      </c>
      <c r="Q285" s="37" t="s">
        <v>1367</v>
      </c>
      <c r="R285" s="37" t="s">
        <v>900</v>
      </c>
      <c r="S285" s="37" t="s">
        <v>87</v>
      </c>
    </row>
    <row r="286" customFormat="false" ht="15" hidden="false" customHeight="false" outlineLevel="0" collapsed="false">
      <c r="A286" s="37" t="s">
        <v>798</v>
      </c>
      <c r="B286" s="37" t="s">
        <v>1178</v>
      </c>
      <c r="C286" s="37" t="s">
        <v>1030</v>
      </c>
      <c r="D286" s="37" t="s">
        <v>66</v>
      </c>
      <c r="E286" s="37" t="s">
        <v>48</v>
      </c>
      <c r="F286" s="37" t="s">
        <v>135</v>
      </c>
      <c r="G286" s="37" t="s">
        <v>652</v>
      </c>
      <c r="H286" s="37" t="s">
        <v>1368</v>
      </c>
      <c r="I286" s="37" t="s">
        <v>25</v>
      </c>
      <c r="J286" s="37" t="s">
        <v>38</v>
      </c>
      <c r="K286" s="37" t="s">
        <v>959</v>
      </c>
      <c r="L286" s="37" t="s">
        <v>799</v>
      </c>
      <c r="M286" s="37" t="s">
        <v>1008</v>
      </c>
      <c r="N286" s="37" t="s">
        <v>893</v>
      </c>
      <c r="O286" s="37" t="s">
        <v>891</v>
      </c>
      <c r="P286" s="37" t="s">
        <v>928</v>
      </c>
      <c r="Q286" s="37" t="s">
        <v>1029</v>
      </c>
      <c r="R286" s="37" t="s">
        <v>900</v>
      </c>
      <c r="S286" s="37" t="s">
        <v>88</v>
      </c>
    </row>
    <row r="287" customFormat="false" ht="15" hidden="false" customHeight="false" outlineLevel="0" collapsed="false">
      <c r="A287" s="37" t="s">
        <v>800</v>
      </c>
      <c r="B287" s="37" t="s">
        <v>907</v>
      </c>
      <c r="C287" s="37" t="s">
        <v>145</v>
      </c>
      <c r="D287" s="37" t="s">
        <v>62</v>
      </c>
      <c r="E287" s="37" t="s">
        <v>47</v>
      </c>
      <c r="F287" s="37" t="s">
        <v>139</v>
      </c>
      <c r="G287" s="37" t="s">
        <v>189</v>
      </c>
      <c r="H287" s="37" t="s">
        <v>897</v>
      </c>
      <c r="I287" s="37" t="s">
        <v>25</v>
      </c>
      <c r="J287" s="37" t="s">
        <v>38</v>
      </c>
      <c r="K287" s="37" t="s">
        <v>1001</v>
      </c>
      <c r="L287" s="37" t="s">
        <v>801</v>
      </c>
      <c r="M287" s="37" t="s">
        <v>897</v>
      </c>
      <c r="N287" s="37" t="s">
        <v>910</v>
      </c>
      <c r="O287" s="37" t="s">
        <v>909</v>
      </c>
      <c r="P287" s="37" t="s">
        <v>917</v>
      </c>
      <c r="Q287" s="37" t="s">
        <v>890</v>
      </c>
      <c r="R287" s="37" t="s">
        <v>1060</v>
      </c>
      <c r="S287" s="37" t="s">
        <v>87</v>
      </c>
    </row>
    <row r="288" customFormat="false" ht="15" hidden="false" customHeight="false" outlineLevel="0" collapsed="false">
      <c r="A288" s="37" t="s">
        <v>802</v>
      </c>
      <c r="B288" s="37" t="s">
        <v>1214</v>
      </c>
      <c r="C288" s="37" t="s">
        <v>145</v>
      </c>
      <c r="D288" s="37" t="s">
        <v>70</v>
      </c>
      <c r="E288" s="37" t="s">
        <v>48</v>
      </c>
      <c r="F288" s="37" t="s">
        <v>139</v>
      </c>
      <c r="G288" s="37" t="s">
        <v>250</v>
      </c>
      <c r="H288" s="37" t="s">
        <v>1303</v>
      </c>
      <c r="I288" s="37" t="s">
        <v>25</v>
      </c>
      <c r="J288" s="37" t="s">
        <v>38</v>
      </c>
      <c r="K288" s="37" t="s">
        <v>908</v>
      </c>
      <c r="L288" s="37" t="s">
        <v>803</v>
      </c>
      <c r="M288" s="37" t="s">
        <v>1008</v>
      </c>
      <c r="N288" s="37"/>
      <c r="O288" s="37" t="s">
        <v>899</v>
      </c>
      <c r="P288" s="37" t="s">
        <v>928</v>
      </c>
      <c r="Q288" s="37" t="s">
        <v>1369</v>
      </c>
      <c r="R288" s="37" t="s">
        <v>999</v>
      </c>
      <c r="S288" s="37" t="s">
        <v>88</v>
      </c>
    </row>
    <row r="289" customFormat="false" ht="15" hidden="false" customHeight="false" outlineLevel="0" collapsed="false">
      <c r="A289" s="37" t="s">
        <v>804</v>
      </c>
      <c r="B289" s="37" t="s">
        <v>1027</v>
      </c>
      <c r="C289" s="37" t="s">
        <v>145</v>
      </c>
      <c r="D289" s="37" t="s">
        <v>63</v>
      </c>
      <c r="E289" s="37" t="s">
        <v>47</v>
      </c>
      <c r="F289" s="37" t="s">
        <v>139</v>
      </c>
      <c r="G289" s="37" t="s">
        <v>150</v>
      </c>
      <c r="H289" s="37" t="s">
        <v>1370</v>
      </c>
      <c r="I289" s="37" t="s">
        <v>25</v>
      </c>
      <c r="J289" s="37" t="s">
        <v>39</v>
      </c>
      <c r="K289" s="37" t="s">
        <v>1029</v>
      </c>
      <c r="L289" s="37" t="s">
        <v>805</v>
      </c>
      <c r="M289" s="37" t="s">
        <v>907</v>
      </c>
      <c r="N289" s="37" t="s">
        <v>966</v>
      </c>
      <c r="O289" s="37" t="s">
        <v>909</v>
      </c>
      <c r="P289" s="37" t="s">
        <v>928</v>
      </c>
      <c r="Q289" s="37" t="s">
        <v>1010</v>
      </c>
      <c r="R289" s="37" t="s">
        <v>910</v>
      </c>
      <c r="S289" s="37" t="s">
        <v>89</v>
      </c>
    </row>
    <row r="290" customFormat="false" ht="15" hidden="false" customHeight="false" outlineLevel="0" collapsed="false">
      <c r="A290" s="37" t="s">
        <v>806</v>
      </c>
      <c r="B290" s="37" t="s">
        <v>931</v>
      </c>
      <c r="C290" s="37" t="s">
        <v>145</v>
      </c>
      <c r="D290" s="37" t="s">
        <v>1078</v>
      </c>
      <c r="E290" s="37" t="s">
        <v>47</v>
      </c>
      <c r="F290" s="37" t="s">
        <v>160</v>
      </c>
      <c r="G290" s="37" t="s">
        <v>189</v>
      </c>
      <c r="H290" s="37" t="s">
        <v>1371</v>
      </c>
      <c r="I290" s="37" t="s">
        <v>27</v>
      </c>
      <c r="J290" s="37" t="s">
        <v>38</v>
      </c>
      <c r="K290" s="37" t="s">
        <v>961</v>
      </c>
      <c r="L290" s="37" t="s">
        <v>807</v>
      </c>
      <c r="M290" s="37" t="s">
        <v>947</v>
      </c>
      <c r="N290" s="37" t="s">
        <v>960</v>
      </c>
      <c r="O290" s="37" t="s">
        <v>917</v>
      </c>
      <c r="P290" s="37" t="s">
        <v>892</v>
      </c>
      <c r="Q290" s="37" t="s">
        <v>1050</v>
      </c>
      <c r="R290" s="37" t="s">
        <v>1372</v>
      </c>
      <c r="S290" s="37" t="s">
        <v>87</v>
      </c>
    </row>
    <row r="291" customFormat="false" ht="15" hidden="false" customHeight="false" outlineLevel="0" collapsed="false">
      <c r="A291" s="37" t="s">
        <v>808</v>
      </c>
      <c r="B291" s="37" t="s">
        <v>1335</v>
      </c>
      <c r="C291" s="37" t="s">
        <v>992</v>
      </c>
      <c r="D291" s="37" t="s">
        <v>68</v>
      </c>
      <c r="E291" s="37" t="s">
        <v>48</v>
      </c>
      <c r="F291" s="37" t="s">
        <v>246</v>
      </c>
      <c r="G291" s="37" t="s">
        <v>809</v>
      </c>
      <c r="H291" s="37" t="s">
        <v>1373</v>
      </c>
      <c r="I291" s="37" t="s">
        <v>30</v>
      </c>
      <c r="J291" s="37" t="s">
        <v>38</v>
      </c>
      <c r="K291" s="37" t="s">
        <v>1029</v>
      </c>
      <c r="L291" s="37" t="s">
        <v>810</v>
      </c>
      <c r="M291" s="37" t="s">
        <v>1069</v>
      </c>
      <c r="N291" s="37" t="s">
        <v>999</v>
      </c>
      <c r="O291" s="37" t="s">
        <v>917</v>
      </c>
      <c r="P291" s="37" t="s">
        <v>892</v>
      </c>
      <c r="Q291" s="37" t="s">
        <v>969</v>
      </c>
      <c r="R291" s="37" t="s">
        <v>1112</v>
      </c>
      <c r="S291" s="37" t="s">
        <v>87</v>
      </c>
    </row>
    <row r="292" customFormat="false" ht="15" hidden="false" customHeight="false" outlineLevel="0" collapsed="false">
      <c r="A292" s="37" t="s">
        <v>811</v>
      </c>
      <c r="B292" s="37" t="s">
        <v>955</v>
      </c>
      <c r="C292" s="37" t="s">
        <v>1067</v>
      </c>
      <c r="D292" s="37" t="s">
        <v>62</v>
      </c>
      <c r="E292" s="37" t="s">
        <v>47</v>
      </c>
      <c r="F292" s="37" t="s">
        <v>1254</v>
      </c>
      <c r="G292" s="37" t="s">
        <v>172</v>
      </c>
      <c r="H292" s="37" t="s">
        <v>897</v>
      </c>
      <c r="I292" s="37" t="s">
        <v>31</v>
      </c>
      <c r="J292" s="37" t="s">
        <v>39</v>
      </c>
      <c r="K292" s="37" t="s">
        <v>1048</v>
      </c>
      <c r="L292" s="37" t="s">
        <v>812</v>
      </c>
      <c r="M292" s="37" t="s">
        <v>907</v>
      </c>
      <c r="N292" s="37" t="s">
        <v>980</v>
      </c>
      <c r="O292" s="37" t="s">
        <v>891</v>
      </c>
      <c r="P292" s="37" t="s">
        <v>928</v>
      </c>
      <c r="Q292" s="37" t="s">
        <v>969</v>
      </c>
      <c r="R292" s="37" t="s">
        <v>925</v>
      </c>
      <c r="S292" s="37" t="s">
        <v>89</v>
      </c>
    </row>
    <row r="293" customFormat="false" ht="15" hidden="false" customHeight="false" outlineLevel="0" collapsed="false">
      <c r="A293" s="37" t="s">
        <v>813</v>
      </c>
      <c r="B293" s="37" t="s">
        <v>1118</v>
      </c>
      <c r="C293" s="37" t="s">
        <v>134</v>
      </c>
      <c r="D293" s="37" t="s">
        <v>1078</v>
      </c>
      <c r="E293" s="37" t="s">
        <v>48</v>
      </c>
      <c r="F293" s="37" t="s">
        <v>195</v>
      </c>
      <c r="G293" s="37" t="s">
        <v>814</v>
      </c>
      <c r="H293" s="37" t="s">
        <v>1374</v>
      </c>
      <c r="I293" s="37" t="s">
        <v>25</v>
      </c>
      <c r="J293" s="37" t="s">
        <v>42</v>
      </c>
      <c r="K293" s="37" t="s">
        <v>994</v>
      </c>
      <c r="L293" s="37"/>
      <c r="M293" s="37" t="s">
        <v>907</v>
      </c>
      <c r="N293" s="37" t="s">
        <v>1051</v>
      </c>
      <c r="O293" s="37" t="s">
        <v>891</v>
      </c>
      <c r="P293" s="37" t="s">
        <v>900</v>
      </c>
      <c r="Q293" s="37" t="s">
        <v>893</v>
      </c>
      <c r="R293" s="37" t="s">
        <v>924</v>
      </c>
      <c r="S293" s="37" t="s">
        <v>87</v>
      </c>
    </row>
    <row r="294" customFormat="false" ht="15" hidden="false" customHeight="false" outlineLevel="0" collapsed="false">
      <c r="A294" s="37" t="s">
        <v>815</v>
      </c>
      <c r="B294" s="37" t="s">
        <v>1178</v>
      </c>
      <c r="C294" s="37" t="s">
        <v>1067</v>
      </c>
      <c r="D294" s="37" t="s">
        <v>64</v>
      </c>
      <c r="E294" s="37" t="s">
        <v>47</v>
      </c>
      <c r="F294" s="37" t="s">
        <v>149</v>
      </c>
      <c r="G294" s="37" t="s">
        <v>164</v>
      </c>
      <c r="H294" s="37" t="s">
        <v>1375</v>
      </c>
      <c r="I294" s="37" t="s">
        <v>28</v>
      </c>
      <c r="J294" s="37" t="s">
        <v>41</v>
      </c>
      <c r="K294" s="37" t="s">
        <v>934</v>
      </c>
      <c r="L294" s="37" t="s">
        <v>816</v>
      </c>
      <c r="M294" s="37" t="s">
        <v>907</v>
      </c>
      <c r="N294" s="37" t="s">
        <v>922</v>
      </c>
      <c r="O294" s="37" t="s">
        <v>899</v>
      </c>
      <c r="P294" s="37" t="s">
        <v>928</v>
      </c>
      <c r="Q294" s="37" t="s">
        <v>1244</v>
      </c>
      <c r="R294" s="37" t="s">
        <v>1085</v>
      </c>
      <c r="S294" s="37" t="s">
        <v>87</v>
      </c>
    </row>
    <row r="295" customFormat="false" ht="15" hidden="false" customHeight="false" outlineLevel="0" collapsed="false">
      <c r="A295" s="37" t="s">
        <v>817</v>
      </c>
      <c r="B295" s="37" t="s">
        <v>1075</v>
      </c>
      <c r="C295" s="37" t="s">
        <v>134</v>
      </c>
      <c r="D295" s="37" t="s">
        <v>69</v>
      </c>
      <c r="E295" s="37" t="s">
        <v>47</v>
      </c>
      <c r="F295" s="37" t="s">
        <v>149</v>
      </c>
      <c r="G295" s="37"/>
      <c r="H295" s="37" t="s">
        <v>1376</v>
      </c>
      <c r="I295" s="37" t="s">
        <v>31</v>
      </c>
      <c r="J295" s="37" t="s">
        <v>38</v>
      </c>
      <c r="K295" s="37" t="s">
        <v>1249</v>
      </c>
      <c r="L295" s="37" t="s">
        <v>818</v>
      </c>
      <c r="M295" s="37" t="s">
        <v>897</v>
      </c>
      <c r="N295" s="37" t="s">
        <v>1028</v>
      </c>
      <c r="O295" s="37" t="s">
        <v>909</v>
      </c>
      <c r="P295" s="37" t="s">
        <v>891</v>
      </c>
      <c r="Q295" s="37" t="s">
        <v>1120</v>
      </c>
      <c r="R295" s="37" t="s">
        <v>916</v>
      </c>
      <c r="S295" s="37" t="s">
        <v>89</v>
      </c>
    </row>
    <row r="296" customFormat="false" ht="15" hidden="false" customHeight="false" outlineLevel="0" collapsed="false">
      <c r="A296" s="37" t="s">
        <v>819</v>
      </c>
      <c r="B296" s="37" t="s">
        <v>931</v>
      </c>
      <c r="C296" s="37" t="s">
        <v>134</v>
      </c>
      <c r="D296" s="37" t="s">
        <v>64</v>
      </c>
      <c r="E296" s="37" t="s">
        <v>47</v>
      </c>
      <c r="F296" s="37" t="s">
        <v>160</v>
      </c>
      <c r="G296" s="37" t="s">
        <v>143</v>
      </c>
      <c r="H296" s="37" t="s">
        <v>897</v>
      </c>
      <c r="I296" s="37" t="s">
        <v>1252</v>
      </c>
      <c r="J296" s="37" t="s">
        <v>37</v>
      </c>
      <c r="K296" s="37" t="s">
        <v>893</v>
      </c>
      <c r="L296" s="37" t="s">
        <v>820</v>
      </c>
      <c r="M296" s="37" t="s">
        <v>897</v>
      </c>
      <c r="N296" s="37" t="s">
        <v>896</v>
      </c>
      <c r="O296" s="37" t="s">
        <v>899</v>
      </c>
      <c r="P296" s="37" t="s">
        <v>928</v>
      </c>
      <c r="Q296" s="37" t="s">
        <v>894</v>
      </c>
      <c r="R296" s="37" t="s">
        <v>969</v>
      </c>
      <c r="S296" s="37" t="s">
        <v>88</v>
      </c>
    </row>
    <row r="297" customFormat="false" ht="15" hidden="false" customHeight="false" outlineLevel="0" collapsed="false">
      <c r="A297" s="37" t="s">
        <v>821</v>
      </c>
      <c r="B297" s="37"/>
      <c r="C297" s="37" t="s">
        <v>145</v>
      </c>
      <c r="D297" s="37" t="s">
        <v>63</v>
      </c>
      <c r="E297" s="37" t="s">
        <v>48</v>
      </c>
      <c r="F297" s="37" t="s">
        <v>139</v>
      </c>
      <c r="G297" s="37"/>
      <c r="H297" s="37" t="s">
        <v>1377</v>
      </c>
      <c r="I297" s="37" t="s">
        <v>27</v>
      </c>
      <c r="J297" s="37"/>
      <c r="K297" s="37" t="s">
        <v>1150</v>
      </c>
      <c r="L297" s="37" t="s">
        <v>822</v>
      </c>
      <c r="M297" s="37" t="s">
        <v>897</v>
      </c>
      <c r="N297" s="37" t="s">
        <v>1150</v>
      </c>
      <c r="O297" s="37" t="s">
        <v>899</v>
      </c>
      <c r="P297" s="37" t="s">
        <v>891</v>
      </c>
      <c r="Q297" s="37"/>
      <c r="R297" s="37" t="s">
        <v>1378</v>
      </c>
      <c r="S297" s="37" t="s">
        <v>89</v>
      </c>
    </row>
    <row r="298" customFormat="false" ht="15" hidden="false" customHeight="false" outlineLevel="0" collapsed="false">
      <c r="A298" s="37" t="s">
        <v>823</v>
      </c>
      <c r="B298" s="37" t="s">
        <v>1037</v>
      </c>
      <c r="C298" s="37" t="s">
        <v>134</v>
      </c>
      <c r="D298" s="37" t="s">
        <v>70</v>
      </c>
      <c r="E298" s="37" t="s">
        <v>48</v>
      </c>
      <c r="F298" s="37" t="s">
        <v>195</v>
      </c>
      <c r="G298" s="37" t="s">
        <v>824</v>
      </c>
      <c r="H298" s="37"/>
      <c r="I298" s="37" t="s">
        <v>25</v>
      </c>
      <c r="J298" s="37" t="s">
        <v>41</v>
      </c>
      <c r="K298" s="37" t="s">
        <v>934</v>
      </c>
      <c r="L298" s="37" t="s">
        <v>825</v>
      </c>
      <c r="M298" s="37" t="s">
        <v>897</v>
      </c>
      <c r="N298" s="37" t="s">
        <v>923</v>
      </c>
      <c r="O298" s="37" t="s">
        <v>899</v>
      </c>
      <c r="P298" s="37"/>
      <c r="Q298" s="37" t="s">
        <v>996</v>
      </c>
      <c r="R298" s="37" t="s">
        <v>1261</v>
      </c>
      <c r="S298" s="37" t="s">
        <v>89</v>
      </c>
    </row>
    <row r="299" customFormat="false" ht="15" hidden="false" customHeight="false" outlineLevel="0" collapsed="false">
      <c r="A299" s="37" t="s">
        <v>826</v>
      </c>
      <c r="B299" s="37" t="s">
        <v>1263</v>
      </c>
      <c r="C299" s="37" t="s">
        <v>134</v>
      </c>
      <c r="D299" s="37" t="s">
        <v>67</v>
      </c>
      <c r="E299" s="37" t="s">
        <v>48</v>
      </c>
      <c r="F299" s="37" t="s">
        <v>195</v>
      </c>
      <c r="G299" s="37" t="s">
        <v>827</v>
      </c>
      <c r="H299" s="37" t="s">
        <v>1379</v>
      </c>
      <c r="I299" s="37" t="s">
        <v>26</v>
      </c>
      <c r="J299" s="37" t="s">
        <v>37</v>
      </c>
      <c r="K299" s="37" t="s">
        <v>1036</v>
      </c>
      <c r="L299" s="37" t="s">
        <v>828</v>
      </c>
      <c r="M299" s="37" t="s">
        <v>897</v>
      </c>
      <c r="N299" s="37" t="s">
        <v>1003</v>
      </c>
      <c r="O299" s="37" t="s">
        <v>891</v>
      </c>
      <c r="P299" s="37" t="s">
        <v>892</v>
      </c>
      <c r="Q299" s="37" t="s">
        <v>1077</v>
      </c>
      <c r="R299" s="37" t="s">
        <v>1060</v>
      </c>
      <c r="S299" s="37" t="s">
        <v>87</v>
      </c>
    </row>
    <row r="300" customFormat="false" ht="15" hidden="false" customHeight="false" outlineLevel="0" collapsed="false">
      <c r="A300" s="37" t="s">
        <v>829</v>
      </c>
      <c r="B300" s="37" t="s">
        <v>1075</v>
      </c>
      <c r="C300" s="37" t="s">
        <v>145</v>
      </c>
      <c r="D300" s="37" t="s">
        <v>65</v>
      </c>
      <c r="E300" s="37" t="s">
        <v>48</v>
      </c>
      <c r="F300" s="37" t="s">
        <v>195</v>
      </c>
      <c r="G300" s="37" t="s">
        <v>382</v>
      </c>
      <c r="H300" s="37" t="s">
        <v>1380</v>
      </c>
      <c r="I300" s="37" t="s">
        <v>25</v>
      </c>
      <c r="J300" s="37" t="s">
        <v>37</v>
      </c>
      <c r="K300" s="37" t="s">
        <v>1102</v>
      </c>
      <c r="L300" s="37" t="s">
        <v>830</v>
      </c>
      <c r="M300" s="37" t="s">
        <v>897</v>
      </c>
      <c r="N300" s="37" t="s">
        <v>1029</v>
      </c>
      <c r="O300" s="37" t="s">
        <v>899</v>
      </c>
      <c r="P300" s="37" t="s">
        <v>891</v>
      </c>
      <c r="Q300" s="37" t="s">
        <v>915</v>
      </c>
      <c r="R300" s="37" t="s">
        <v>988</v>
      </c>
      <c r="S300" s="37" t="s">
        <v>89</v>
      </c>
    </row>
    <row r="301" customFormat="false" ht="15" hidden="false" customHeight="false" outlineLevel="0" collapsed="false">
      <c r="A301" s="37" t="s">
        <v>831</v>
      </c>
      <c r="B301" s="37" t="s">
        <v>1381</v>
      </c>
      <c r="C301" s="37" t="s">
        <v>134</v>
      </c>
      <c r="D301" s="37" t="s">
        <v>63</v>
      </c>
      <c r="E301" s="37" t="s">
        <v>48</v>
      </c>
      <c r="F301" s="37" t="s">
        <v>195</v>
      </c>
      <c r="G301" s="37" t="s">
        <v>175</v>
      </c>
      <c r="H301" s="37" t="s">
        <v>1382</v>
      </c>
      <c r="I301" s="37" t="s">
        <v>905</v>
      </c>
      <c r="J301" s="37" t="s">
        <v>37</v>
      </c>
      <c r="K301" s="37" t="s">
        <v>994</v>
      </c>
      <c r="L301" s="37" t="s">
        <v>832</v>
      </c>
      <c r="M301" s="37" t="s">
        <v>897</v>
      </c>
      <c r="N301" s="37" t="s">
        <v>987</v>
      </c>
      <c r="O301" s="37" t="s">
        <v>891</v>
      </c>
      <c r="P301" s="37" t="s">
        <v>892</v>
      </c>
      <c r="Q301" s="37" t="s">
        <v>925</v>
      </c>
      <c r="R301" s="37" t="s">
        <v>1222</v>
      </c>
      <c r="S301" s="37"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2026-10-16T16:01:00Z</dcterms:created>
  <dc:creator>openpyxl</dc:creator>
  <dc:description/>
  <dc:language>en-US</dc:language>
  <cp:lastModifiedBy/>
  <dcterms:modified xsi:type="dcterms:W3CDTF">2026-10-16T16:01:03Z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